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jal\DEV\Project Civil\"/>
    </mc:Choice>
  </mc:AlternateContent>
  <xr:revisionPtr revIDLastSave="0" documentId="13_ncr:1_{A917B04C-2ED9-44D1-8918-62B13BA1FB49}" xr6:coauthVersionLast="47" xr6:coauthVersionMax="47" xr10:uidLastSave="{00000000-0000-0000-0000-000000000000}"/>
  <bookViews>
    <workbookView xWindow="-108" yWindow="-108" windowWidth="23256" windowHeight="13176" activeTab="5" xr2:uid="{400D55AF-855B-4AAD-8ACA-AA654590FB88}"/>
  </bookViews>
  <sheets>
    <sheet name="combined" sheetId="1" r:id="rId1"/>
    <sheet name="extended" sheetId="4" r:id="rId2"/>
    <sheet name="dim" sheetId="2" r:id="rId3"/>
    <sheet name="dim-final" sheetId="5" r:id="rId4"/>
    <sheet name="non-dim" sheetId="3" r:id="rId5"/>
    <sheet name="non-dim-final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05" i="6" l="1"/>
  <c r="D504" i="6"/>
  <c r="D503" i="6"/>
  <c r="D502" i="6"/>
  <c r="D501" i="6"/>
  <c r="D500" i="6"/>
  <c r="D499" i="6"/>
  <c r="D498" i="6"/>
  <c r="D497" i="6"/>
  <c r="D496" i="6"/>
  <c r="D495" i="6"/>
  <c r="D494" i="6"/>
  <c r="D493" i="6"/>
  <c r="D492" i="6"/>
  <c r="D491" i="6"/>
  <c r="D490" i="6"/>
  <c r="D489" i="6"/>
  <c r="D488" i="6"/>
  <c r="D487" i="6"/>
  <c r="D486" i="6"/>
  <c r="D485" i="6"/>
  <c r="D484" i="6"/>
  <c r="D483" i="6"/>
  <c r="D482" i="6"/>
  <c r="D481" i="6"/>
  <c r="D480" i="6"/>
  <c r="D479" i="6"/>
  <c r="D478" i="6"/>
  <c r="D477" i="6"/>
  <c r="D476" i="6"/>
  <c r="D475" i="6"/>
  <c r="D474" i="6"/>
  <c r="D473" i="6"/>
  <c r="D472" i="6"/>
  <c r="D471" i="6"/>
  <c r="D470" i="6"/>
  <c r="D469" i="6"/>
  <c r="D468" i="6"/>
  <c r="D467" i="6"/>
  <c r="D466" i="6"/>
  <c r="D465" i="6"/>
  <c r="D464" i="6"/>
  <c r="D463" i="6"/>
  <c r="D462" i="6"/>
  <c r="D461" i="6"/>
  <c r="D460" i="6"/>
  <c r="D459" i="6"/>
  <c r="D458" i="6"/>
  <c r="D457" i="6"/>
  <c r="D456" i="6"/>
  <c r="D455" i="6"/>
  <c r="D454" i="6"/>
  <c r="D453" i="6"/>
  <c r="D452" i="6"/>
  <c r="D451" i="6"/>
  <c r="D450" i="6"/>
  <c r="D449" i="6"/>
  <c r="D448" i="6"/>
  <c r="D447" i="6"/>
  <c r="D446" i="6"/>
  <c r="D445" i="6"/>
  <c r="D444" i="6"/>
  <c r="D443" i="6"/>
  <c r="D442" i="6"/>
  <c r="D441" i="6"/>
  <c r="D440" i="6"/>
  <c r="D439" i="6"/>
  <c r="D438" i="6"/>
  <c r="D437" i="6"/>
  <c r="D436" i="6"/>
  <c r="D435" i="6"/>
  <c r="D434" i="6"/>
  <c r="D433" i="6"/>
  <c r="D432" i="6"/>
  <c r="D431" i="6"/>
  <c r="D430" i="6"/>
  <c r="D429" i="6"/>
  <c r="D428" i="6"/>
  <c r="D427" i="6"/>
  <c r="D426" i="6"/>
  <c r="D425" i="6"/>
  <c r="D424" i="6"/>
  <c r="D423" i="6"/>
  <c r="D422" i="6"/>
  <c r="D421" i="6"/>
  <c r="D420" i="6"/>
  <c r="D419" i="6"/>
  <c r="D418" i="6"/>
  <c r="D417" i="6"/>
  <c r="D416" i="6"/>
  <c r="D415" i="6"/>
  <c r="D414" i="6"/>
  <c r="D413" i="6"/>
  <c r="D412" i="6"/>
  <c r="D411" i="6"/>
  <c r="D410" i="6"/>
  <c r="D409" i="6"/>
  <c r="D408" i="6"/>
  <c r="D407" i="6"/>
  <c r="D406" i="6"/>
  <c r="D405" i="6"/>
  <c r="D404" i="6"/>
  <c r="D403" i="6"/>
  <c r="D402" i="6"/>
  <c r="D401" i="6"/>
  <c r="D400" i="6"/>
  <c r="D399" i="6"/>
  <c r="D398" i="6"/>
  <c r="D397" i="6"/>
  <c r="D396" i="6"/>
  <c r="D395" i="6"/>
  <c r="D394" i="6"/>
  <c r="D393" i="6"/>
  <c r="D392" i="6"/>
  <c r="D391" i="6"/>
  <c r="D390" i="6"/>
  <c r="D389" i="6"/>
  <c r="D388" i="6"/>
  <c r="D387" i="6"/>
  <c r="D386" i="6"/>
  <c r="D385" i="6"/>
  <c r="D384" i="6"/>
  <c r="D383" i="6"/>
  <c r="D382" i="6"/>
  <c r="D381" i="6"/>
  <c r="D380" i="6"/>
  <c r="D379" i="6"/>
  <c r="D378" i="6"/>
  <c r="D377" i="6"/>
  <c r="D376" i="6"/>
  <c r="D375" i="6"/>
  <c r="D374" i="6"/>
  <c r="D373" i="6"/>
  <c r="D372" i="6"/>
  <c r="D371" i="6"/>
  <c r="D370" i="6"/>
  <c r="D369" i="6"/>
  <c r="D368" i="6"/>
  <c r="D367" i="6"/>
  <c r="D366" i="6"/>
  <c r="D365" i="6"/>
  <c r="D364" i="6"/>
  <c r="D363" i="6"/>
  <c r="D362" i="6"/>
  <c r="D361" i="6"/>
  <c r="D360" i="6"/>
  <c r="D359" i="6"/>
  <c r="D358" i="6"/>
  <c r="D357" i="6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A337" i="6"/>
  <c r="D337" i="6" s="1"/>
  <c r="A336" i="6"/>
  <c r="D336" i="6" s="1"/>
  <c r="A335" i="6"/>
  <c r="D335" i="6" s="1"/>
  <c r="A334" i="6"/>
  <c r="D334" i="6" s="1"/>
  <c r="A333" i="6"/>
  <c r="D333" i="6" s="1"/>
  <c r="A332" i="6"/>
  <c r="D332" i="6" s="1"/>
  <c r="A331" i="6"/>
  <c r="D331" i="6" s="1"/>
  <c r="A330" i="6"/>
  <c r="D330" i="6" s="1"/>
  <c r="A329" i="6"/>
  <c r="D329" i="6" s="1"/>
  <c r="A328" i="6"/>
  <c r="D328" i="6" s="1"/>
  <c r="A327" i="6"/>
  <c r="D327" i="6" s="1"/>
  <c r="A326" i="6"/>
  <c r="D326" i="6" s="1"/>
  <c r="A325" i="6"/>
  <c r="D325" i="6" s="1"/>
  <c r="A324" i="6"/>
  <c r="D324" i="6" s="1"/>
  <c r="A323" i="6"/>
  <c r="D323" i="6" s="1"/>
  <c r="A322" i="6"/>
  <c r="D322" i="6" s="1"/>
  <c r="A321" i="6"/>
  <c r="D321" i="6" s="1"/>
  <c r="A320" i="6"/>
  <c r="D320" i="6" s="1"/>
  <c r="A319" i="6"/>
  <c r="D319" i="6" s="1"/>
  <c r="A318" i="6"/>
  <c r="D318" i="6" s="1"/>
  <c r="A317" i="6"/>
  <c r="D317" i="6" s="1"/>
  <c r="A316" i="6"/>
  <c r="D316" i="6" s="1"/>
  <c r="A315" i="6"/>
  <c r="D315" i="6" s="1"/>
  <c r="A314" i="6"/>
  <c r="D314" i="6" s="1"/>
  <c r="A313" i="6"/>
  <c r="D313" i="6" s="1"/>
  <c r="A312" i="6"/>
  <c r="D312" i="6" s="1"/>
  <c r="A311" i="6"/>
  <c r="D311" i="6" s="1"/>
  <c r="A310" i="6"/>
  <c r="D310" i="6" s="1"/>
  <c r="A309" i="6"/>
  <c r="D309" i="6" s="1"/>
  <c r="A308" i="6"/>
  <c r="D308" i="6" s="1"/>
  <c r="A307" i="6"/>
  <c r="D307" i="6" s="1"/>
  <c r="A306" i="6"/>
  <c r="D306" i="6" s="1"/>
  <c r="D305" i="6"/>
  <c r="A305" i="6"/>
  <c r="A304" i="6"/>
  <c r="D304" i="6" s="1"/>
  <c r="A303" i="6"/>
  <c r="D303" i="6" s="1"/>
  <c r="A302" i="6"/>
  <c r="D302" i="6" s="1"/>
  <c r="A301" i="6"/>
  <c r="D301" i="6" s="1"/>
  <c r="A300" i="6"/>
  <c r="D300" i="6" s="1"/>
  <c r="A299" i="6"/>
  <c r="D299" i="6" s="1"/>
  <c r="A298" i="6"/>
  <c r="D298" i="6" s="1"/>
  <c r="A297" i="6"/>
  <c r="D297" i="6" s="1"/>
  <c r="A296" i="6"/>
  <c r="D296" i="6" s="1"/>
  <c r="A295" i="6"/>
  <c r="D295" i="6" s="1"/>
  <c r="A294" i="6"/>
  <c r="D294" i="6" s="1"/>
  <c r="A293" i="6"/>
  <c r="D293" i="6" s="1"/>
  <c r="A292" i="6"/>
  <c r="D292" i="6" s="1"/>
  <c r="A291" i="6"/>
  <c r="D291" i="6" s="1"/>
  <c r="A290" i="6"/>
  <c r="D290" i="6" s="1"/>
  <c r="A289" i="6"/>
  <c r="D289" i="6" s="1"/>
  <c r="A288" i="6"/>
  <c r="D288" i="6" s="1"/>
  <c r="A287" i="6"/>
  <c r="D287" i="6" s="1"/>
  <c r="A286" i="6"/>
  <c r="D286" i="6" s="1"/>
  <c r="A285" i="6"/>
  <c r="D285" i="6" s="1"/>
  <c r="A284" i="6"/>
  <c r="D284" i="6" s="1"/>
  <c r="A283" i="6"/>
  <c r="D283" i="6" s="1"/>
  <c r="A282" i="6"/>
  <c r="D282" i="6" s="1"/>
  <c r="A281" i="6"/>
  <c r="D281" i="6" s="1"/>
  <c r="A280" i="6"/>
  <c r="D280" i="6" s="1"/>
  <c r="D279" i="6"/>
  <c r="A279" i="6"/>
  <c r="A278" i="6"/>
  <c r="D278" i="6" s="1"/>
  <c r="A277" i="6"/>
  <c r="D277" i="6" s="1"/>
  <c r="A276" i="6"/>
  <c r="D276" i="6" s="1"/>
  <c r="A275" i="6"/>
  <c r="D275" i="6" s="1"/>
  <c r="A274" i="6"/>
  <c r="D274" i="6" s="1"/>
  <c r="A273" i="6"/>
  <c r="D273" i="6" s="1"/>
  <c r="A272" i="6"/>
  <c r="D272" i="6" s="1"/>
  <c r="A271" i="6"/>
  <c r="D271" i="6" s="1"/>
  <c r="A270" i="6"/>
  <c r="D270" i="6" s="1"/>
  <c r="A269" i="6"/>
  <c r="D269" i="6" s="1"/>
  <c r="A268" i="6"/>
  <c r="D268" i="6" s="1"/>
  <c r="A267" i="6"/>
  <c r="D267" i="6" s="1"/>
  <c r="A266" i="6"/>
  <c r="D266" i="6" s="1"/>
  <c r="A265" i="6"/>
  <c r="D265" i="6" s="1"/>
  <c r="A264" i="6"/>
  <c r="D264" i="6" s="1"/>
  <c r="A263" i="6"/>
  <c r="D263" i="6" s="1"/>
  <c r="A262" i="6"/>
  <c r="D262" i="6" s="1"/>
  <c r="A261" i="6"/>
  <c r="D261" i="6" s="1"/>
  <c r="A260" i="6"/>
  <c r="D260" i="6" s="1"/>
  <c r="A259" i="6"/>
  <c r="D259" i="6" s="1"/>
  <c r="A258" i="6"/>
  <c r="D258" i="6" s="1"/>
  <c r="A257" i="6"/>
  <c r="D257" i="6" s="1"/>
  <c r="A256" i="6"/>
  <c r="D256" i="6" s="1"/>
  <c r="A255" i="6"/>
  <c r="D255" i="6" s="1"/>
  <c r="A254" i="6"/>
  <c r="D254" i="6" s="1"/>
  <c r="A253" i="6"/>
  <c r="D253" i="6" s="1"/>
  <c r="A252" i="6"/>
  <c r="D252" i="6" s="1"/>
  <c r="A251" i="6"/>
  <c r="D251" i="6" s="1"/>
  <c r="A250" i="6"/>
  <c r="D250" i="6" s="1"/>
  <c r="A249" i="6"/>
  <c r="D249" i="6" s="1"/>
  <c r="A248" i="6"/>
  <c r="D248" i="6" s="1"/>
  <c r="D247" i="6"/>
  <c r="A247" i="6"/>
  <c r="A246" i="6"/>
  <c r="D246" i="6" s="1"/>
  <c r="A245" i="6"/>
  <c r="D245" i="6" s="1"/>
  <c r="A244" i="6"/>
  <c r="D244" i="6" s="1"/>
  <c r="A243" i="6"/>
  <c r="D243" i="6" s="1"/>
  <c r="A242" i="6"/>
  <c r="D242" i="6" s="1"/>
  <c r="A241" i="6"/>
  <c r="D241" i="6" s="1"/>
  <c r="A240" i="6"/>
  <c r="D240" i="6" s="1"/>
  <c r="A239" i="6"/>
  <c r="D239" i="6" s="1"/>
  <c r="A238" i="6"/>
  <c r="D238" i="6" s="1"/>
  <c r="A237" i="6"/>
  <c r="D237" i="6" s="1"/>
  <c r="A236" i="6"/>
  <c r="D236" i="6" s="1"/>
  <c r="A235" i="6"/>
  <c r="D235" i="6" s="1"/>
  <c r="A234" i="6"/>
  <c r="D234" i="6" s="1"/>
  <c r="A233" i="6"/>
  <c r="D233" i="6" s="1"/>
  <c r="A232" i="6"/>
  <c r="D232" i="6" s="1"/>
  <c r="A231" i="6"/>
  <c r="D231" i="6" s="1"/>
  <c r="A230" i="6"/>
  <c r="D230" i="6" s="1"/>
  <c r="A229" i="6"/>
  <c r="D229" i="6" s="1"/>
  <c r="A228" i="6"/>
  <c r="D228" i="6" s="1"/>
  <c r="A227" i="6"/>
  <c r="D227" i="6" s="1"/>
  <c r="A226" i="6"/>
  <c r="D226" i="6" s="1"/>
  <c r="A225" i="6"/>
  <c r="D225" i="6" s="1"/>
  <c r="A224" i="6"/>
  <c r="D224" i="6" s="1"/>
  <c r="A223" i="6"/>
  <c r="D223" i="6" s="1"/>
  <c r="A222" i="6"/>
  <c r="D222" i="6" s="1"/>
  <c r="A221" i="6"/>
  <c r="D221" i="6" s="1"/>
  <c r="A220" i="6"/>
  <c r="D220" i="6" s="1"/>
  <c r="A219" i="6"/>
  <c r="D219" i="6" s="1"/>
  <c r="A218" i="6"/>
  <c r="D218" i="6" s="1"/>
  <c r="A217" i="6"/>
  <c r="D217" i="6" s="1"/>
  <c r="A216" i="6"/>
  <c r="D216" i="6" s="1"/>
  <c r="A215" i="6"/>
  <c r="D215" i="6" s="1"/>
  <c r="A214" i="6"/>
  <c r="D214" i="6" s="1"/>
  <c r="A213" i="6"/>
  <c r="D213" i="6" s="1"/>
  <c r="A212" i="6"/>
  <c r="D212" i="6" s="1"/>
  <c r="A211" i="6"/>
  <c r="D211" i="6" s="1"/>
  <c r="A210" i="6"/>
  <c r="D210" i="6" s="1"/>
  <c r="A209" i="6"/>
  <c r="D209" i="6" s="1"/>
  <c r="A208" i="6"/>
  <c r="D208" i="6" s="1"/>
  <c r="A207" i="6"/>
  <c r="D207" i="6" s="1"/>
  <c r="A206" i="6"/>
  <c r="D206" i="6" s="1"/>
  <c r="A205" i="6"/>
  <c r="D205" i="6" s="1"/>
  <c r="A204" i="6"/>
  <c r="D204" i="6" s="1"/>
  <c r="A203" i="6"/>
  <c r="D203" i="6" s="1"/>
  <c r="A202" i="6"/>
  <c r="D202" i="6" s="1"/>
  <c r="A201" i="6"/>
  <c r="D201" i="6" s="1"/>
  <c r="A200" i="6"/>
  <c r="D200" i="6" s="1"/>
  <c r="A199" i="6"/>
  <c r="D199" i="6" s="1"/>
  <c r="A198" i="6"/>
  <c r="D198" i="6" s="1"/>
  <c r="A197" i="6"/>
  <c r="D197" i="6" s="1"/>
  <c r="A196" i="6"/>
  <c r="D196" i="6" s="1"/>
  <c r="D195" i="6"/>
  <c r="A195" i="6"/>
  <c r="A194" i="6"/>
  <c r="D194" i="6" s="1"/>
  <c r="A193" i="6"/>
  <c r="D193" i="6" s="1"/>
  <c r="A192" i="6"/>
  <c r="D192" i="6" s="1"/>
  <c r="A191" i="6"/>
  <c r="D191" i="6" s="1"/>
  <c r="A190" i="6"/>
  <c r="D190" i="6" s="1"/>
  <c r="A189" i="6"/>
  <c r="D189" i="6" s="1"/>
  <c r="A188" i="6"/>
  <c r="D188" i="6" s="1"/>
  <c r="A187" i="6"/>
  <c r="D187" i="6" s="1"/>
  <c r="A186" i="6"/>
  <c r="D186" i="6" s="1"/>
  <c r="A185" i="6"/>
  <c r="D185" i="6" s="1"/>
  <c r="A184" i="6"/>
  <c r="D184" i="6" s="1"/>
  <c r="A183" i="6"/>
  <c r="D183" i="6" s="1"/>
  <c r="A182" i="6"/>
  <c r="D182" i="6" s="1"/>
  <c r="A181" i="6"/>
  <c r="D181" i="6" s="1"/>
  <c r="A180" i="6"/>
  <c r="D180" i="6" s="1"/>
  <c r="A179" i="6"/>
  <c r="D179" i="6" s="1"/>
  <c r="A178" i="6"/>
  <c r="D178" i="6" s="1"/>
  <c r="A177" i="6"/>
  <c r="D177" i="6" s="1"/>
  <c r="A176" i="6"/>
  <c r="D176" i="6" s="1"/>
  <c r="A175" i="6"/>
  <c r="D175" i="6" s="1"/>
  <c r="A174" i="6"/>
  <c r="D174" i="6" s="1"/>
  <c r="A173" i="6"/>
  <c r="D173" i="6" s="1"/>
  <c r="A172" i="6"/>
  <c r="D172" i="6" s="1"/>
  <c r="A171" i="6"/>
  <c r="D171" i="6" s="1"/>
  <c r="A170" i="6"/>
  <c r="D170" i="6" s="1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P3" i="4"/>
  <c r="P4" i="4"/>
  <c r="R4" i="4" l="1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3" i="4"/>
  <c r="R484" i="4"/>
  <c r="R485" i="4"/>
  <c r="R486" i="4"/>
  <c r="R487" i="4"/>
  <c r="R488" i="4"/>
  <c r="R489" i="4"/>
  <c r="R490" i="4"/>
  <c r="R491" i="4"/>
  <c r="R492" i="4"/>
  <c r="R493" i="4"/>
  <c r="R494" i="4"/>
  <c r="R495" i="4"/>
  <c r="R496" i="4"/>
  <c r="R497" i="4"/>
  <c r="R498" i="4"/>
  <c r="R499" i="4"/>
  <c r="R500" i="4"/>
  <c r="R501" i="4"/>
  <c r="R502" i="4"/>
  <c r="R503" i="4"/>
  <c r="R504" i="4"/>
  <c r="R505" i="4"/>
  <c r="R506" i="4"/>
  <c r="R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3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3" i="4"/>
  <c r="N506" i="4"/>
  <c r="L506" i="4"/>
  <c r="I506" i="4"/>
  <c r="F506" i="4"/>
  <c r="N505" i="4"/>
  <c r="L505" i="4"/>
  <c r="I505" i="4"/>
  <c r="F505" i="4"/>
  <c r="N504" i="4"/>
  <c r="L504" i="4"/>
  <c r="I504" i="4"/>
  <c r="F504" i="4"/>
  <c r="N503" i="4"/>
  <c r="L503" i="4"/>
  <c r="I503" i="4"/>
  <c r="F503" i="4"/>
  <c r="N502" i="4"/>
  <c r="L502" i="4"/>
  <c r="I502" i="4"/>
  <c r="F502" i="4"/>
  <c r="N501" i="4"/>
  <c r="L501" i="4"/>
  <c r="I501" i="4"/>
  <c r="F501" i="4"/>
  <c r="N500" i="4"/>
  <c r="L500" i="4"/>
  <c r="I500" i="4"/>
  <c r="F500" i="4"/>
  <c r="N499" i="4"/>
  <c r="L499" i="4"/>
  <c r="I499" i="4"/>
  <c r="F499" i="4"/>
  <c r="N498" i="4"/>
  <c r="L498" i="4"/>
  <c r="I498" i="4"/>
  <c r="F498" i="4"/>
  <c r="N497" i="4"/>
  <c r="L497" i="4"/>
  <c r="I497" i="4"/>
  <c r="F497" i="4"/>
  <c r="N496" i="4"/>
  <c r="L496" i="4"/>
  <c r="I496" i="4"/>
  <c r="F496" i="4"/>
  <c r="N495" i="4"/>
  <c r="L495" i="4"/>
  <c r="I495" i="4"/>
  <c r="F495" i="4"/>
  <c r="N494" i="4"/>
  <c r="L494" i="4"/>
  <c r="I494" i="4"/>
  <c r="F494" i="4"/>
  <c r="N493" i="4"/>
  <c r="L493" i="4"/>
  <c r="I493" i="4"/>
  <c r="F493" i="4"/>
  <c r="N492" i="4"/>
  <c r="L492" i="4"/>
  <c r="F492" i="4"/>
  <c r="I492" i="4" s="1"/>
  <c r="N491" i="4"/>
  <c r="L491" i="4"/>
  <c r="I491" i="4"/>
  <c r="F491" i="4"/>
  <c r="N490" i="4"/>
  <c r="L490" i="4"/>
  <c r="I490" i="4"/>
  <c r="F490" i="4"/>
  <c r="N489" i="4"/>
  <c r="L489" i="4"/>
  <c r="I489" i="4"/>
  <c r="F489" i="4"/>
  <c r="N488" i="4"/>
  <c r="L488" i="4"/>
  <c r="I488" i="4"/>
  <c r="F488" i="4"/>
  <c r="N487" i="4"/>
  <c r="L487" i="4"/>
  <c r="I487" i="4"/>
  <c r="F487" i="4"/>
  <c r="N486" i="4"/>
  <c r="L486" i="4"/>
  <c r="I486" i="4"/>
  <c r="F486" i="4"/>
  <c r="N485" i="4"/>
  <c r="L485" i="4"/>
  <c r="I485" i="4"/>
  <c r="F485" i="4"/>
  <c r="N484" i="4"/>
  <c r="L484" i="4"/>
  <c r="I484" i="4"/>
  <c r="F484" i="4"/>
  <c r="N483" i="4"/>
  <c r="L483" i="4"/>
  <c r="I483" i="4"/>
  <c r="F483" i="4"/>
  <c r="N482" i="4"/>
  <c r="L482" i="4"/>
  <c r="I482" i="4"/>
  <c r="F482" i="4"/>
  <c r="N481" i="4"/>
  <c r="L481" i="4"/>
  <c r="I481" i="4"/>
  <c r="F481" i="4"/>
  <c r="N480" i="4"/>
  <c r="L480" i="4"/>
  <c r="I480" i="4"/>
  <c r="F480" i="4"/>
  <c r="N479" i="4"/>
  <c r="L479" i="4"/>
  <c r="I479" i="4"/>
  <c r="F479" i="4"/>
  <c r="N478" i="4"/>
  <c r="L478" i="4"/>
  <c r="I478" i="4"/>
  <c r="F478" i="4"/>
  <c r="N477" i="4"/>
  <c r="L477" i="4"/>
  <c r="I477" i="4"/>
  <c r="F477" i="4"/>
  <c r="N476" i="4"/>
  <c r="L476" i="4"/>
  <c r="I476" i="4"/>
  <c r="F476" i="4"/>
  <c r="N475" i="4"/>
  <c r="L475" i="4"/>
  <c r="I475" i="4"/>
  <c r="F475" i="4"/>
  <c r="N474" i="4"/>
  <c r="L474" i="4"/>
  <c r="I474" i="4"/>
  <c r="F474" i="4"/>
  <c r="N473" i="4"/>
  <c r="L473" i="4"/>
  <c r="I473" i="4"/>
  <c r="F473" i="4"/>
  <c r="N472" i="4"/>
  <c r="L472" i="4"/>
  <c r="I472" i="4"/>
  <c r="F472" i="4"/>
  <c r="N471" i="4"/>
  <c r="L471" i="4"/>
  <c r="I471" i="4"/>
  <c r="F471" i="4"/>
  <c r="N470" i="4"/>
  <c r="L470" i="4"/>
  <c r="I470" i="4"/>
  <c r="F470" i="4"/>
  <c r="N469" i="4"/>
  <c r="L469" i="4"/>
  <c r="I469" i="4"/>
  <c r="F469" i="4"/>
  <c r="N468" i="4"/>
  <c r="L468" i="4"/>
  <c r="I468" i="4"/>
  <c r="F468" i="4"/>
  <c r="N467" i="4"/>
  <c r="L467" i="4"/>
  <c r="I467" i="4"/>
  <c r="F467" i="4"/>
  <c r="N466" i="4"/>
  <c r="L466" i="4"/>
  <c r="I466" i="4"/>
  <c r="F466" i="4"/>
  <c r="N465" i="4"/>
  <c r="L465" i="4"/>
  <c r="I465" i="4"/>
  <c r="F465" i="4"/>
  <c r="N464" i="4"/>
  <c r="L464" i="4"/>
  <c r="I464" i="4"/>
  <c r="F464" i="4"/>
  <c r="N463" i="4"/>
  <c r="L463" i="4"/>
  <c r="I463" i="4"/>
  <c r="F463" i="4"/>
  <c r="N462" i="4"/>
  <c r="L462" i="4"/>
  <c r="I462" i="4"/>
  <c r="F462" i="4"/>
  <c r="N461" i="4"/>
  <c r="L461" i="4"/>
  <c r="I461" i="4"/>
  <c r="F461" i="4"/>
  <c r="N460" i="4"/>
  <c r="L460" i="4"/>
  <c r="I460" i="4"/>
  <c r="F460" i="4"/>
  <c r="N459" i="4"/>
  <c r="L459" i="4"/>
  <c r="I459" i="4"/>
  <c r="F459" i="4"/>
  <c r="N458" i="4"/>
  <c r="L458" i="4"/>
  <c r="I458" i="4"/>
  <c r="F458" i="4"/>
  <c r="N457" i="4"/>
  <c r="L457" i="4"/>
  <c r="I457" i="4"/>
  <c r="F457" i="4"/>
  <c r="N456" i="4"/>
  <c r="L456" i="4"/>
  <c r="I456" i="4"/>
  <c r="F456" i="4"/>
  <c r="N455" i="4"/>
  <c r="L455" i="4"/>
  <c r="I455" i="4"/>
  <c r="F455" i="4"/>
  <c r="N454" i="4"/>
  <c r="L454" i="4"/>
  <c r="I454" i="4"/>
  <c r="F454" i="4"/>
  <c r="N453" i="4"/>
  <c r="L453" i="4"/>
  <c r="I453" i="4"/>
  <c r="F453" i="4"/>
  <c r="N452" i="4"/>
  <c r="L452" i="4"/>
  <c r="I452" i="4"/>
  <c r="F452" i="4"/>
  <c r="N451" i="4"/>
  <c r="L451" i="4"/>
  <c r="I451" i="4"/>
  <c r="F451" i="4"/>
  <c r="N450" i="4"/>
  <c r="L450" i="4"/>
  <c r="I450" i="4"/>
  <c r="F450" i="4"/>
  <c r="N449" i="4"/>
  <c r="L449" i="4"/>
  <c r="I449" i="4"/>
  <c r="F449" i="4"/>
  <c r="N448" i="4"/>
  <c r="L448" i="4"/>
  <c r="I448" i="4"/>
  <c r="F448" i="4"/>
  <c r="N447" i="4"/>
  <c r="L447" i="4"/>
  <c r="I447" i="4"/>
  <c r="F447" i="4"/>
  <c r="N446" i="4"/>
  <c r="L446" i="4"/>
  <c r="I446" i="4"/>
  <c r="F446" i="4"/>
  <c r="N445" i="4"/>
  <c r="L445" i="4"/>
  <c r="I445" i="4"/>
  <c r="F445" i="4"/>
  <c r="N444" i="4"/>
  <c r="L444" i="4"/>
  <c r="I444" i="4"/>
  <c r="F444" i="4"/>
  <c r="N443" i="4"/>
  <c r="L443" i="4"/>
  <c r="I443" i="4"/>
  <c r="F443" i="4"/>
  <c r="N442" i="4"/>
  <c r="L442" i="4"/>
  <c r="I442" i="4"/>
  <c r="F442" i="4"/>
  <c r="N441" i="4"/>
  <c r="L441" i="4"/>
  <c r="I441" i="4"/>
  <c r="F441" i="4"/>
  <c r="N440" i="4"/>
  <c r="L440" i="4"/>
  <c r="I440" i="4"/>
  <c r="F440" i="4"/>
  <c r="N439" i="4"/>
  <c r="L439" i="4"/>
  <c r="I439" i="4"/>
  <c r="F439" i="4"/>
  <c r="N438" i="4"/>
  <c r="L438" i="4"/>
  <c r="I438" i="4"/>
  <c r="F438" i="4"/>
  <c r="N437" i="4"/>
  <c r="L437" i="4"/>
  <c r="I437" i="4"/>
  <c r="F437" i="4"/>
  <c r="N436" i="4"/>
  <c r="L436" i="4"/>
  <c r="I436" i="4"/>
  <c r="F436" i="4"/>
  <c r="N435" i="4"/>
  <c r="L435" i="4"/>
  <c r="I435" i="4"/>
  <c r="F435" i="4"/>
  <c r="N434" i="4"/>
  <c r="I434" i="4"/>
  <c r="F434" i="4"/>
  <c r="L434" i="4" s="1"/>
  <c r="N433" i="4"/>
  <c r="L433" i="4"/>
  <c r="I433" i="4"/>
  <c r="F433" i="4"/>
  <c r="N432" i="4"/>
  <c r="L432" i="4"/>
  <c r="I432" i="4"/>
  <c r="F432" i="4"/>
  <c r="N431" i="4"/>
  <c r="L431" i="4"/>
  <c r="I431" i="4"/>
  <c r="F431" i="4"/>
  <c r="N430" i="4"/>
  <c r="L430" i="4"/>
  <c r="I430" i="4"/>
  <c r="F430" i="4"/>
  <c r="N429" i="4"/>
  <c r="L429" i="4"/>
  <c r="I429" i="4"/>
  <c r="F429" i="4"/>
  <c r="N428" i="4"/>
  <c r="L428" i="4"/>
  <c r="I428" i="4"/>
  <c r="F428" i="4"/>
  <c r="N427" i="4"/>
  <c r="L427" i="4"/>
  <c r="I427" i="4"/>
  <c r="F427" i="4"/>
  <c r="N426" i="4"/>
  <c r="L426" i="4"/>
  <c r="I426" i="4"/>
  <c r="F426" i="4"/>
  <c r="N425" i="4"/>
  <c r="L425" i="4"/>
  <c r="I425" i="4"/>
  <c r="F425" i="4"/>
  <c r="N424" i="4"/>
  <c r="L424" i="4"/>
  <c r="I424" i="4"/>
  <c r="F424" i="4"/>
  <c r="N423" i="4"/>
  <c r="L423" i="4"/>
  <c r="I423" i="4"/>
  <c r="F423" i="4"/>
  <c r="N422" i="4"/>
  <c r="L422" i="4"/>
  <c r="I422" i="4"/>
  <c r="F422" i="4"/>
  <c r="N421" i="4"/>
  <c r="L421" i="4"/>
  <c r="I421" i="4"/>
  <c r="F421" i="4"/>
  <c r="N420" i="4"/>
  <c r="L420" i="4"/>
  <c r="I420" i="4"/>
  <c r="F420" i="4"/>
  <c r="N419" i="4"/>
  <c r="L419" i="4"/>
  <c r="I419" i="4"/>
  <c r="F419" i="4"/>
  <c r="N418" i="4"/>
  <c r="L418" i="4"/>
  <c r="I418" i="4"/>
  <c r="F418" i="4"/>
  <c r="N417" i="4"/>
  <c r="L417" i="4"/>
  <c r="I417" i="4"/>
  <c r="F417" i="4"/>
  <c r="N416" i="4"/>
  <c r="L416" i="4"/>
  <c r="I416" i="4"/>
  <c r="F416" i="4"/>
  <c r="N415" i="4"/>
  <c r="L415" i="4"/>
  <c r="I415" i="4"/>
  <c r="F415" i="4"/>
  <c r="N414" i="4"/>
  <c r="L414" i="4"/>
  <c r="I414" i="4"/>
  <c r="F414" i="4"/>
  <c r="N413" i="4"/>
  <c r="L413" i="4"/>
  <c r="I413" i="4"/>
  <c r="F413" i="4"/>
  <c r="N412" i="4"/>
  <c r="L412" i="4"/>
  <c r="I412" i="4"/>
  <c r="F412" i="4"/>
  <c r="N411" i="4"/>
  <c r="L411" i="4"/>
  <c r="I411" i="4"/>
  <c r="F411" i="4"/>
  <c r="N410" i="4"/>
  <c r="L410" i="4"/>
  <c r="I410" i="4"/>
  <c r="F410" i="4"/>
  <c r="N409" i="4"/>
  <c r="L409" i="4"/>
  <c r="I409" i="4"/>
  <c r="F409" i="4"/>
  <c r="N408" i="4"/>
  <c r="L408" i="4"/>
  <c r="I408" i="4"/>
  <c r="F408" i="4"/>
  <c r="N407" i="4"/>
  <c r="L407" i="4"/>
  <c r="I407" i="4"/>
  <c r="F407" i="4"/>
  <c r="N406" i="4"/>
  <c r="L406" i="4"/>
  <c r="I406" i="4"/>
  <c r="F406" i="4"/>
  <c r="N405" i="4"/>
  <c r="L405" i="4"/>
  <c r="I405" i="4"/>
  <c r="F405" i="4"/>
  <c r="N404" i="4"/>
  <c r="L404" i="4"/>
  <c r="I404" i="4"/>
  <c r="F404" i="4"/>
  <c r="N403" i="4"/>
  <c r="L403" i="4"/>
  <c r="I403" i="4"/>
  <c r="F403" i="4"/>
  <c r="N402" i="4"/>
  <c r="L402" i="4"/>
  <c r="I402" i="4"/>
  <c r="F402" i="4"/>
  <c r="N401" i="4"/>
  <c r="L401" i="4"/>
  <c r="I401" i="4"/>
  <c r="F401" i="4"/>
  <c r="N400" i="4"/>
  <c r="L400" i="4"/>
  <c r="I400" i="4"/>
  <c r="F400" i="4"/>
  <c r="N399" i="4"/>
  <c r="L399" i="4"/>
  <c r="I399" i="4"/>
  <c r="F399" i="4"/>
  <c r="N398" i="4"/>
  <c r="L398" i="4"/>
  <c r="I398" i="4"/>
  <c r="F398" i="4"/>
  <c r="N397" i="4"/>
  <c r="L397" i="4"/>
  <c r="I397" i="4"/>
  <c r="F397" i="4"/>
  <c r="N396" i="4"/>
  <c r="L396" i="4"/>
  <c r="I396" i="4"/>
  <c r="F396" i="4"/>
  <c r="N395" i="4"/>
  <c r="L395" i="4"/>
  <c r="I395" i="4"/>
  <c r="F395" i="4"/>
  <c r="N394" i="4"/>
  <c r="L394" i="4"/>
  <c r="I394" i="4"/>
  <c r="F394" i="4"/>
  <c r="N393" i="4"/>
  <c r="L393" i="4"/>
  <c r="I393" i="4"/>
  <c r="F393" i="4"/>
  <c r="N392" i="4"/>
  <c r="L392" i="4"/>
  <c r="I392" i="4"/>
  <c r="F392" i="4"/>
  <c r="N391" i="4"/>
  <c r="L391" i="4"/>
  <c r="I391" i="4"/>
  <c r="F391" i="4"/>
  <c r="N390" i="4"/>
  <c r="L390" i="4"/>
  <c r="I390" i="4"/>
  <c r="F390" i="4"/>
  <c r="N389" i="4"/>
  <c r="L389" i="4"/>
  <c r="I389" i="4"/>
  <c r="F389" i="4"/>
  <c r="N388" i="4"/>
  <c r="L388" i="4"/>
  <c r="I388" i="4"/>
  <c r="F388" i="4"/>
  <c r="N387" i="4"/>
  <c r="L387" i="4"/>
  <c r="I387" i="4"/>
  <c r="F387" i="4"/>
  <c r="N386" i="4"/>
  <c r="L386" i="4"/>
  <c r="I386" i="4"/>
  <c r="F386" i="4"/>
  <c r="N385" i="4"/>
  <c r="L385" i="4"/>
  <c r="I385" i="4"/>
  <c r="F385" i="4"/>
  <c r="N384" i="4"/>
  <c r="L384" i="4"/>
  <c r="I384" i="4"/>
  <c r="F384" i="4"/>
  <c r="N383" i="4"/>
  <c r="L383" i="4"/>
  <c r="I383" i="4"/>
  <c r="F383" i="4"/>
  <c r="N382" i="4"/>
  <c r="L382" i="4"/>
  <c r="I382" i="4"/>
  <c r="F382" i="4"/>
  <c r="N381" i="4"/>
  <c r="L381" i="4"/>
  <c r="I381" i="4"/>
  <c r="F381" i="4"/>
  <c r="N380" i="4"/>
  <c r="L380" i="4"/>
  <c r="I380" i="4"/>
  <c r="F380" i="4"/>
  <c r="N379" i="4"/>
  <c r="L379" i="4"/>
  <c r="I379" i="4"/>
  <c r="F379" i="4"/>
  <c r="N378" i="4"/>
  <c r="L378" i="4"/>
  <c r="I378" i="4"/>
  <c r="F378" i="4"/>
  <c r="N377" i="4"/>
  <c r="L377" i="4"/>
  <c r="I377" i="4"/>
  <c r="F377" i="4"/>
  <c r="N376" i="4"/>
  <c r="L376" i="4"/>
  <c r="I376" i="4"/>
  <c r="F376" i="4"/>
  <c r="N375" i="4"/>
  <c r="L375" i="4"/>
  <c r="I375" i="4"/>
  <c r="F375" i="4"/>
  <c r="N374" i="4"/>
  <c r="L374" i="4"/>
  <c r="I374" i="4"/>
  <c r="F374" i="4"/>
  <c r="N373" i="4"/>
  <c r="L373" i="4"/>
  <c r="I373" i="4"/>
  <c r="F373" i="4"/>
  <c r="N372" i="4"/>
  <c r="L372" i="4"/>
  <c r="I372" i="4"/>
  <c r="F372" i="4"/>
  <c r="N371" i="4"/>
  <c r="L371" i="4"/>
  <c r="I371" i="4"/>
  <c r="F371" i="4"/>
  <c r="N370" i="4"/>
  <c r="L370" i="4"/>
  <c r="I370" i="4"/>
  <c r="F370" i="4"/>
  <c r="N369" i="4"/>
  <c r="L369" i="4"/>
  <c r="I369" i="4"/>
  <c r="F369" i="4"/>
  <c r="N368" i="4"/>
  <c r="L368" i="4"/>
  <c r="I368" i="4"/>
  <c r="F368" i="4"/>
  <c r="N367" i="4"/>
  <c r="L367" i="4"/>
  <c r="I367" i="4"/>
  <c r="F367" i="4"/>
  <c r="N366" i="4"/>
  <c r="L366" i="4"/>
  <c r="I366" i="4"/>
  <c r="F366" i="4"/>
  <c r="N365" i="4"/>
  <c r="L365" i="4"/>
  <c r="I365" i="4"/>
  <c r="F365" i="4"/>
  <c r="N364" i="4"/>
  <c r="L364" i="4"/>
  <c r="I364" i="4"/>
  <c r="F364" i="4"/>
  <c r="N363" i="4"/>
  <c r="L363" i="4"/>
  <c r="I363" i="4"/>
  <c r="F363" i="4"/>
  <c r="N362" i="4"/>
  <c r="L362" i="4"/>
  <c r="I362" i="4"/>
  <c r="F362" i="4"/>
  <c r="N361" i="4"/>
  <c r="L361" i="4"/>
  <c r="I361" i="4"/>
  <c r="F361" i="4"/>
  <c r="N360" i="4"/>
  <c r="L360" i="4"/>
  <c r="I360" i="4"/>
  <c r="F360" i="4"/>
  <c r="N359" i="4"/>
  <c r="L359" i="4"/>
  <c r="I359" i="4"/>
  <c r="F359" i="4"/>
  <c r="N358" i="4"/>
  <c r="L358" i="4"/>
  <c r="I358" i="4"/>
  <c r="F358" i="4"/>
  <c r="N357" i="4"/>
  <c r="L357" i="4"/>
  <c r="I357" i="4"/>
  <c r="F357" i="4"/>
  <c r="N356" i="4"/>
  <c r="L356" i="4"/>
  <c r="I356" i="4"/>
  <c r="F356" i="4"/>
  <c r="N355" i="4"/>
  <c r="L355" i="4"/>
  <c r="I355" i="4"/>
  <c r="F355" i="4"/>
  <c r="N354" i="4"/>
  <c r="L354" i="4"/>
  <c r="I354" i="4"/>
  <c r="F354" i="4"/>
  <c r="N353" i="4"/>
  <c r="L353" i="4"/>
  <c r="I353" i="4"/>
  <c r="F353" i="4"/>
  <c r="N352" i="4"/>
  <c r="L352" i="4"/>
  <c r="I352" i="4"/>
  <c r="F352" i="4"/>
  <c r="N351" i="4"/>
  <c r="L351" i="4"/>
  <c r="I351" i="4"/>
  <c r="F351" i="4"/>
  <c r="N350" i="4"/>
  <c r="L350" i="4"/>
  <c r="I350" i="4"/>
  <c r="F350" i="4"/>
  <c r="N349" i="4"/>
  <c r="L349" i="4"/>
  <c r="I349" i="4"/>
  <c r="F349" i="4"/>
  <c r="N348" i="4"/>
  <c r="L348" i="4"/>
  <c r="I348" i="4"/>
  <c r="F348" i="4"/>
  <c r="N347" i="4"/>
  <c r="L347" i="4"/>
  <c r="I347" i="4"/>
  <c r="F347" i="4"/>
  <c r="N346" i="4"/>
  <c r="L346" i="4"/>
  <c r="I346" i="4"/>
  <c r="F346" i="4"/>
  <c r="N345" i="4"/>
  <c r="L345" i="4"/>
  <c r="I345" i="4"/>
  <c r="F345" i="4"/>
  <c r="N344" i="4"/>
  <c r="L344" i="4"/>
  <c r="I344" i="4"/>
  <c r="F344" i="4"/>
  <c r="N343" i="4"/>
  <c r="L343" i="4"/>
  <c r="I343" i="4"/>
  <c r="F343" i="4"/>
  <c r="N342" i="4"/>
  <c r="L342" i="4"/>
  <c r="I342" i="4"/>
  <c r="F342" i="4"/>
  <c r="N341" i="4"/>
  <c r="L341" i="4"/>
  <c r="I341" i="4"/>
  <c r="F341" i="4"/>
  <c r="N340" i="4"/>
  <c r="L340" i="4"/>
  <c r="I340" i="4"/>
  <c r="F340" i="4"/>
  <c r="N339" i="4"/>
  <c r="L339" i="4"/>
  <c r="I339" i="4"/>
  <c r="F339" i="4"/>
  <c r="N338" i="4"/>
  <c r="L338" i="4"/>
  <c r="I338" i="4"/>
  <c r="F338" i="4"/>
  <c r="A338" i="4"/>
  <c r="N337" i="4"/>
  <c r="L337" i="4" s="1"/>
  <c r="I337" i="4"/>
  <c r="F337" i="4"/>
  <c r="A337" i="4"/>
  <c r="N336" i="4"/>
  <c r="L336" i="4" s="1"/>
  <c r="F336" i="4"/>
  <c r="I336" i="4" s="1"/>
  <c r="A336" i="4"/>
  <c r="N335" i="4"/>
  <c r="L335" i="4" s="1"/>
  <c r="I335" i="4"/>
  <c r="F335" i="4"/>
  <c r="A335" i="4"/>
  <c r="N334" i="4"/>
  <c r="L334" i="4"/>
  <c r="I334" i="4"/>
  <c r="F334" i="4"/>
  <c r="A334" i="4"/>
  <c r="N333" i="4"/>
  <c r="L333" i="4" s="1"/>
  <c r="I333" i="4"/>
  <c r="F333" i="4"/>
  <c r="A333" i="4"/>
  <c r="N332" i="4"/>
  <c r="L332" i="4" s="1"/>
  <c r="F332" i="4"/>
  <c r="I332" i="4" s="1"/>
  <c r="A332" i="4"/>
  <c r="N331" i="4"/>
  <c r="L331" i="4" s="1"/>
  <c r="I331" i="4"/>
  <c r="F331" i="4"/>
  <c r="A331" i="4"/>
  <c r="N330" i="4"/>
  <c r="L330" i="4"/>
  <c r="I330" i="4"/>
  <c r="F330" i="4"/>
  <c r="A330" i="4"/>
  <c r="N329" i="4"/>
  <c r="L329" i="4" s="1"/>
  <c r="I329" i="4"/>
  <c r="F329" i="4"/>
  <c r="A329" i="4"/>
  <c r="N328" i="4"/>
  <c r="L328" i="4" s="1"/>
  <c r="F328" i="4"/>
  <c r="I328" i="4" s="1"/>
  <c r="A328" i="4"/>
  <c r="N327" i="4"/>
  <c r="L327" i="4" s="1"/>
  <c r="I327" i="4"/>
  <c r="F327" i="4"/>
  <c r="A327" i="4"/>
  <c r="N326" i="4"/>
  <c r="L326" i="4"/>
  <c r="I326" i="4"/>
  <c r="F326" i="4"/>
  <c r="A326" i="4"/>
  <c r="N325" i="4"/>
  <c r="L325" i="4" s="1"/>
  <c r="I325" i="4"/>
  <c r="F325" i="4"/>
  <c r="A325" i="4"/>
  <c r="N324" i="4"/>
  <c r="L324" i="4" s="1"/>
  <c r="F324" i="4"/>
  <c r="I324" i="4" s="1"/>
  <c r="A324" i="4"/>
  <c r="N323" i="4"/>
  <c r="L323" i="4" s="1"/>
  <c r="I323" i="4"/>
  <c r="F323" i="4"/>
  <c r="A323" i="4"/>
  <c r="N322" i="4"/>
  <c r="L322" i="4"/>
  <c r="I322" i="4"/>
  <c r="F322" i="4"/>
  <c r="A322" i="4"/>
  <c r="N321" i="4"/>
  <c r="L321" i="4" s="1"/>
  <c r="I321" i="4"/>
  <c r="F321" i="4"/>
  <c r="A321" i="4"/>
  <c r="N320" i="4"/>
  <c r="L320" i="4" s="1"/>
  <c r="F320" i="4"/>
  <c r="I320" i="4" s="1"/>
  <c r="A320" i="4"/>
  <c r="N319" i="4"/>
  <c r="L319" i="4" s="1"/>
  <c r="I319" i="4"/>
  <c r="F319" i="4"/>
  <c r="A319" i="4"/>
  <c r="N318" i="4"/>
  <c r="L318" i="4"/>
  <c r="I318" i="4"/>
  <c r="F318" i="4"/>
  <c r="A318" i="4"/>
  <c r="N317" i="4"/>
  <c r="L317" i="4" s="1"/>
  <c r="I317" i="4"/>
  <c r="F317" i="4"/>
  <c r="A317" i="4"/>
  <c r="N316" i="4"/>
  <c r="L316" i="4" s="1"/>
  <c r="F316" i="4"/>
  <c r="I316" i="4" s="1"/>
  <c r="A316" i="4"/>
  <c r="N315" i="4"/>
  <c r="L315" i="4" s="1"/>
  <c r="I315" i="4"/>
  <c r="F315" i="4"/>
  <c r="A315" i="4"/>
  <c r="N314" i="4"/>
  <c r="L314" i="4"/>
  <c r="I314" i="4"/>
  <c r="F314" i="4"/>
  <c r="A314" i="4"/>
  <c r="N313" i="4"/>
  <c r="L313" i="4" s="1"/>
  <c r="I313" i="4"/>
  <c r="F313" i="4"/>
  <c r="A313" i="4"/>
  <c r="N312" i="4"/>
  <c r="L312" i="4" s="1"/>
  <c r="F312" i="4"/>
  <c r="I312" i="4" s="1"/>
  <c r="A312" i="4"/>
  <c r="N311" i="4"/>
  <c r="L311" i="4" s="1"/>
  <c r="I311" i="4"/>
  <c r="F311" i="4"/>
  <c r="A311" i="4"/>
  <c r="N310" i="4"/>
  <c r="L310" i="4"/>
  <c r="I310" i="4"/>
  <c r="F310" i="4"/>
  <c r="A310" i="4"/>
  <c r="N309" i="4"/>
  <c r="L309" i="4" s="1"/>
  <c r="I309" i="4"/>
  <c r="F309" i="4"/>
  <c r="A309" i="4"/>
  <c r="N308" i="4"/>
  <c r="L308" i="4" s="1"/>
  <c r="F308" i="4"/>
  <c r="I308" i="4" s="1"/>
  <c r="A308" i="4"/>
  <c r="N307" i="4"/>
  <c r="L307" i="4" s="1"/>
  <c r="I307" i="4"/>
  <c r="F307" i="4"/>
  <c r="A307" i="4"/>
  <c r="N306" i="4"/>
  <c r="L306" i="4"/>
  <c r="I306" i="4"/>
  <c r="F306" i="4"/>
  <c r="A306" i="4"/>
  <c r="N305" i="4"/>
  <c r="L305" i="4" s="1"/>
  <c r="I305" i="4"/>
  <c r="F305" i="4"/>
  <c r="A305" i="4"/>
  <c r="N304" i="4"/>
  <c r="L304" i="4" s="1"/>
  <c r="F304" i="4"/>
  <c r="I304" i="4" s="1"/>
  <c r="A304" i="4"/>
  <c r="N303" i="4"/>
  <c r="L303" i="4" s="1"/>
  <c r="I303" i="4"/>
  <c r="F303" i="4"/>
  <c r="A303" i="4"/>
  <c r="N302" i="4"/>
  <c r="L302" i="4"/>
  <c r="I302" i="4"/>
  <c r="F302" i="4"/>
  <c r="A302" i="4"/>
  <c r="N301" i="4"/>
  <c r="L301" i="4" s="1"/>
  <c r="I301" i="4"/>
  <c r="F301" i="4"/>
  <c r="A301" i="4"/>
  <c r="N300" i="4"/>
  <c r="L300" i="4" s="1"/>
  <c r="F300" i="4"/>
  <c r="I300" i="4" s="1"/>
  <c r="A300" i="4"/>
  <c r="N299" i="4"/>
  <c r="L299" i="4" s="1"/>
  <c r="I299" i="4"/>
  <c r="F299" i="4"/>
  <c r="A299" i="4"/>
  <c r="N298" i="4"/>
  <c r="L298" i="4"/>
  <c r="I298" i="4"/>
  <c r="F298" i="4"/>
  <c r="A298" i="4"/>
  <c r="N297" i="4"/>
  <c r="L297" i="4" s="1"/>
  <c r="I297" i="4"/>
  <c r="F297" i="4"/>
  <c r="A297" i="4"/>
  <c r="N296" i="4"/>
  <c r="L296" i="4" s="1"/>
  <c r="F296" i="4"/>
  <c r="I296" i="4" s="1"/>
  <c r="A296" i="4"/>
  <c r="N295" i="4"/>
  <c r="L295" i="4" s="1"/>
  <c r="I295" i="4"/>
  <c r="F295" i="4"/>
  <c r="A295" i="4"/>
  <c r="N294" i="4"/>
  <c r="L294" i="4"/>
  <c r="I294" i="4"/>
  <c r="F294" i="4"/>
  <c r="A294" i="4"/>
  <c r="N293" i="4"/>
  <c r="L293" i="4" s="1"/>
  <c r="I293" i="4"/>
  <c r="F293" i="4"/>
  <c r="A293" i="4"/>
  <c r="N292" i="4"/>
  <c r="L292" i="4" s="1"/>
  <c r="F292" i="4"/>
  <c r="I292" i="4" s="1"/>
  <c r="A292" i="4"/>
  <c r="N291" i="4"/>
  <c r="L291" i="4" s="1"/>
  <c r="I291" i="4"/>
  <c r="F291" i="4"/>
  <c r="A291" i="4"/>
  <c r="N290" i="4"/>
  <c r="L290" i="4"/>
  <c r="I290" i="4"/>
  <c r="F290" i="4"/>
  <c r="A290" i="4"/>
  <c r="N289" i="4"/>
  <c r="L289" i="4" s="1"/>
  <c r="I289" i="4"/>
  <c r="F289" i="4"/>
  <c r="A289" i="4"/>
  <c r="N288" i="4"/>
  <c r="L288" i="4" s="1"/>
  <c r="F288" i="4"/>
  <c r="I288" i="4" s="1"/>
  <c r="A288" i="4"/>
  <c r="N287" i="4"/>
  <c r="L287" i="4" s="1"/>
  <c r="I287" i="4"/>
  <c r="F287" i="4"/>
  <c r="A287" i="4"/>
  <c r="N286" i="4"/>
  <c r="L286" i="4"/>
  <c r="I286" i="4"/>
  <c r="F286" i="4"/>
  <c r="A286" i="4"/>
  <c r="N285" i="4"/>
  <c r="L285" i="4" s="1"/>
  <c r="I285" i="4"/>
  <c r="F285" i="4"/>
  <c r="A285" i="4"/>
  <c r="N284" i="4"/>
  <c r="L284" i="4" s="1"/>
  <c r="F284" i="4"/>
  <c r="I284" i="4" s="1"/>
  <c r="A284" i="4"/>
  <c r="N283" i="4"/>
  <c r="L283" i="4" s="1"/>
  <c r="I283" i="4"/>
  <c r="F283" i="4"/>
  <c r="A283" i="4"/>
  <c r="N282" i="4"/>
  <c r="L282" i="4"/>
  <c r="I282" i="4"/>
  <c r="F282" i="4"/>
  <c r="A282" i="4"/>
  <c r="N281" i="4"/>
  <c r="L281" i="4" s="1"/>
  <c r="I281" i="4"/>
  <c r="F281" i="4"/>
  <c r="A281" i="4"/>
  <c r="N280" i="4"/>
  <c r="L280" i="4" s="1"/>
  <c r="F280" i="4"/>
  <c r="I280" i="4" s="1"/>
  <c r="A280" i="4"/>
  <c r="N279" i="4"/>
  <c r="L279" i="4" s="1"/>
  <c r="I279" i="4"/>
  <c r="F279" i="4"/>
  <c r="A279" i="4"/>
  <c r="N278" i="4"/>
  <c r="L278" i="4"/>
  <c r="I278" i="4"/>
  <c r="F278" i="4"/>
  <c r="A278" i="4"/>
  <c r="N277" i="4"/>
  <c r="L277" i="4" s="1"/>
  <c r="I277" i="4"/>
  <c r="F277" i="4"/>
  <c r="A277" i="4"/>
  <c r="N276" i="4"/>
  <c r="L276" i="4" s="1"/>
  <c r="F276" i="4"/>
  <c r="I276" i="4" s="1"/>
  <c r="A276" i="4"/>
  <c r="N275" i="4"/>
  <c r="L275" i="4" s="1"/>
  <c r="I275" i="4"/>
  <c r="F275" i="4"/>
  <c r="A275" i="4"/>
  <c r="N274" i="4"/>
  <c r="L274" i="4"/>
  <c r="I274" i="4"/>
  <c r="F274" i="4"/>
  <c r="A274" i="4"/>
  <c r="N273" i="4"/>
  <c r="L273" i="4" s="1"/>
  <c r="I273" i="4"/>
  <c r="F273" i="4"/>
  <c r="A273" i="4"/>
  <c r="N272" i="4"/>
  <c r="L272" i="4" s="1"/>
  <c r="F272" i="4"/>
  <c r="I272" i="4" s="1"/>
  <c r="A272" i="4"/>
  <c r="N271" i="4"/>
  <c r="L271" i="4" s="1"/>
  <c r="I271" i="4"/>
  <c r="F271" i="4"/>
  <c r="A271" i="4"/>
  <c r="N270" i="4"/>
  <c r="L270" i="4"/>
  <c r="I270" i="4"/>
  <c r="F270" i="4"/>
  <c r="A270" i="4"/>
  <c r="N269" i="4"/>
  <c r="L269" i="4" s="1"/>
  <c r="I269" i="4"/>
  <c r="F269" i="4"/>
  <c r="A269" i="4"/>
  <c r="N268" i="4"/>
  <c r="L268" i="4" s="1"/>
  <c r="F268" i="4"/>
  <c r="I268" i="4" s="1"/>
  <c r="A268" i="4"/>
  <c r="N267" i="4"/>
  <c r="L267" i="4" s="1"/>
  <c r="I267" i="4"/>
  <c r="F267" i="4"/>
  <c r="A267" i="4"/>
  <c r="N266" i="4"/>
  <c r="L266" i="4"/>
  <c r="I266" i="4"/>
  <c r="F266" i="4"/>
  <c r="A266" i="4"/>
  <c r="N265" i="4"/>
  <c r="L265" i="4" s="1"/>
  <c r="I265" i="4"/>
  <c r="F265" i="4"/>
  <c r="A265" i="4"/>
  <c r="N264" i="4"/>
  <c r="L264" i="4" s="1"/>
  <c r="F264" i="4"/>
  <c r="I264" i="4" s="1"/>
  <c r="A264" i="4"/>
  <c r="N263" i="4"/>
  <c r="L263" i="4" s="1"/>
  <c r="I263" i="4"/>
  <c r="F263" i="4"/>
  <c r="A263" i="4"/>
  <c r="N262" i="4"/>
  <c r="L262" i="4"/>
  <c r="I262" i="4"/>
  <c r="F262" i="4"/>
  <c r="A262" i="4"/>
  <c r="N261" i="4"/>
  <c r="L261" i="4" s="1"/>
  <c r="I261" i="4"/>
  <c r="F261" i="4"/>
  <c r="A261" i="4"/>
  <c r="N260" i="4"/>
  <c r="L260" i="4" s="1"/>
  <c r="F260" i="4"/>
  <c r="I260" i="4" s="1"/>
  <c r="A260" i="4"/>
  <c r="N259" i="4"/>
  <c r="L259" i="4" s="1"/>
  <c r="I259" i="4"/>
  <c r="F259" i="4"/>
  <c r="A259" i="4"/>
  <c r="N258" i="4"/>
  <c r="L258" i="4"/>
  <c r="I258" i="4"/>
  <c r="F258" i="4"/>
  <c r="A258" i="4"/>
  <c r="N257" i="4"/>
  <c r="L257" i="4" s="1"/>
  <c r="I257" i="4"/>
  <c r="F257" i="4"/>
  <c r="A257" i="4"/>
  <c r="N256" i="4"/>
  <c r="L256" i="4" s="1"/>
  <c r="F256" i="4"/>
  <c r="I256" i="4" s="1"/>
  <c r="A256" i="4"/>
  <c r="N255" i="4"/>
  <c r="L255" i="4" s="1"/>
  <c r="I255" i="4"/>
  <c r="F255" i="4"/>
  <c r="A255" i="4"/>
  <c r="N254" i="4"/>
  <c r="L254" i="4"/>
  <c r="I254" i="4"/>
  <c r="F254" i="4"/>
  <c r="A254" i="4"/>
  <c r="N253" i="4"/>
  <c r="L253" i="4" s="1"/>
  <c r="I253" i="4"/>
  <c r="F253" i="4"/>
  <c r="A253" i="4"/>
  <c r="N252" i="4"/>
  <c r="L252" i="4" s="1"/>
  <c r="F252" i="4"/>
  <c r="I252" i="4" s="1"/>
  <c r="A252" i="4"/>
  <c r="N251" i="4"/>
  <c r="L251" i="4" s="1"/>
  <c r="I251" i="4"/>
  <c r="F251" i="4"/>
  <c r="A251" i="4"/>
  <c r="N250" i="4"/>
  <c r="L250" i="4"/>
  <c r="I250" i="4"/>
  <c r="F250" i="4"/>
  <c r="A250" i="4"/>
  <c r="N249" i="4"/>
  <c r="L249" i="4" s="1"/>
  <c r="I249" i="4"/>
  <c r="F249" i="4"/>
  <c r="A249" i="4"/>
  <c r="N248" i="4"/>
  <c r="L248" i="4" s="1"/>
  <c r="F248" i="4"/>
  <c r="I248" i="4" s="1"/>
  <c r="A248" i="4"/>
  <c r="N247" i="4"/>
  <c r="L247" i="4" s="1"/>
  <c r="I247" i="4"/>
  <c r="F247" i="4"/>
  <c r="A247" i="4"/>
  <c r="N246" i="4"/>
  <c r="L246" i="4"/>
  <c r="I246" i="4"/>
  <c r="F246" i="4"/>
  <c r="A246" i="4"/>
  <c r="N245" i="4"/>
  <c r="L245" i="4" s="1"/>
  <c r="I245" i="4"/>
  <c r="F245" i="4"/>
  <c r="A245" i="4"/>
  <c r="N244" i="4"/>
  <c r="L244" i="4" s="1"/>
  <c r="F244" i="4"/>
  <c r="I244" i="4" s="1"/>
  <c r="A244" i="4"/>
  <c r="N243" i="4"/>
  <c r="L243" i="4" s="1"/>
  <c r="I243" i="4"/>
  <c r="F243" i="4"/>
  <c r="A243" i="4"/>
  <c r="N242" i="4"/>
  <c r="L242" i="4"/>
  <c r="I242" i="4"/>
  <c r="F242" i="4"/>
  <c r="A242" i="4"/>
  <c r="N241" i="4"/>
  <c r="L241" i="4" s="1"/>
  <c r="I241" i="4"/>
  <c r="F241" i="4"/>
  <c r="A241" i="4"/>
  <c r="N240" i="4"/>
  <c r="L240" i="4" s="1"/>
  <c r="F240" i="4"/>
  <c r="I240" i="4" s="1"/>
  <c r="A240" i="4"/>
  <c r="N239" i="4"/>
  <c r="L239" i="4" s="1"/>
  <c r="I239" i="4"/>
  <c r="F239" i="4"/>
  <c r="A239" i="4"/>
  <c r="N238" i="4"/>
  <c r="L238" i="4"/>
  <c r="I238" i="4"/>
  <c r="F238" i="4"/>
  <c r="A238" i="4"/>
  <c r="N237" i="4"/>
  <c r="L237" i="4" s="1"/>
  <c r="I237" i="4"/>
  <c r="F237" i="4"/>
  <c r="A237" i="4"/>
  <c r="N236" i="4"/>
  <c r="L236" i="4" s="1"/>
  <c r="F236" i="4"/>
  <c r="I236" i="4" s="1"/>
  <c r="A236" i="4"/>
  <c r="N235" i="4"/>
  <c r="L235" i="4" s="1"/>
  <c r="I235" i="4"/>
  <c r="F235" i="4"/>
  <c r="A235" i="4"/>
  <c r="N234" i="4"/>
  <c r="L234" i="4"/>
  <c r="I234" i="4"/>
  <c r="F234" i="4"/>
  <c r="A234" i="4"/>
  <c r="N233" i="4"/>
  <c r="L233" i="4" s="1"/>
  <c r="I233" i="4"/>
  <c r="F233" i="4"/>
  <c r="A233" i="4"/>
  <c r="N232" i="4"/>
  <c r="L232" i="4" s="1"/>
  <c r="F232" i="4"/>
  <c r="I232" i="4" s="1"/>
  <c r="A232" i="4"/>
  <c r="N231" i="4"/>
  <c r="L231" i="4" s="1"/>
  <c r="I231" i="4"/>
  <c r="F231" i="4"/>
  <c r="A231" i="4"/>
  <c r="N230" i="4"/>
  <c r="L230" i="4"/>
  <c r="I230" i="4"/>
  <c r="F230" i="4"/>
  <c r="A230" i="4"/>
  <c r="N229" i="4"/>
  <c r="L229" i="4" s="1"/>
  <c r="I229" i="4"/>
  <c r="F229" i="4"/>
  <c r="A229" i="4"/>
  <c r="N228" i="4"/>
  <c r="L228" i="4" s="1"/>
  <c r="F228" i="4"/>
  <c r="I228" i="4" s="1"/>
  <c r="A228" i="4"/>
  <c r="N227" i="4"/>
  <c r="L227" i="4" s="1"/>
  <c r="I227" i="4"/>
  <c r="F227" i="4"/>
  <c r="A227" i="4"/>
  <c r="N226" i="4"/>
  <c r="L226" i="4"/>
  <c r="I226" i="4"/>
  <c r="F226" i="4"/>
  <c r="A226" i="4"/>
  <c r="N225" i="4"/>
  <c r="L225" i="4" s="1"/>
  <c r="I225" i="4"/>
  <c r="F225" i="4"/>
  <c r="A225" i="4"/>
  <c r="N224" i="4"/>
  <c r="L224" i="4" s="1"/>
  <c r="F224" i="4"/>
  <c r="I224" i="4" s="1"/>
  <c r="A224" i="4"/>
  <c r="N223" i="4"/>
  <c r="L223" i="4" s="1"/>
  <c r="I223" i="4"/>
  <c r="F223" i="4"/>
  <c r="A223" i="4"/>
  <c r="N222" i="4"/>
  <c r="L222" i="4"/>
  <c r="I222" i="4"/>
  <c r="F222" i="4"/>
  <c r="A222" i="4"/>
  <c r="N221" i="4"/>
  <c r="L221" i="4" s="1"/>
  <c r="I221" i="4"/>
  <c r="F221" i="4"/>
  <c r="A221" i="4"/>
  <c r="N220" i="4"/>
  <c r="L220" i="4" s="1"/>
  <c r="F220" i="4"/>
  <c r="I220" i="4" s="1"/>
  <c r="A220" i="4"/>
  <c r="N219" i="4"/>
  <c r="L219" i="4" s="1"/>
  <c r="I219" i="4"/>
  <c r="F219" i="4"/>
  <c r="A219" i="4"/>
  <c r="N218" i="4"/>
  <c r="L218" i="4"/>
  <c r="I218" i="4"/>
  <c r="F218" i="4"/>
  <c r="A218" i="4"/>
  <c r="N217" i="4"/>
  <c r="L217" i="4" s="1"/>
  <c r="I217" i="4"/>
  <c r="F217" i="4"/>
  <c r="A217" i="4"/>
  <c r="N216" i="4"/>
  <c r="L216" i="4" s="1"/>
  <c r="F216" i="4"/>
  <c r="I216" i="4" s="1"/>
  <c r="A216" i="4"/>
  <c r="N215" i="4"/>
  <c r="L215" i="4" s="1"/>
  <c r="I215" i="4"/>
  <c r="F215" i="4"/>
  <c r="A215" i="4"/>
  <c r="N214" i="4"/>
  <c r="L214" i="4"/>
  <c r="I214" i="4"/>
  <c r="F214" i="4"/>
  <c r="A214" i="4"/>
  <c r="N213" i="4"/>
  <c r="L213" i="4" s="1"/>
  <c r="I213" i="4"/>
  <c r="F213" i="4"/>
  <c r="A213" i="4"/>
  <c r="N212" i="4"/>
  <c r="L212" i="4" s="1"/>
  <c r="F212" i="4"/>
  <c r="I212" i="4" s="1"/>
  <c r="A212" i="4"/>
  <c r="N211" i="4"/>
  <c r="L211" i="4" s="1"/>
  <c r="I211" i="4"/>
  <c r="F211" i="4"/>
  <c r="A211" i="4"/>
  <c r="N210" i="4"/>
  <c r="L210" i="4"/>
  <c r="I210" i="4"/>
  <c r="F210" i="4"/>
  <c r="A210" i="4"/>
  <c r="N209" i="4"/>
  <c r="L209" i="4" s="1"/>
  <c r="I209" i="4"/>
  <c r="F209" i="4"/>
  <c r="A209" i="4"/>
  <c r="N208" i="4"/>
  <c r="L208" i="4" s="1"/>
  <c r="F208" i="4"/>
  <c r="I208" i="4" s="1"/>
  <c r="A208" i="4"/>
  <c r="N207" i="4"/>
  <c r="L207" i="4" s="1"/>
  <c r="I207" i="4"/>
  <c r="F207" i="4"/>
  <c r="A207" i="4"/>
  <c r="N206" i="4"/>
  <c r="L206" i="4"/>
  <c r="I206" i="4"/>
  <c r="F206" i="4"/>
  <c r="A206" i="4"/>
  <c r="N205" i="4"/>
  <c r="L205" i="4" s="1"/>
  <c r="I205" i="4"/>
  <c r="F205" i="4"/>
  <c r="A205" i="4"/>
  <c r="N204" i="4"/>
  <c r="L204" i="4" s="1"/>
  <c r="F204" i="4"/>
  <c r="I204" i="4" s="1"/>
  <c r="A204" i="4"/>
  <c r="N203" i="4"/>
  <c r="L203" i="4" s="1"/>
  <c r="I203" i="4"/>
  <c r="F203" i="4"/>
  <c r="A203" i="4"/>
  <c r="N202" i="4"/>
  <c r="L202" i="4"/>
  <c r="I202" i="4"/>
  <c r="F202" i="4"/>
  <c r="A202" i="4"/>
  <c r="N201" i="4"/>
  <c r="L201" i="4" s="1"/>
  <c r="I201" i="4"/>
  <c r="F201" i="4"/>
  <c r="A201" i="4"/>
  <c r="N200" i="4"/>
  <c r="L200" i="4" s="1"/>
  <c r="F200" i="4"/>
  <c r="I200" i="4" s="1"/>
  <c r="A200" i="4"/>
  <c r="N199" i="4"/>
  <c r="L199" i="4" s="1"/>
  <c r="I199" i="4"/>
  <c r="F199" i="4"/>
  <c r="A199" i="4"/>
  <c r="N198" i="4"/>
  <c r="L198" i="4"/>
  <c r="I198" i="4"/>
  <c r="F198" i="4"/>
  <c r="A198" i="4"/>
  <c r="N197" i="4"/>
  <c r="L197" i="4" s="1"/>
  <c r="I197" i="4"/>
  <c r="F197" i="4"/>
  <c r="A197" i="4"/>
  <c r="N196" i="4"/>
  <c r="L196" i="4" s="1"/>
  <c r="F196" i="4"/>
  <c r="I196" i="4" s="1"/>
  <c r="A196" i="4"/>
  <c r="N195" i="4"/>
  <c r="L195" i="4" s="1"/>
  <c r="I195" i="4"/>
  <c r="F195" i="4"/>
  <c r="A195" i="4"/>
  <c r="N194" i="4"/>
  <c r="L194" i="4"/>
  <c r="I194" i="4"/>
  <c r="F194" i="4"/>
  <c r="A194" i="4"/>
  <c r="N193" i="4"/>
  <c r="L193" i="4" s="1"/>
  <c r="I193" i="4"/>
  <c r="F193" i="4"/>
  <c r="A193" i="4"/>
  <c r="N192" i="4"/>
  <c r="L192" i="4" s="1"/>
  <c r="F192" i="4"/>
  <c r="I192" i="4" s="1"/>
  <c r="A192" i="4"/>
  <c r="N191" i="4"/>
  <c r="L191" i="4" s="1"/>
  <c r="I191" i="4"/>
  <c r="F191" i="4"/>
  <c r="A191" i="4"/>
  <c r="N190" i="4"/>
  <c r="L190" i="4"/>
  <c r="I190" i="4"/>
  <c r="F190" i="4"/>
  <c r="A190" i="4"/>
  <c r="N189" i="4"/>
  <c r="L189" i="4" s="1"/>
  <c r="I189" i="4"/>
  <c r="F189" i="4"/>
  <c r="A189" i="4"/>
  <c r="N188" i="4"/>
  <c r="L188" i="4" s="1"/>
  <c r="F188" i="4"/>
  <c r="I188" i="4" s="1"/>
  <c r="A188" i="4"/>
  <c r="N187" i="4"/>
  <c r="L187" i="4" s="1"/>
  <c r="I187" i="4"/>
  <c r="F187" i="4"/>
  <c r="A187" i="4"/>
  <c r="N186" i="4"/>
  <c r="L186" i="4"/>
  <c r="I186" i="4"/>
  <c r="F186" i="4"/>
  <c r="A186" i="4"/>
  <c r="N185" i="4"/>
  <c r="L185" i="4" s="1"/>
  <c r="I185" i="4"/>
  <c r="F185" i="4"/>
  <c r="A185" i="4"/>
  <c r="N184" i="4"/>
  <c r="L184" i="4" s="1"/>
  <c r="F184" i="4"/>
  <c r="I184" i="4" s="1"/>
  <c r="A184" i="4"/>
  <c r="N183" i="4"/>
  <c r="L183" i="4" s="1"/>
  <c r="I183" i="4"/>
  <c r="F183" i="4"/>
  <c r="A183" i="4"/>
  <c r="N182" i="4"/>
  <c r="L182" i="4"/>
  <c r="I182" i="4"/>
  <c r="F182" i="4"/>
  <c r="A182" i="4"/>
  <c r="N181" i="4"/>
  <c r="L181" i="4" s="1"/>
  <c r="I181" i="4"/>
  <c r="F181" i="4"/>
  <c r="A181" i="4"/>
  <c r="N180" i="4"/>
  <c r="L180" i="4" s="1"/>
  <c r="F180" i="4"/>
  <c r="I180" i="4" s="1"/>
  <c r="A180" i="4"/>
  <c r="N179" i="4"/>
  <c r="L179" i="4" s="1"/>
  <c r="I179" i="4"/>
  <c r="F179" i="4"/>
  <c r="A179" i="4"/>
  <c r="N178" i="4"/>
  <c r="L178" i="4"/>
  <c r="I178" i="4"/>
  <c r="F178" i="4"/>
  <c r="A178" i="4"/>
  <c r="N177" i="4"/>
  <c r="L177" i="4" s="1"/>
  <c r="I177" i="4"/>
  <c r="F177" i="4"/>
  <c r="A177" i="4"/>
  <c r="N176" i="4"/>
  <c r="L176" i="4" s="1"/>
  <c r="F176" i="4"/>
  <c r="I176" i="4" s="1"/>
  <c r="A176" i="4"/>
  <c r="N175" i="4"/>
  <c r="L175" i="4" s="1"/>
  <c r="I175" i="4"/>
  <c r="F175" i="4"/>
  <c r="A175" i="4"/>
  <c r="N174" i="4"/>
  <c r="L174" i="4"/>
  <c r="I174" i="4"/>
  <c r="F174" i="4"/>
  <c r="A174" i="4"/>
  <c r="N173" i="4"/>
  <c r="L173" i="4" s="1"/>
  <c r="I173" i="4"/>
  <c r="F173" i="4"/>
  <c r="A173" i="4"/>
  <c r="N172" i="4"/>
  <c r="L172" i="4" s="1"/>
  <c r="F172" i="4"/>
  <c r="I172" i="4" s="1"/>
  <c r="A172" i="4"/>
  <c r="N171" i="4"/>
  <c r="L171" i="4" s="1"/>
  <c r="I171" i="4"/>
  <c r="F171" i="4"/>
  <c r="A171" i="4"/>
  <c r="N170" i="4"/>
  <c r="L170" i="4"/>
  <c r="I170" i="4"/>
  <c r="F170" i="4"/>
  <c r="N169" i="4"/>
  <c r="L169" i="4"/>
  <c r="I169" i="4"/>
  <c r="F169" i="4"/>
  <c r="N168" i="4"/>
  <c r="L168" i="4"/>
  <c r="I168" i="4"/>
  <c r="F168" i="4"/>
  <c r="N167" i="4"/>
  <c r="L167" i="4"/>
  <c r="I167" i="4"/>
  <c r="F167" i="4"/>
  <c r="N166" i="4"/>
  <c r="L166" i="4"/>
  <c r="I166" i="4"/>
  <c r="F166" i="4"/>
  <c r="N165" i="4"/>
  <c r="L165" i="4"/>
  <c r="I165" i="4"/>
  <c r="F165" i="4"/>
  <c r="N164" i="4"/>
  <c r="L164" i="4"/>
  <c r="I164" i="4"/>
  <c r="F164" i="4"/>
  <c r="N163" i="4"/>
  <c r="L163" i="4"/>
  <c r="I163" i="4"/>
  <c r="F163" i="4"/>
  <c r="N162" i="4"/>
  <c r="L162" i="4"/>
  <c r="I162" i="4"/>
  <c r="F162" i="4"/>
  <c r="N161" i="4"/>
  <c r="L161" i="4"/>
  <c r="I161" i="4"/>
  <c r="F161" i="4"/>
  <c r="N160" i="4"/>
  <c r="L160" i="4"/>
  <c r="I160" i="4"/>
  <c r="F160" i="4"/>
  <c r="N159" i="4"/>
  <c r="L159" i="4"/>
  <c r="I159" i="4"/>
  <c r="F159" i="4"/>
  <c r="N158" i="4"/>
  <c r="L158" i="4"/>
  <c r="I158" i="4"/>
  <c r="F158" i="4"/>
  <c r="N157" i="4"/>
  <c r="L157" i="4"/>
  <c r="I157" i="4"/>
  <c r="F157" i="4"/>
  <c r="N156" i="4"/>
  <c r="L156" i="4"/>
  <c r="I156" i="4"/>
  <c r="F156" i="4"/>
  <c r="N155" i="4"/>
  <c r="L155" i="4"/>
  <c r="I155" i="4"/>
  <c r="F155" i="4"/>
  <c r="N154" i="4"/>
  <c r="L154" i="4"/>
  <c r="I154" i="4"/>
  <c r="F154" i="4"/>
  <c r="N153" i="4"/>
  <c r="L153" i="4"/>
  <c r="I153" i="4"/>
  <c r="F153" i="4"/>
  <c r="N152" i="4"/>
  <c r="L152" i="4"/>
  <c r="I152" i="4"/>
  <c r="F152" i="4"/>
  <c r="N151" i="4"/>
  <c r="L151" i="4"/>
  <c r="I151" i="4"/>
  <c r="F151" i="4"/>
  <c r="N150" i="4"/>
  <c r="L150" i="4"/>
  <c r="I150" i="4"/>
  <c r="F150" i="4"/>
  <c r="N149" i="4"/>
  <c r="L149" i="4"/>
  <c r="I149" i="4"/>
  <c r="F149" i="4"/>
  <c r="N148" i="4"/>
  <c r="L148" i="4"/>
  <c r="I148" i="4"/>
  <c r="F148" i="4"/>
  <c r="N147" i="4"/>
  <c r="L147" i="4"/>
  <c r="I147" i="4"/>
  <c r="F147" i="4"/>
  <c r="N146" i="4"/>
  <c r="L146" i="4"/>
  <c r="I146" i="4"/>
  <c r="F146" i="4"/>
  <c r="N145" i="4"/>
  <c r="L145" i="4"/>
  <c r="I145" i="4"/>
  <c r="F145" i="4"/>
  <c r="N144" i="4"/>
  <c r="L144" i="4"/>
  <c r="I144" i="4"/>
  <c r="F144" i="4"/>
  <c r="N143" i="4"/>
  <c r="L143" i="4"/>
  <c r="I143" i="4"/>
  <c r="F143" i="4"/>
  <c r="N142" i="4"/>
  <c r="L142" i="4"/>
  <c r="I142" i="4"/>
  <c r="F142" i="4"/>
  <c r="N141" i="4"/>
  <c r="L141" i="4"/>
  <c r="I141" i="4"/>
  <c r="F141" i="4"/>
  <c r="N140" i="4"/>
  <c r="L140" i="4"/>
  <c r="I140" i="4"/>
  <c r="F140" i="4"/>
  <c r="N139" i="4"/>
  <c r="L139" i="4"/>
  <c r="I139" i="4"/>
  <c r="F139" i="4"/>
  <c r="N138" i="4"/>
  <c r="L138" i="4"/>
  <c r="I138" i="4"/>
  <c r="F138" i="4"/>
  <c r="N137" i="4"/>
  <c r="L137" i="4"/>
  <c r="I137" i="4"/>
  <c r="F137" i="4"/>
  <c r="N136" i="4"/>
  <c r="L136" i="4"/>
  <c r="I136" i="4"/>
  <c r="F136" i="4"/>
  <c r="N135" i="4"/>
  <c r="L135" i="4"/>
  <c r="I135" i="4"/>
  <c r="F135" i="4"/>
  <c r="N134" i="4"/>
  <c r="L134" i="4"/>
  <c r="I134" i="4"/>
  <c r="F134" i="4"/>
  <c r="N133" i="4"/>
  <c r="L133" i="4"/>
  <c r="I133" i="4"/>
  <c r="F133" i="4"/>
  <c r="N132" i="4"/>
  <c r="L132" i="4"/>
  <c r="I132" i="4"/>
  <c r="F132" i="4"/>
  <c r="N131" i="4"/>
  <c r="L131" i="4"/>
  <c r="I131" i="4"/>
  <c r="F131" i="4"/>
  <c r="N130" i="4"/>
  <c r="L130" i="4"/>
  <c r="I130" i="4"/>
  <c r="F130" i="4"/>
  <c r="N129" i="4"/>
  <c r="L129" i="4"/>
  <c r="I129" i="4"/>
  <c r="F129" i="4"/>
  <c r="N128" i="4"/>
  <c r="L128" i="4"/>
  <c r="I128" i="4"/>
  <c r="F128" i="4"/>
  <c r="N127" i="4"/>
  <c r="L127" i="4"/>
  <c r="I127" i="4"/>
  <c r="F127" i="4"/>
  <c r="N126" i="4"/>
  <c r="L126" i="4"/>
  <c r="I126" i="4"/>
  <c r="F126" i="4"/>
  <c r="N125" i="4"/>
  <c r="L125" i="4"/>
  <c r="I125" i="4"/>
  <c r="F125" i="4"/>
  <c r="N124" i="4"/>
  <c r="L124" i="4"/>
  <c r="I124" i="4"/>
  <c r="F124" i="4"/>
  <c r="N123" i="4"/>
  <c r="L123" i="4"/>
  <c r="I123" i="4"/>
  <c r="F123" i="4"/>
  <c r="N122" i="4"/>
  <c r="L122" i="4"/>
  <c r="I122" i="4"/>
  <c r="F122" i="4"/>
  <c r="N121" i="4"/>
  <c r="L121" i="4"/>
  <c r="I121" i="4"/>
  <c r="F121" i="4"/>
  <c r="N120" i="4"/>
  <c r="L120" i="4"/>
  <c r="I120" i="4"/>
  <c r="F120" i="4"/>
  <c r="N119" i="4"/>
  <c r="L119" i="4"/>
  <c r="I119" i="4"/>
  <c r="F119" i="4"/>
  <c r="N118" i="4"/>
  <c r="L118" i="4"/>
  <c r="I118" i="4"/>
  <c r="F118" i="4"/>
  <c r="N117" i="4"/>
  <c r="L117" i="4"/>
  <c r="I117" i="4"/>
  <c r="F117" i="4"/>
  <c r="N116" i="4"/>
  <c r="L116" i="4"/>
  <c r="I116" i="4"/>
  <c r="F116" i="4"/>
  <c r="N115" i="4"/>
  <c r="L115" i="4"/>
  <c r="I115" i="4"/>
  <c r="F115" i="4"/>
  <c r="N114" i="4"/>
  <c r="L114" i="4"/>
  <c r="I114" i="4"/>
  <c r="F114" i="4"/>
  <c r="N113" i="4"/>
  <c r="L113" i="4"/>
  <c r="I113" i="4"/>
  <c r="F113" i="4"/>
  <c r="N112" i="4"/>
  <c r="L112" i="4"/>
  <c r="I112" i="4"/>
  <c r="F112" i="4"/>
  <c r="N111" i="4"/>
  <c r="L111" i="4"/>
  <c r="I111" i="4"/>
  <c r="F111" i="4"/>
  <c r="N110" i="4"/>
  <c r="L110" i="4"/>
  <c r="I110" i="4"/>
  <c r="F110" i="4"/>
  <c r="N109" i="4"/>
  <c r="L109" i="4"/>
  <c r="I109" i="4"/>
  <c r="F109" i="4"/>
  <c r="N108" i="4"/>
  <c r="L108" i="4"/>
  <c r="I108" i="4"/>
  <c r="F108" i="4"/>
  <c r="N107" i="4"/>
  <c r="L107" i="4"/>
  <c r="I107" i="4"/>
  <c r="F107" i="4"/>
  <c r="N106" i="4"/>
  <c r="L106" i="4"/>
  <c r="I106" i="4"/>
  <c r="F106" i="4"/>
  <c r="N105" i="4"/>
  <c r="L105" i="4"/>
  <c r="I105" i="4"/>
  <c r="F105" i="4"/>
  <c r="N104" i="4"/>
  <c r="L104" i="4"/>
  <c r="I104" i="4"/>
  <c r="F104" i="4"/>
  <c r="N103" i="4"/>
  <c r="L103" i="4"/>
  <c r="I103" i="4"/>
  <c r="F103" i="4"/>
  <c r="N102" i="4"/>
  <c r="L102" i="4"/>
  <c r="I102" i="4"/>
  <c r="F102" i="4"/>
  <c r="N101" i="4"/>
  <c r="L101" i="4"/>
  <c r="I101" i="4"/>
  <c r="F101" i="4"/>
  <c r="N100" i="4"/>
  <c r="L100" i="4"/>
  <c r="I100" i="4"/>
  <c r="F100" i="4"/>
  <c r="N99" i="4"/>
  <c r="L99" i="4"/>
  <c r="I99" i="4"/>
  <c r="F99" i="4"/>
  <c r="N98" i="4"/>
  <c r="L98" i="4"/>
  <c r="I98" i="4"/>
  <c r="F98" i="4"/>
  <c r="N97" i="4"/>
  <c r="L97" i="4"/>
  <c r="I97" i="4"/>
  <c r="F97" i="4"/>
  <c r="N96" i="4"/>
  <c r="L96" i="4"/>
  <c r="I96" i="4"/>
  <c r="F96" i="4"/>
  <c r="N95" i="4"/>
  <c r="L95" i="4"/>
  <c r="I95" i="4"/>
  <c r="F95" i="4"/>
  <c r="N94" i="4"/>
  <c r="L94" i="4"/>
  <c r="I94" i="4"/>
  <c r="F94" i="4"/>
  <c r="N93" i="4"/>
  <c r="L93" i="4"/>
  <c r="I93" i="4"/>
  <c r="F93" i="4"/>
  <c r="N92" i="4"/>
  <c r="L92" i="4"/>
  <c r="I92" i="4"/>
  <c r="F92" i="4"/>
  <c r="N91" i="4"/>
  <c r="L91" i="4"/>
  <c r="I91" i="4"/>
  <c r="F91" i="4"/>
  <c r="N90" i="4"/>
  <c r="L90" i="4"/>
  <c r="I90" i="4"/>
  <c r="F90" i="4"/>
  <c r="N89" i="4"/>
  <c r="L89" i="4"/>
  <c r="I89" i="4"/>
  <c r="F89" i="4"/>
  <c r="N88" i="4"/>
  <c r="L88" i="4"/>
  <c r="I88" i="4"/>
  <c r="F88" i="4"/>
  <c r="N87" i="4"/>
  <c r="L87" i="4"/>
  <c r="I87" i="4"/>
  <c r="F87" i="4"/>
  <c r="N86" i="4"/>
  <c r="L86" i="4"/>
  <c r="I86" i="4"/>
  <c r="F86" i="4"/>
  <c r="N85" i="4"/>
  <c r="L85" i="4"/>
  <c r="I85" i="4"/>
  <c r="F85" i="4"/>
  <c r="N84" i="4"/>
  <c r="L84" i="4"/>
  <c r="I84" i="4"/>
  <c r="F84" i="4"/>
  <c r="N83" i="4"/>
  <c r="L83" i="4"/>
  <c r="I83" i="4"/>
  <c r="F83" i="4"/>
  <c r="N82" i="4"/>
  <c r="L82" i="4"/>
  <c r="I82" i="4"/>
  <c r="F82" i="4"/>
  <c r="N81" i="4"/>
  <c r="L81" i="4"/>
  <c r="I81" i="4"/>
  <c r="F81" i="4"/>
  <c r="N80" i="4"/>
  <c r="L80" i="4"/>
  <c r="I80" i="4"/>
  <c r="F80" i="4"/>
  <c r="N79" i="4"/>
  <c r="L79" i="4"/>
  <c r="I79" i="4"/>
  <c r="F79" i="4"/>
  <c r="N78" i="4"/>
  <c r="L78" i="4"/>
  <c r="I78" i="4"/>
  <c r="F78" i="4"/>
  <c r="N77" i="4"/>
  <c r="L77" i="4"/>
  <c r="I77" i="4"/>
  <c r="F77" i="4"/>
  <c r="N76" i="4"/>
  <c r="L76" i="4"/>
  <c r="I76" i="4"/>
  <c r="F76" i="4"/>
  <c r="N75" i="4"/>
  <c r="L75" i="4"/>
  <c r="I75" i="4"/>
  <c r="F75" i="4"/>
  <c r="N74" i="4"/>
  <c r="L74" i="4"/>
  <c r="I74" i="4"/>
  <c r="F74" i="4"/>
  <c r="N73" i="4"/>
  <c r="L73" i="4"/>
  <c r="I73" i="4"/>
  <c r="F73" i="4"/>
  <c r="N72" i="4"/>
  <c r="L72" i="4"/>
  <c r="I72" i="4"/>
  <c r="F72" i="4"/>
  <c r="N71" i="4"/>
  <c r="L71" i="4"/>
  <c r="I71" i="4"/>
  <c r="F71" i="4"/>
  <c r="N70" i="4"/>
  <c r="L70" i="4"/>
  <c r="I70" i="4"/>
  <c r="F70" i="4"/>
  <c r="N69" i="4"/>
  <c r="L69" i="4"/>
  <c r="I69" i="4"/>
  <c r="F69" i="4"/>
  <c r="N68" i="4"/>
  <c r="L68" i="4"/>
  <c r="I68" i="4"/>
  <c r="F68" i="4"/>
  <c r="N67" i="4"/>
  <c r="L67" i="4"/>
  <c r="I67" i="4"/>
  <c r="F67" i="4"/>
  <c r="N66" i="4"/>
  <c r="L66" i="4"/>
  <c r="I66" i="4"/>
  <c r="F66" i="4"/>
  <c r="N65" i="4"/>
  <c r="L65" i="4"/>
  <c r="I65" i="4"/>
  <c r="F65" i="4"/>
  <c r="N64" i="4"/>
  <c r="L64" i="4"/>
  <c r="I64" i="4"/>
  <c r="F64" i="4"/>
  <c r="N63" i="4"/>
  <c r="L63" i="4"/>
  <c r="I63" i="4"/>
  <c r="F63" i="4"/>
  <c r="N62" i="4"/>
  <c r="L62" i="4"/>
  <c r="I62" i="4"/>
  <c r="F62" i="4"/>
  <c r="N61" i="4"/>
  <c r="L61" i="4"/>
  <c r="I61" i="4"/>
  <c r="F61" i="4"/>
  <c r="N60" i="4"/>
  <c r="L60" i="4"/>
  <c r="I60" i="4"/>
  <c r="F60" i="4"/>
  <c r="N59" i="4"/>
  <c r="L59" i="4"/>
  <c r="I59" i="4"/>
  <c r="F59" i="4"/>
  <c r="N58" i="4"/>
  <c r="L58" i="4"/>
  <c r="I58" i="4"/>
  <c r="F58" i="4"/>
  <c r="N57" i="4"/>
  <c r="L57" i="4"/>
  <c r="I57" i="4"/>
  <c r="F57" i="4"/>
  <c r="N56" i="4"/>
  <c r="L56" i="4"/>
  <c r="I56" i="4"/>
  <c r="F56" i="4"/>
  <c r="N55" i="4"/>
  <c r="L55" i="4"/>
  <c r="I55" i="4"/>
  <c r="F55" i="4"/>
  <c r="N54" i="4"/>
  <c r="L54" i="4"/>
  <c r="I54" i="4"/>
  <c r="F54" i="4"/>
  <c r="N53" i="4"/>
  <c r="L53" i="4"/>
  <c r="I53" i="4"/>
  <c r="F53" i="4"/>
  <c r="N52" i="4"/>
  <c r="L52" i="4"/>
  <c r="I52" i="4"/>
  <c r="F52" i="4"/>
  <c r="N51" i="4"/>
  <c r="L51" i="4"/>
  <c r="I51" i="4"/>
  <c r="F51" i="4"/>
  <c r="N50" i="4"/>
  <c r="L50" i="4"/>
  <c r="I50" i="4"/>
  <c r="F50" i="4"/>
  <c r="N49" i="4"/>
  <c r="L49" i="4"/>
  <c r="I49" i="4"/>
  <c r="F49" i="4"/>
  <c r="N48" i="4"/>
  <c r="L48" i="4"/>
  <c r="I48" i="4"/>
  <c r="F48" i="4"/>
  <c r="N47" i="4"/>
  <c r="L47" i="4"/>
  <c r="I47" i="4"/>
  <c r="F47" i="4"/>
  <c r="N46" i="4"/>
  <c r="L46" i="4"/>
  <c r="I46" i="4"/>
  <c r="F46" i="4"/>
  <c r="N45" i="4"/>
  <c r="L45" i="4"/>
  <c r="I45" i="4"/>
  <c r="F45" i="4"/>
  <c r="N44" i="4"/>
  <c r="L44" i="4"/>
  <c r="I44" i="4"/>
  <c r="F44" i="4"/>
  <c r="N43" i="4"/>
  <c r="L43" i="4"/>
  <c r="I43" i="4"/>
  <c r="F43" i="4"/>
  <c r="N42" i="4"/>
  <c r="L42" i="4"/>
  <c r="I42" i="4"/>
  <c r="F42" i="4"/>
  <c r="N41" i="4"/>
  <c r="L41" i="4"/>
  <c r="I41" i="4"/>
  <c r="F41" i="4"/>
  <c r="N40" i="4"/>
  <c r="L40" i="4"/>
  <c r="I40" i="4"/>
  <c r="F40" i="4"/>
  <c r="N39" i="4"/>
  <c r="L39" i="4"/>
  <c r="I39" i="4"/>
  <c r="F39" i="4"/>
  <c r="N38" i="4"/>
  <c r="L38" i="4"/>
  <c r="I38" i="4"/>
  <c r="F38" i="4"/>
  <c r="N37" i="4"/>
  <c r="L37" i="4"/>
  <c r="I37" i="4"/>
  <c r="F37" i="4"/>
  <c r="N36" i="4"/>
  <c r="L36" i="4"/>
  <c r="I36" i="4"/>
  <c r="F36" i="4"/>
  <c r="N35" i="4"/>
  <c r="L35" i="4"/>
  <c r="I35" i="4"/>
  <c r="F35" i="4"/>
  <c r="N34" i="4"/>
  <c r="L34" i="4"/>
  <c r="I34" i="4"/>
  <c r="F34" i="4"/>
  <c r="N33" i="4"/>
  <c r="L33" i="4"/>
  <c r="I33" i="4"/>
  <c r="F33" i="4"/>
  <c r="N32" i="4"/>
  <c r="L32" i="4"/>
  <c r="I32" i="4"/>
  <c r="F32" i="4"/>
  <c r="N31" i="4"/>
  <c r="L31" i="4"/>
  <c r="I31" i="4"/>
  <c r="F31" i="4"/>
  <c r="N30" i="4"/>
  <c r="L30" i="4"/>
  <c r="I30" i="4"/>
  <c r="F30" i="4"/>
  <c r="N29" i="4"/>
  <c r="L29" i="4"/>
  <c r="I29" i="4"/>
  <c r="F29" i="4"/>
  <c r="N28" i="4"/>
  <c r="L28" i="4"/>
  <c r="I28" i="4"/>
  <c r="F28" i="4"/>
  <c r="N27" i="4"/>
  <c r="L27" i="4"/>
  <c r="I27" i="4"/>
  <c r="F27" i="4"/>
  <c r="N26" i="4"/>
  <c r="L26" i="4"/>
  <c r="I26" i="4"/>
  <c r="F26" i="4"/>
  <c r="N25" i="4"/>
  <c r="L25" i="4"/>
  <c r="I25" i="4"/>
  <c r="F25" i="4"/>
  <c r="N24" i="4"/>
  <c r="L24" i="4"/>
  <c r="I24" i="4"/>
  <c r="F24" i="4"/>
  <c r="N23" i="4"/>
  <c r="L23" i="4"/>
  <c r="I23" i="4"/>
  <c r="F23" i="4"/>
  <c r="N22" i="4"/>
  <c r="L22" i="4"/>
  <c r="I22" i="4"/>
  <c r="F22" i="4"/>
  <c r="N21" i="4"/>
  <c r="L21" i="4"/>
  <c r="I21" i="4"/>
  <c r="F21" i="4"/>
  <c r="N20" i="4"/>
  <c r="L20" i="4"/>
  <c r="I20" i="4"/>
  <c r="F20" i="4"/>
  <c r="N19" i="4"/>
  <c r="L19" i="4"/>
  <c r="I19" i="4"/>
  <c r="F19" i="4"/>
  <c r="N18" i="4"/>
  <c r="L18" i="4"/>
  <c r="I18" i="4"/>
  <c r="F18" i="4"/>
  <c r="N17" i="4"/>
  <c r="L17" i="4"/>
  <c r="I17" i="4"/>
  <c r="F17" i="4"/>
  <c r="N16" i="4"/>
  <c r="L16" i="4"/>
  <c r="I16" i="4"/>
  <c r="F16" i="4"/>
  <c r="N15" i="4"/>
  <c r="L15" i="4"/>
  <c r="I15" i="4"/>
  <c r="F15" i="4"/>
  <c r="N14" i="4"/>
  <c r="L14" i="4"/>
  <c r="I14" i="4"/>
  <c r="F14" i="4"/>
  <c r="N13" i="4"/>
  <c r="L13" i="4"/>
  <c r="I13" i="4"/>
  <c r="F13" i="4"/>
  <c r="N12" i="4"/>
  <c r="L12" i="4"/>
  <c r="I12" i="4"/>
  <c r="F12" i="4"/>
  <c r="N11" i="4"/>
  <c r="L11" i="4"/>
  <c r="I11" i="4"/>
  <c r="F11" i="4"/>
  <c r="N10" i="4"/>
  <c r="L10" i="4"/>
  <c r="I10" i="4"/>
  <c r="F10" i="4"/>
  <c r="N9" i="4"/>
  <c r="L9" i="4"/>
  <c r="I9" i="4"/>
  <c r="F9" i="4"/>
  <c r="N8" i="4"/>
  <c r="L8" i="4"/>
  <c r="I8" i="4"/>
  <c r="F8" i="4"/>
  <c r="N7" i="4"/>
  <c r="L7" i="4"/>
  <c r="I7" i="4"/>
  <c r="F7" i="4"/>
  <c r="N6" i="4"/>
  <c r="L6" i="4"/>
  <c r="I6" i="4"/>
  <c r="F6" i="4"/>
  <c r="N5" i="4"/>
  <c r="L5" i="4"/>
  <c r="I5" i="4"/>
  <c r="F5" i="4"/>
  <c r="N4" i="4"/>
  <c r="L4" i="4"/>
  <c r="I4" i="4"/>
  <c r="F4" i="4"/>
  <c r="N3" i="4"/>
  <c r="L3" i="4"/>
  <c r="I3" i="4"/>
  <c r="F3" i="4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A338" i="3"/>
  <c r="D338" i="3" s="1"/>
  <c r="A337" i="3"/>
  <c r="D337" i="3" s="1"/>
  <c r="A336" i="3"/>
  <c r="D336" i="3" s="1"/>
  <c r="A335" i="3"/>
  <c r="D335" i="3" s="1"/>
  <c r="A334" i="3"/>
  <c r="D334" i="3" s="1"/>
  <c r="A333" i="3"/>
  <c r="D333" i="3" s="1"/>
  <c r="A332" i="3"/>
  <c r="D332" i="3" s="1"/>
  <c r="A331" i="3"/>
  <c r="D331" i="3" s="1"/>
  <c r="A330" i="3"/>
  <c r="D330" i="3" s="1"/>
  <c r="A329" i="3"/>
  <c r="D329" i="3" s="1"/>
  <c r="A328" i="3"/>
  <c r="D328" i="3" s="1"/>
  <c r="A327" i="3"/>
  <c r="D327" i="3" s="1"/>
  <c r="A326" i="3"/>
  <c r="D326" i="3" s="1"/>
  <c r="A325" i="3"/>
  <c r="D325" i="3" s="1"/>
  <c r="A324" i="3"/>
  <c r="D324" i="3" s="1"/>
  <c r="A323" i="3"/>
  <c r="D323" i="3" s="1"/>
  <c r="A322" i="3"/>
  <c r="D322" i="3" s="1"/>
  <c r="A321" i="3"/>
  <c r="D321" i="3" s="1"/>
  <c r="A320" i="3"/>
  <c r="D320" i="3" s="1"/>
  <c r="A319" i="3"/>
  <c r="D319" i="3" s="1"/>
  <c r="A318" i="3"/>
  <c r="D318" i="3" s="1"/>
  <c r="A317" i="3"/>
  <c r="D317" i="3" s="1"/>
  <c r="A316" i="3"/>
  <c r="D316" i="3" s="1"/>
  <c r="A315" i="3"/>
  <c r="D315" i="3" s="1"/>
  <c r="A314" i="3"/>
  <c r="D314" i="3" s="1"/>
  <c r="A313" i="3"/>
  <c r="D313" i="3" s="1"/>
  <c r="A312" i="3"/>
  <c r="D312" i="3" s="1"/>
  <c r="A311" i="3"/>
  <c r="D311" i="3" s="1"/>
  <c r="A310" i="3"/>
  <c r="D310" i="3" s="1"/>
  <c r="A309" i="3"/>
  <c r="D309" i="3" s="1"/>
  <c r="A308" i="3"/>
  <c r="D308" i="3" s="1"/>
  <c r="A307" i="3"/>
  <c r="D307" i="3" s="1"/>
  <c r="A306" i="3"/>
  <c r="D306" i="3" s="1"/>
  <c r="A305" i="3"/>
  <c r="D305" i="3" s="1"/>
  <c r="A304" i="3"/>
  <c r="D304" i="3" s="1"/>
  <c r="A303" i="3"/>
  <c r="D303" i="3" s="1"/>
  <c r="A302" i="3"/>
  <c r="D302" i="3" s="1"/>
  <c r="A301" i="3"/>
  <c r="D301" i="3" s="1"/>
  <c r="A300" i="3"/>
  <c r="D300" i="3" s="1"/>
  <c r="A299" i="3"/>
  <c r="D299" i="3" s="1"/>
  <c r="A298" i="3"/>
  <c r="D298" i="3" s="1"/>
  <c r="A297" i="3"/>
  <c r="D297" i="3" s="1"/>
  <c r="A296" i="3"/>
  <c r="D296" i="3" s="1"/>
  <c r="A295" i="3"/>
  <c r="D295" i="3" s="1"/>
  <c r="A294" i="3"/>
  <c r="D294" i="3" s="1"/>
  <c r="A293" i="3"/>
  <c r="D293" i="3" s="1"/>
  <c r="A292" i="3"/>
  <c r="D292" i="3" s="1"/>
  <c r="A291" i="3"/>
  <c r="D291" i="3" s="1"/>
  <c r="A290" i="3"/>
  <c r="D290" i="3" s="1"/>
  <c r="A289" i="3"/>
  <c r="D289" i="3" s="1"/>
  <c r="A288" i="3"/>
  <c r="D288" i="3" s="1"/>
  <c r="A287" i="3"/>
  <c r="D287" i="3" s="1"/>
  <c r="A286" i="3"/>
  <c r="D286" i="3" s="1"/>
  <c r="A285" i="3"/>
  <c r="D285" i="3" s="1"/>
  <c r="A284" i="3"/>
  <c r="D284" i="3" s="1"/>
  <c r="A283" i="3"/>
  <c r="D283" i="3" s="1"/>
  <c r="A282" i="3"/>
  <c r="D282" i="3" s="1"/>
  <c r="A281" i="3"/>
  <c r="D281" i="3" s="1"/>
  <c r="A280" i="3"/>
  <c r="D280" i="3" s="1"/>
  <c r="A279" i="3"/>
  <c r="D279" i="3" s="1"/>
  <c r="A278" i="3"/>
  <c r="D278" i="3" s="1"/>
  <c r="A277" i="3"/>
  <c r="D277" i="3" s="1"/>
  <c r="A276" i="3"/>
  <c r="D276" i="3" s="1"/>
  <c r="A275" i="3"/>
  <c r="D275" i="3" s="1"/>
  <c r="A274" i="3"/>
  <c r="D274" i="3" s="1"/>
  <c r="A273" i="3"/>
  <c r="D273" i="3" s="1"/>
  <c r="A272" i="3"/>
  <c r="D272" i="3" s="1"/>
  <c r="A271" i="3"/>
  <c r="D271" i="3" s="1"/>
  <c r="A270" i="3"/>
  <c r="D270" i="3" s="1"/>
  <c r="A269" i="3"/>
  <c r="D269" i="3" s="1"/>
  <c r="A268" i="3"/>
  <c r="D268" i="3" s="1"/>
  <c r="A267" i="3"/>
  <c r="D267" i="3" s="1"/>
  <c r="A266" i="3"/>
  <c r="D266" i="3" s="1"/>
  <c r="A265" i="3"/>
  <c r="D265" i="3" s="1"/>
  <c r="A264" i="3"/>
  <c r="D264" i="3" s="1"/>
  <c r="A263" i="3"/>
  <c r="D263" i="3" s="1"/>
  <c r="A262" i="3"/>
  <c r="D262" i="3" s="1"/>
  <c r="A261" i="3"/>
  <c r="D261" i="3" s="1"/>
  <c r="A260" i="3"/>
  <c r="D260" i="3" s="1"/>
  <c r="A259" i="3"/>
  <c r="D259" i="3" s="1"/>
  <c r="A258" i="3"/>
  <c r="D258" i="3" s="1"/>
  <c r="A257" i="3"/>
  <c r="D257" i="3" s="1"/>
  <c r="A256" i="3"/>
  <c r="D256" i="3" s="1"/>
  <c r="A255" i="3"/>
  <c r="D255" i="3" s="1"/>
  <c r="A254" i="3"/>
  <c r="D254" i="3" s="1"/>
  <c r="A253" i="3"/>
  <c r="D253" i="3" s="1"/>
  <c r="A252" i="3"/>
  <c r="D252" i="3" s="1"/>
  <c r="A251" i="3"/>
  <c r="D251" i="3" s="1"/>
  <c r="A250" i="3"/>
  <c r="D250" i="3" s="1"/>
  <c r="A249" i="3"/>
  <c r="D249" i="3" s="1"/>
  <c r="A248" i="3"/>
  <c r="D248" i="3" s="1"/>
  <c r="A247" i="3"/>
  <c r="D247" i="3" s="1"/>
  <c r="A246" i="3"/>
  <c r="D246" i="3" s="1"/>
  <c r="A245" i="3"/>
  <c r="D245" i="3" s="1"/>
  <c r="A244" i="3"/>
  <c r="D244" i="3" s="1"/>
  <c r="A243" i="3"/>
  <c r="D243" i="3" s="1"/>
  <c r="A242" i="3"/>
  <c r="D242" i="3" s="1"/>
  <c r="A241" i="3"/>
  <c r="D241" i="3" s="1"/>
  <c r="A240" i="3"/>
  <c r="D240" i="3" s="1"/>
  <c r="A239" i="3"/>
  <c r="D239" i="3" s="1"/>
  <c r="A238" i="3"/>
  <c r="D238" i="3" s="1"/>
  <c r="A237" i="3"/>
  <c r="D237" i="3" s="1"/>
  <c r="A236" i="3"/>
  <c r="D236" i="3" s="1"/>
  <c r="A235" i="3"/>
  <c r="D235" i="3" s="1"/>
  <c r="A234" i="3"/>
  <c r="D234" i="3" s="1"/>
  <c r="A233" i="3"/>
  <c r="D233" i="3" s="1"/>
  <c r="A232" i="3"/>
  <c r="D232" i="3" s="1"/>
  <c r="A231" i="3"/>
  <c r="D231" i="3" s="1"/>
  <c r="A230" i="3"/>
  <c r="D230" i="3" s="1"/>
  <c r="A229" i="3"/>
  <c r="D229" i="3" s="1"/>
  <c r="A228" i="3"/>
  <c r="D228" i="3" s="1"/>
  <c r="A227" i="3"/>
  <c r="D227" i="3" s="1"/>
  <c r="A226" i="3"/>
  <c r="D226" i="3" s="1"/>
  <c r="A225" i="3"/>
  <c r="D225" i="3" s="1"/>
  <c r="A224" i="3"/>
  <c r="D224" i="3" s="1"/>
  <c r="A223" i="3"/>
  <c r="D223" i="3" s="1"/>
  <c r="A222" i="3"/>
  <c r="D222" i="3" s="1"/>
  <c r="A221" i="3"/>
  <c r="D221" i="3" s="1"/>
  <c r="A220" i="3"/>
  <c r="D220" i="3" s="1"/>
  <c r="A219" i="3"/>
  <c r="D219" i="3" s="1"/>
  <c r="A218" i="3"/>
  <c r="D218" i="3" s="1"/>
  <c r="A217" i="3"/>
  <c r="D217" i="3" s="1"/>
  <c r="A216" i="3"/>
  <c r="D216" i="3" s="1"/>
  <c r="A215" i="3"/>
  <c r="D215" i="3" s="1"/>
  <c r="A214" i="3"/>
  <c r="D214" i="3" s="1"/>
  <c r="A213" i="3"/>
  <c r="D213" i="3" s="1"/>
  <c r="A212" i="3"/>
  <c r="D212" i="3" s="1"/>
  <c r="A211" i="3"/>
  <c r="D211" i="3" s="1"/>
  <c r="A210" i="3"/>
  <c r="D210" i="3" s="1"/>
  <c r="A209" i="3"/>
  <c r="D209" i="3" s="1"/>
  <c r="A208" i="3"/>
  <c r="D208" i="3" s="1"/>
  <c r="A207" i="3"/>
  <c r="D207" i="3" s="1"/>
  <c r="A206" i="3"/>
  <c r="D206" i="3" s="1"/>
  <c r="A205" i="3"/>
  <c r="D205" i="3" s="1"/>
  <c r="A204" i="3"/>
  <c r="D204" i="3" s="1"/>
  <c r="A203" i="3"/>
  <c r="D203" i="3" s="1"/>
  <c r="A202" i="3"/>
  <c r="D202" i="3" s="1"/>
  <c r="A201" i="3"/>
  <c r="D201" i="3" s="1"/>
  <c r="A200" i="3"/>
  <c r="D200" i="3" s="1"/>
  <c r="A199" i="3"/>
  <c r="D199" i="3" s="1"/>
  <c r="A198" i="3"/>
  <c r="D198" i="3" s="1"/>
  <c r="A197" i="3"/>
  <c r="D197" i="3" s="1"/>
  <c r="A196" i="3"/>
  <c r="D196" i="3" s="1"/>
  <c r="A195" i="3"/>
  <c r="D195" i="3" s="1"/>
  <c r="A194" i="3"/>
  <c r="D194" i="3" s="1"/>
  <c r="A193" i="3"/>
  <c r="D193" i="3" s="1"/>
  <c r="A192" i="3"/>
  <c r="D192" i="3" s="1"/>
  <c r="A191" i="3"/>
  <c r="D191" i="3" s="1"/>
  <c r="A190" i="3"/>
  <c r="D190" i="3" s="1"/>
  <c r="A189" i="3"/>
  <c r="D189" i="3" s="1"/>
  <c r="A188" i="3"/>
  <c r="D188" i="3" s="1"/>
  <c r="A187" i="3"/>
  <c r="D187" i="3" s="1"/>
  <c r="A186" i="3"/>
  <c r="D186" i="3" s="1"/>
  <c r="A185" i="3"/>
  <c r="D185" i="3" s="1"/>
  <c r="A184" i="3"/>
  <c r="D184" i="3" s="1"/>
  <c r="A183" i="3"/>
  <c r="D183" i="3" s="1"/>
  <c r="A182" i="3"/>
  <c r="D182" i="3" s="1"/>
  <c r="A181" i="3"/>
  <c r="D181" i="3" s="1"/>
  <c r="A180" i="3"/>
  <c r="D180" i="3" s="1"/>
  <c r="A179" i="3"/>
  <c r="D179" i="3" s="1"/>
  <c r="A178" i="3"/>
  <c r="D178" i="3" s="1"/>
  <c r="A177" i="3"/>
  <c r="D177" i="3" s="1"/>
  <c r="A176" i="3"/>
  <c r="D176" i="3" s="1"/>
  <c r="A175" i="3"/>
  <c r="D175" i="3" s="1"/>
  <c r="A174" i="3"/>
  <c r="D174" i="3" s="1"/>
  <c r="A173" i="3"/>
  <c r="D173" i="3" s="1"/>
  <c r="A172" i="3"/>
  <c r="D172" i="3" s="1"/>
  <c r="A171" i="3"/>
  <c r="D171" i="3" s="1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N506" i="1"/>
  <c r="L506" i="1" s="1"/>
  <c r="F506" i="1"/>
  <c r="I506" i="1" s="1"/>
  <c r="N505" i="1"/>
  <c r="L505" i="1" s="1"/>
  <c r="F505" i="1"/>
  <c r="I505" i="1" s="1"/>
  <c r="N504" i="1"/>
  <c r="L504" i="1" s="1"/>
  <c r="F504" i="1"/>
  <c r="I504" i="1" s="1"/>
  <c r="N503" i="1"/>
  <c r="L503" i="1" s="1"/>
  <c r="F503" i="1"/>
  <c r="I503" i="1" s="1"/>
  <c r="N502" i="1"/>
  <c r="L502" i="1" s="1"/>
  <c r="F502" i="1"/>
  <c r="I502" i="1" s="1"/>
  <c r="N501" i="1"/>
  <c r="L501" i="1" s="1"/>
  <c r="F501" i="1"/>
  <c r="I501" i="1" s="1"/>
  <c r="N500" i="1"/>
  <c r="L500" i="1" s="1"/>
  <c r="F500" i="1"/>
  <c r="I500" i="1" s="1"/>
  <c r="N499" i="1"/>
  <c r="F499" i="1"/>
  <c r="L499" i="1" s="1"/>
  <c r="N498" i="1"/>
  <c r="F498" i="1"/>
  <c r="L498" i="1" s="1"/>
  <c r="N497" i="1"/>
  <c r="F497" i="1"/>
  <c r="L497" i="1" s="1"/>
  <c r="N496" i="1"/>
  <c r="F496" i="1"/>
  <c r="L496" i="1" s="1"/>
  <c r="N495" i="1"/>
  <c r="F495" i="1"/>
  <c r="L495" i="1" s="1"/>
  <c r="N494" i="1"/>
  <c r="F494" i="1"/>
  <c r="L494" i="1" s="1"/>
  <c r="N493" i="1"/>
  <c r="L493" i="1" s="1"/>
  <c r="F493" i="1"/>
  <c r="I493" i="1" s="1"/>
  <c r="N492" i="1"/>
  <c r="L492" i="1" s="1"/>
  <c r="F492" i="1"/>
  <c r="I492" i="1" s="1"/>
  <c r="N491" i="1"/>
  <c r="L491" i="1" s="1"/>
  <c r="F491" i="1"/>
  <c r="I491" i="1" s="1"/>
  <c r="N490" i="1"/>
  <c r="L490" i="1" s="1"/>
  <c r="F490" i="1"/>
  <c r="I490" i="1" s="1"/>
  <c r="N489" i="1"/>
  <c r="L489" i="1" s="1"/>
  <c r="F489" i="1"/>
  <c r="I489" i="1" s="1"/>
  <c r="N488" i="1"/>
  <c r="L488" i="1" s="1"/>
  <c r="F488" i="1"/>
  <c r="I488" i="1" s="1"/>
  <c r="N487" i="1"/>
  <c r="L487" i="1" s="1"/>
  <c r="F487" i="1"/>
  <c r="I487" i="1" s="1"/>
  <c r="N486" i="1"/>
  <c r="L486" i="1" s="1"/>
  <c r="F486" i="1"/>
  <c r="I486" i="1" s="1"/>
  <c r="N485" i="1"/>
  <c r="F485" i="1"/>
  <c r="L485" i="1" s="1"/>
  <c r="N484" i="1"/>
  <c r="F484" i="1"/>
  <c r="L484" i="1" s="1"/>
  <c r="N483" i="1"/>
  <c r="F483" i="1"/>
  <c r="L483" i="1" s="1"/>
  <c r="N482" i="1"/>
  <c r="F482" i="1"/>
  <c r="L482" i="1" s="1"/>
  <c r="N481" i="1"/>
  <c r="F481" i="1"/>
  <c r="L481" i="1" s="1"/>
  <c r="N480" i="1"/>
  <c r="F480" i="1"/>
  <c r="L480" i="1" s="1"/>
  <c r="N479" i="1"/>
  <c r="F479" i="1"/>
  <c r="L479" i="1" s="1"/>
  <c r="N478" i="1"/>
  <c r="L478" i="1" s="1"/>
  <c r="F478" i="1"/>
  <c r="I478" i="1" s="1"/>
  <c r="N477" i="1"/>
  <c r="L477" i="1" s="1"/>
  <c r="F477" i="1"/>
  <c r="I477" i="1" s="1"/>
  <c r="N476" i="1"/>
  <c r="L476" i="1" s="1"/>
  <c r="F476" i="1"/>
  <c r="I476" i="1" s="1"/>
  <c r="N475" i="1"/>
  <c r="L475" i="1" s="1"/>
  <c r="F475" i="1"/>
  <c r="I475" i="1" s="1"/>
  <c r="N474" i="1"/>
  <c r="L474" i="1" s="1"/>
  <c r="F474" i="1"/>
  <c r="I474" i="1" s="1"/>
  <c r="N473" i="1"/>
  <c r="L473" i="1" s="1"/>
  <c r="F473" i="1"/>
  <c r="I473" i="1" s="1"/>
  <c r="N472" i="1"/>
  <c r="L472" i="1" s="1"/>
  <c r="F472" i="1"/>
  <c r="I472" i="1" s="1"/>
  <c r="N471" i="1"/>
  <c r="F471" i="1"/>
  <c r="L471" i="1" s="1"/>
  <c r="N470" i="1"/>
  <c r="F470" i="1"/>
  <c r="L470" i="1" s="1"/>
  <c r="N469" i="1"/>
  <c r="F469" i="1"/>
  <c r="L469" i="1" s="1"/>
  <c r="N468" i="1"/>
  <c r="F468" i="1"/>
  <c r="L468" i="1" s="1"/>
  <c r="N467" i="1"/>
  <c r="F467" i="1"/>
  <c r="L467" i="1" s="1"/>
  <c r="N466" i="1"/>
  <c r="F466" i="1"/>
  <c r="L466" i="1" s="1"/>
  <c r="N465" i="1"/>
  <c r="F465" i="1"/>
  <c r="L465" i="1" s="1"/>
  <c r="N464" i="1"/>
  <c r="L464" i="1" s="1"/>
  <c r="F464" i="1"/>
  <c r="I464" i="1" s="1"/>
  <c r="N463" i="1"/>
  <c r="F463" i="1"/>
  <c r="L463" i="1" s="1"/>
  <c r="N462" i="1"/>
  <c r="F462" i="1"/>
  <c r="L462" i="1" s="1"/>
  <c r="N461" i="1"/>
  <c r="F461" i="1"/>
  <c r="L461" i="1" s="1"/>
  <c r="N460" i="1"/>
  <c r="F460" i="1"/>
  <c r="L460" i="1" s="1"/>
  <c r="N459" i="1"/>
  <c r="F459" i="1"/>
  <c r="L459" i="1" s="1"/>
  <c r="N458" i="1"/>
  <c r="F458" i="1"/>
  <c r="L458" i="1" s="1"/>
  <c r="N457" i="1"/>
  <c r="L457" i="1" s="1"/>
  <c r="F457" i="1"/>
  <c r="I457" i="1" s="1"/>
  <c r="N456" i="1"/>
  <c r="L456" i="1" s="1"/>
  <c r="F456" i="1"/>
  <c r="I456" i="1" s="1"/>
  <c r="N455" i="1"/>
  <c r="L455" i="1" s="1"/>
  <c r="F455" i="1"/>
  <c r="I455" i="1" s="1"/>
  <c r="N454" i="1"/>
  <c r="L454" i="1" s="1"/>
  <c r="F454" i="1"/>
  <c r="I454" i="1" s="1"/>
  <c r="N453" i="1"/>
  <c r="L453" i="1" s="1"/>
  <c r="F453" i="1"/>
  <c r="I453" i="1" s="1"/>
  <c r="N452" i="1"/>
  <c r="L452" i="1" s="1"/>
  <c r="F452" i="1"/>
  <c r="I452" i="1" s="1"/>
  <c r="N451" i="1"/>
  <c r="L451" i="1" s="1"/>
  <c r="F451" i="1"/>
  <c r="I451" i="1" s="1"/>
  <c r="N450" i="1"/>
  <c r="L450" i="1" s="1"/>
  <c r="F450" i="1"/>
  <c r="I450" i="1" s="1"/>
  <c r="N449" i="1"/>
  <c r="L449" i="1" s="1"/>
  <c r="F449" i="1"/>
  <c r="I449" i="1" s="1"/>
  <c r="N448" i="1"/>
  <c r="L448" i="1" s="1"/>
  <c r="F448" i="1"/>
  <c r="I448" i="1" s="1"/>
  <c r="N447" i="1"/>
  <c r="L447" i="1" s="1"/>
  <c r="F447" i="1"/>
  <c r="I447" i="1" s="1"/>
  <c r="N446" i="1"/>
  <c r="L446" i="1" s="1"/>
  <c r="F446" i="1"/>
  <c r="I446" i="1" s="1"/>
  <c r="N445" i="1"/>
  <c r="L445" i="1" s="1"/>
  <c r="F445" i="1"/>
  <c r="I445" i="1" s="1"/>
  <c r="N444" i="1"/>
  <c r="L444" i="1" s="1"/>
  <c r="F444" i="1"/>
  <c r="I444" i="1" s="1"/>
  <c r="N443" i="1"/>
  <c r="L443" i="1" s="1"/>
  <c r="F443" i="1"/>
  <c r="I443" i="1" s="1"/>
  <c r="N442" i="1"/>
  <c r="L442" i="1" s="1"/>
  <c r="F442" i="1"/>
  <c r="I442" i="1" s="1"/>
  <c r="N441" i="1"/>
  <c r="L441" i="1" s="1"/>
  <c r="F441" i="1"/>
  <c r="I441" i="1" s="1"/>
  <c r="N440" i="1"/>
  <c r="L440" i="1" s="1"/>
  <c r="F440" i="1"/>
  <c r="I440" i="1" s="1"/>
  <c r="N439" i="1"/>
  <c r="L439" i="1" s="1"/>
  <c r="F439" i="1"/>
  <c r="I439" i="1" s="1"/>
  <c r="N438" i="1"/>
  <c r="L438" i="1" s="1"/>
  <c r="F438" i="1"/>
  <c r="I438" i="1" s="1"/>
  <c r="N437" i="1"/>
  <c r="L437" i="1" s="1"/>
  <c r="F437" i="1"/>
  <c r="I437" i="1" s="1"/>
  <c r="N436" i="1"/>
  <c r="L436" i="1" s="1"/>
  <c r="F436" i="1"/>
  <c r="I436" i="1" s="1"/>
  <c r="N435" i="1"/>
  <c r="L435" i="1" s="1"/>
  <c r="F435" i="1"/>
  <c r="I435" i="1" s="1"/>
  <c r="N434" i="1"/>
  <c r="L434" i="1" s="1"/>
  <c r="F434" i="1"/>
  <c r="I434" i="1" s="1"/>
  <c r="N433" i="1"/>
  <c r="L433" i="1" s="1"/>
  <c r="F433" i="1"/>
  <c r="I433" i="1" s="1"/>
  <c r="N432" i="1"/>
  <c r="L432" i="1" s="1"/>
  <c r="F432" i="1"/>
  <c r="I432" i="1" s="1"/>
  <c r="N431" i="1"/>
  <c r="L431" i="1" s="1"/>
  <c r="F431" i="1"/>
  <c r="I431" i="1" s="1"/>
  <c r="N430" i="1"/>
  <c r="L430" i="1" s="1"/>
  <c r="F430" i="1"/>
  <c r="I430" i="1" s="1"/>
  <c r="N429" i="1"/>
  <c r="L429" i="1" s="1"/>
  <c r="F429" i="1"/>
  <c r="I429" i="1" s="1"/>
  <c r="N428" i="1"/>
  <c r="L428" i="1" s="1"/>
  <c r="F428" i="1"/>
  <c r="I428" i="1" s="1"/>
  <c r="N427" i="1"/>
  <c r="L427" i="1" s="1"/>
  <c r="F427" i="1"/>
  <c r="I427" i="1" s="1"/>
  <c r="N426" i="1"/>
  <c r="L426" i="1" s="1"/>
  <c r="F426" i="1"/>
  <c r="I426" i="1" s="1"/>
  <c r="N425" i="1"/>
  <c r="L425" i="1" s="1"/>
  <c r="F425" i="1"/>
  <c r="I425" i="1" s="1"/>
  <c r="N424" i="1"/>
  <c r="L424" i="1" s="1"/>
  <c r="F424" i="1"/>
  <c r="I424" i="1" s="1"/>
  <c r="N423" i="1"/>
  <c r="L423" i="1" s="1"/>
  <c r="F423" i="1"/>
  <c r="I423" i="1" s="1"/>
  <c r="N422" i="1"/>
  <c r="L422" i="1" s="1"/>
  <c r="F422" i="1"/>
  <c r="I422" i="1" s="1"/>
  <c r="N421" i="1"/>
  <c r="L421" i="1" s="1"/>
  <c r="F421" i="1"/>
  <c r="I421" i="1" s="1"/>
  <c r="N420" i="1"/>
  <c r="L420" i="1" s="1"/>
  <c r="F420" i="1"/>
  <c r="I420" i="1" s="1"/>
  <c r="N419" i="1"/>
  <c r="L419" i="1" s="1"/>
  <c r="F419" i="1"/>
  <c r="I419" i="1" s="1"/>
  <c r="N418" i="1"/>
  <c r="L418" i="1" s="1"/>
  <c r="F418" i="1"/>
  <c r="I418" i="1" s="1"/>
  <c r="N417" i="1"/>
  <c r="L417" i="1" s="1"/>
  <c r="F417" i="1"/>
  <c r="I417" i="1" s="1"/>
  <c r="N416" i="1"/>
  <c r="L416" i="1" s="1"/>
  <c r="F416" i="1"/>
  <c r="I416" i="1" s="1"/>
  <c r="N415" i="1"/>
  <c r="L415" i="1" s="1"/>
  <c r="F415" i="1"/>
  <c r="I415" i="1" s="1"/>
  <c r="N414" i="1"/>
  <c r="L414" i="1" s="1"/>
  <c r="F414" i="1"/>
  <c r="I414" i="1" s="1"/>
  <c r="N413" i="1"/>
  <c r="L413" i="1" s="1"/>
  <c r="F413" i="1"/>
  <c r="I413" i="1" s="1"/>
  <c r="N412" i="1"/>
  <c r="L412" i="1" s="1"/>
  <c r="F412" i="1"/>
  <c r="I412" i="1" s="1"/>
  <c r="N411" i="1"/>
  <c r="L411" i="1" s="1"/>
  <c r="F411" i="1"/>
  <c r="I411" i="1" s="1"/>
  <c r="N410" i="1"/>
  <c r="L410" i="1" s="1"/>
  <c r="F410" i="1"/>
  <c r="I410" i="1" s="1"/>
  <c r="N409" i="1"/>
  <c r="L409" i="1" s="1"/>
  <c r="F409" i="1"/>
  <c r="I409" i="1" s="1"/>
  <c r="N408" i="1"/>
  <c r="L408" i="1" s="1"/>
  <c r="F408" i="1"/>
  <c r="I408" i="1" s="1"/>
  <c r="N407" i="1"/>
  <c r="L407" i="1" s="1"/>
  <c r="F407" i="1"/>
  <c r="I407" i="1" s="1"/>
  <c r="N406" i="1"/>
  <c r="L406" i="1" s="1"/>
  <c r="F406" i="1"/>
  <c r="I406" i="1" s="1"/>
  <c r="N405" i="1"/>
  <c r="L405" i="1" s="1"/>
  <c r="F405" i="1"/>
  <c r="I405" i="1" s="1"/>
  <c r="N404" i="1"/>
  <c r="L404" i="1" s="1"/>
  <c r="F404" i="1"/>
  <c r="I404" i="1" s="1"/>
  <c r="N403" i="1"/>
  <c r="L403" i="1" s="1"/>
  <c r="F403" i="1"/>
  <c r="I403" i="1" s="1"/>
  <c r="N402" i="1"/>
  <c r="L402" i="1" s="1"/>
  <c r="F402" i="1"/>
  <c r="I402" i="1" s="1"/>
  <c r="N401" i="1"/>
  <c r="L401" i="1" s="1"/>
  <c r="F401" i="1"/>
  <c r="I401" i="1" s="1"/>
  <c r="N400" i="1"/>
  <c r="L400" i="1" s="1"/>
  <c r="F400" i="1"/>
  <c r="I400" i="1" s="1"/>
  <c r="N399" i="1"/>
  <c r="L399" i="1" s="1"/>
  <c r="F399" i="1"/>
  <c r="I399" i="1" s="1"/>
  <c r="N398" i="1"/>
  <c r="L398" i="1" s="1"/>
  <c r="F398" i="1"/>
  <c r="I398" i="1" s="1"/>
  <c r="N397" i="1"/>
  <c r="L397" i="1" s="1"/>
  <c r="F397" i="1"/>
  <c r="I397" i="1" s="1"/>
  <c r="N396" i="1"/>
  <c r="L396" i="1" s="1"/>
  <c r="F396" i="1"/>
  <c r="I396" i="1" s="1"/>
  <c r="N395" i="1"/>
  <c r="L395" i="1" s="1"/>
  <c r="F395" i="1"/>
  <c r="I395" i="1" s="1"/>
  <c r="N394" i="1"/>
  <c r="L394" i="1" s="1"/>
  <c r="F394" i="1"/>
  <c r="I394" i="1" s="1"/>
  <c r="N393" i="1"/>
  <c r="L393" i="1" s="1"/>
  <c r="F393" i="1"/>
  <c r="I393" i="1" s="1"/>
  <c r="N392" i="1"/>
  <c r="L392" i="1" s="1"/>
  <c r="F392" i="1"/>
  <c r="I392" i="1" s="1"/>
  <c r="N391" i="1"/>
  <c r="L391" i="1" s="1"/>
  <c r="F391" i="1"/>
  <c r="I391" i="1" s="1"/>
  <c r="N390" i="1"/>
  <c r="L390" i="1" s="1"/>
  <c r="F390" i="1"/>
  <c r="I390" i="1" s="1"/>
  <c r="N389" i="1"/>
  <c r="L389" i="1" s="1"/>
  <c r="F389" i="1"/>
  <c r="I389" i="1" s="1"/>
  <c r="N388" i="1"/>
  <c r="L388" i="1" s="1"/>
  <c r="F388" i="1"/>
  <c r="I388" i="1" s="1"/>
  <c r="N387" i="1"/>
  <c r="L387" i="1" s="1"/>
  <c r="F387" i="1"/>
  <c r="I387" i="1" s="1"/>
  <c r="N386" i="1"/>
  <c r="L386" i="1" s="1"/>
  <c r="F386" i="1"/>
  <c r="I386" i="1" s="1"/>
  <c r="N385" i="1"/>
  <c r="L385" i="1" s="1"/>
  <c r="F385" i="1"/>
  <c r="I385" i="1" s="1"/>
  <c r="N384" i="1"/>
  <c r="L384" i="1" s="1"/>
  <c r="F384" i="1"/>
  <c r="I384" i="1" s="1"/>
  <c r="N383" i="1"/>
  <c r="L383" i="1" s="1"/>
  <c r="F383" i="1"/>
  <c r="I383" i="1" s="1"/>
  <c r="N382" i="1"/>
  <c r="L382" i="1" s="1"/>
  <c r="F382" i="1"/>
  <c r="I382" i="1" s="1"/>
  <c r="N381" i="1"/>
  <c r="L381" i="1" s="1"/>
  <c r="F381" i="1"/>
  <c r="I381" i="1" s="1"/>
  <c r="N380" i="1"/>
  <c r="L380" i="1" s="1"/>
  <c r="F380" i="1"/>
  <c r="I380" i="1" s="1"/>
  <c r="N379" i="1"/>
  <c r="L379" i="1" s="1"/>
  <c r="F379" i="1"/>
  <c r="I379" i="1" s="1"/>
  <c r="N378" i="1"/>
  <c r="L378" i="1" s="1"/>
  <c r="F378" i="1"/>
  <c r="I378" i="1" s="1"/>
  <c r="N377" i="1"/>
  <c r="L377" i="1" s="1"/>
  <c r="F377" i="1"/>
  <c r="I377" i="1" s="1"/>
  <c r="N376" i="1"/>
  <c r="L376" i="1" s="1"/>
  <c r="F376" i="1"/>
  <c r="I376" i="1" s="1"/>
  <c r="N375" i="1"/>
  <c r="L375" i="1" s="1"/>
  <c r="F375" i="1"/>
  <c r="I375" i="1" s="1"/>
  <c r="N374" i="1"/>
  <c r="L374" i="1" s="1"/>
  <c r="F374" i="1"/>
  <c r="I374" i="1" s="1"/>
  <c r="N373" i="1"/>
  <c r="L373" i="1" s="1"/>
  <c r="F373" i="1"/>
  <c r="I373" i="1" s="1"/>
  <c r="N372" i="1"/>
  <c r="L372" i="1" s="1"/>
  <c r="F372" i="1"/>
  <c r="I372" i="1" s="1"/>
  <c r="N371" i="1"/>
  <c r="L371" i="1" s="1"/>
  <c r="F371" i="1"/>
  <c r="I371" i="1" s="1"/>
  <c r="N370" i="1"/>
  <c r="L370" i="1" s="1"/>
  <c r="F370" i="1"/>
  <c r="I370" i="1" s="1"/>
  <c r="N369" i="1"/>
  <c r="L369" i="1" s="1"/>
  <c r="F369" i="1"/>
  <c r="I369" i="1" s="1"/>
  <c r="N368" i="1"/>
  <c r="L368" i="1" s="1"/>
  <c r="F368" i="1"/>
  <c r="I368" i="1" s="1"/>
  <c r="N367" i="1"/>
  <c r="L367" i="1" s="1"/>
  <c r="F367" i="1"/>
  <c r="I367" i="1" s="1"/>
  <c r="N366" i="1"/>
  <c r="L366" i="1" s="1"/>
  <c r="F366" i="1"/>
  <c r="I366" i="1" s="1"/>
  <c r="N365" i="1"/>
  <c r="L365" i="1" s="1"/>
  <c r="F365" i="1"/>
  <c r="I365" i="1" s="1"/>
  <c r="N364" i="1"/>
  <c r="L364" i="1" s="1"/>
  <c r="F364" i="1"/>
  <c r="I364" i="1" s="1"/>
  <c r="N363" i="1"/>
  <c r="L363" i="1" s="1"/>
  <c r="F363" i="1"/>
  <c r="I363" i="1" s="1"/>
  <c r="N362" i="1"/>
  <c r="L362" i="1" s="1"/>
  <c r="F362" i="1"/>
  <c r="I362" i="1" s="1"/>
  <c r="N361" i="1"/>
  <c r="L361" i="1" s="1"/>
  <c r="F361" i="1"/>
  <c r="I361" i="1" s="1"/>
  <c r="N360" i="1"/>
  <c r="L360" i="1" s="1"/>
  <c r="F360" i="1"/>
  <c r="I360" i="1" s="1"/>
  <c r="N359" i="1"/>
  <c r="L359" i="1" s="1"/>
  <c r="F359" i="1"/>
  <c r="I359" i="1" s="1"/>
  <c r="N358" i="1"/>
  <c r="L358" i="1" s="1"/>
  <c r="F358" i="1"/>
  <c r="I358" i="1" s="1"/>
  <c r="N357" i="1"/>
  <c r="L357" i="1" s="1"/>
  <c r="F357" i="1"/>
  <c r="I357" i="1" s="1"/>
  <c r="N356" i="1"/>
  <c r="L356" i="1" s="1"/>
  <c r="F356" i="1"/>
  <c r="I356" i="1" s="1"/>
  <c r="N355" i="1"/>
  <c r="L355" i="1" s="1"/>
  <c r="F355" i="1"/>
  <c r="I355" i="1" s="1"/>
  <c r="N354" i="1"/>
  <c r="L354" i="1" s="1"/>
  <c r="F354" i="1"/>
  <c r="I354" i="1" s="1"/>
  <c r="N353" i="1"/>
  <c r="L353" i="1" s="1"/>
  <c r="F353" i="1"/>
  <c r="I353" i="1" s="1"/>
  <c r="N352" i="1"/>
  <c r="L352" i="1" s="1"/>
  <c r="F352" i="1"/>
  <c r="I352" i="1" s="1"/>
  <c r="N351" i="1"/>
  <c r="L351" i="1" s="1"/>
  <c r="F351" i="1"/>
  <c r="I351" i="1" s="1"/>
  <c r="N350" i="1"/>
  <c r="L350" i="1" s="1"/>
  <c r="F350" i="1"/>
  <c r="I350" i="1" s="1"/>
  <c r="N349" i="1"/>
  <c r="L349" i="1" s="1"/>
  <c r="F349" i="1"/>
  <c r="I349" i="1" s="1"/>
  <c r="N348" i="1"/>
  <c r="L348" i="1" s="1"/>
  <c r="F348" i="1"/>
  <c r="I348" i="1" s="1"/>
  <c r="N347" i="1"/>
  <c r="L347" i="1" s="1"/>
  <c r="F347" i="1"/>
  <c r="I347" i="1" s="1"/>
  <c r="N346" i="1"/>
  <c r="L346" i="1" s="1"/>
  <c r="F346" i="1"/>
  <c r="I346" i="1" s="1"/>
  <c r="N345" i="1"/>
  <c r="L345" i="1" s="1"/>
  <c r="F345" i="1"/>
  <c r="I345" i="1" s="1"/>
  <c r="N344" i="1"/>
  <c r="L344" i="1" s="1"/>
  <c r="F344" i="1"/>
  <c r="I344" i="1" s="1"/>
  <c r="N343" i="1"/>
  <c r="L343" i="1" s="1"/>
  <c r="F343" i="1"/>
  <c r="I343" i="1" s="1"/>
  <c r="N342" i="1"/>
  <c r="L342" i="1" s="1"/>
  <c r="F342" i="1"/>
  <c r="I342" i="1" s="1"/>
  <c r="N341" i="1"/>
  <c r="L341" i="1" s="1"/>
  <c r="F341" i="1"/>
  <c r="I341" i="1" s="1"/>
  <c r="N340" i="1"/>
  <c r="L340" i="1" s="1"/>
  <c r="F340" i="1"/>
  <c r="I340" i="1" s="1"/>
  <c r="N339" i="1"/>
  <c r="L339" i="1" s="1"/>
  <c r="F339" i="1"/>
  <c r="I339" i="1" s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N338" i="1"/>
  <c r="L338" i="1" s="1"/>
  <c r="F338" i="1"/>
  <c r="I338" i="1" s="1"/>
  <c r="N337" i="1"/>
  <c r="L337" i="1" s="1"/>
  <c r="F337" i="1"/>
  <c r="I337" i="1" s="1"/>
  <c r="N336" i="1"/>
  <c r="L336" i="1" s="1"/>
  <c r="F336" i="1"/>
  <c r="I336" i="1" s="1"/>
  <c r="N335" i="1"/>
  <c r="L335" i="1" s="1"/>
  <c r="F335" i="1"/>
  <c r="I335" i="1" s="1"/>
  <c r="N334" i="1"/>
  <c r="L334" i="1" s="1"/>
  <c r="F334" i="1"/>
  <c r="I334" i="1" s="1"/>
  <c r="N333" i="1"/>
  <c r="L333" i="1" s="1"/>
  <c r="F333" i="1"/>
  <c r="I333" i="1" s="1"/>
  <c r="N332" i="1"/>
  <c r="L332" i="1" s="1"/>
  <c r="F332" i="1"/>
  <c r="I332" i="1" s="1"/>
  <c r="N331" i="1"/>
  <c r="L331" i="1" s="1"/>
  <c r="F331" i="1"/>
  <c r="I331" i="1" s="1"/>
  <c r="N330" i="1"/>
  <c r="L330" i="1" s="1"/>
  <c r="F330" i="1"/>
  <c r="I330" i="1" s="1"/>
  <c r="N329" i="1"/>
  <c r="L329" i="1" s="1"/>
  <c r="F329" i="1"/>
  <c r="I329" i="1" s="1"/>
  <c r="N328" i="1"/>
  <c r="L328" i="1" s="1"/>
  <c r="F328" i="1"/>
  <c r="I328" i="1" s="1"/>
  <c r="N327" i="1"/>
  <c r="L327" i="1" s="1"/>
  <c r="F327" i="1"/>
  <c r="I327" i="1" s="1"/>
  <c r="N326" i="1"/>
  <c r="L326" i="1" s="1"/>
  <c r="F326" i="1"/>
  <c r="I326" i="1" s="1"/>
  <c r="N325" i="1"/>
  <c r="L325" i="1" s="1"/>
  <c r="F325" i="1"/>
  <c r="I325" i="1" s="1"/>
  <c r="N324" i="1"/>
  <c r="L324" i="1" s="1"/>
  <c r="F324" i="1"/>
  <c r="I324" i="1" s="1"/>
  <c r="N323" i="1"/>
  <c r="L323" i="1" s="1"/>
  <c r="F323" i="1"/>
  <c r="I323" i="1" s="1"/>
  <c r="N322" i="1"/>
  <c r="L322" i="1" s="1"/>
  <c r="F322" i="1"/>
  <c r="I322" i="1" s="1"/>
  <c r="N321" i="1"/>
  <c r="L321" i="1" s="1"/>
  <c r="F321" i="1"/>
  <c r="I321" i="1" s="1"/>
  <c r="N320" i="1"/>
  <c r="L320" i="1" s="1"/>
  <c r="F320" i="1"/>
  <c r="I320" i="1" s="1"/>
  <c r="N319" i="1"/>
  <c r="L319" i="1" s="1"/>
  <c r="F319" i="1"/>
  <c r="I319" i="1" s="1"/>
  <c r="N318" i="1"/>
  <c r="L318" i="1" s="1"/>
  <c r="F318" i="1"/>
  <c r="I318" i="1" s="1"/>
  <c r="N317" i="1"/>
  <c r="L317" i="1" s="1"/>
  <c r="F317" i="1"/>
  <c r="I317" i="1" s="1"/>
  <c r="N316" i="1"/>
  <c r="L316" i="1" s="1"/>
  <c r="F316" i="1"/>
  <c r="I316" i="1" s="1"/>
  <c r="N315" i="1"/>
  <c r="L315" i="1" s="1"/>
  <c r="F315" i="1"/>
  <c r="I315" i="1" s="1"/>
  <c r="N314" i="1"/>
  <c r="L314" i="1" s="1"/>
  <c r="F314" i="1"/>
  <c r="I314" i="1" s="1"/>
  <c r="N313" i="1"/>
  <c r="L313" i="1" s="1"/>
  <c r="F313" i="1"/>
  <c r="I313" i="1" s="1"/>
  <c r="N312" i="1"/>
  <c r="L312" i="1" s="1"/>
  <c r="F312" i="1"/>
  <c r="I312" i="1" s="1"/>
  <c r="N311" i="1"/>
  <c r="L311" i="1" s="1"/>
  <c r="F311" i="1"/>
  <c r="I311" i="1" s="1"/>
  <c r="N310" i="1"/>
  <c r="L310" i="1" s="1"/>
  <c r="F310" i="1"/>
  <c r="I310" i="1" s="1"/>
  <c r="N309" i="1"/>
  <c r="L309" i="1" s="1"/>
  <c r="F309" i="1"/>
  <c r="I309" i="1" s="1"/>
  <c r="N308" i="1"/>
  <c r="L308" i="1" s="1"/>
  <c r="F308" i="1"/>
  <c r="I308" i="1" s="1"/>
  <c r="N307" i="1"/>
  <c r="L307" i="1" s="1"/>
  <c r="F307" i="1"/>
  <c r="I307" i="1" s="1"/>
  <c r="N306" i="1"/>
  <c r="L306" i="1" s="1"/>
  <c r="F306" i="1"/>
  <c r="I306" i="1" s="1"/>
  <c r="N305" i="1"/>
  <c r="L305" i="1" s="1"/>
  <c r="F305" i="1"/>
  <c r="I305" i="1" s="1"/>
  <c r="N304" i="1"/>
  <c r="L304" i="1" s="1"/>
  <c r="F304" i="1"/>
  <c r="I304" i="1" s="1"/>
  <c r="N303" i="1"/>
  <c r="L303" i="1" s="1"/>
  <c r="F303" i="1"/>
  <c r="I303" i="1" s="1"/>
  <c r="N302" i="1"/>
  <c r="L302" i="1" s="1"/>
  <c r="F302" i="1"/>
  <c r="I302" i="1" s="1"/>
  <c r="N301" i="1"/>
  <c r="L301" i="1" s="1"/>
  <c r="F301" i="1"/>
  <c r="I301" i="1" s="1"/>
  <c r="N300" i="1"/>
  <c r="L300" i="1" s="1"/>
  <c r="F300" i="1"/>
  <c r="I300" i="1" s="1"/>
  <c r="N299" i="1"/>
  <c r="L299" i="1" s="1"/>
  <c r="F299" i="1"/>
  <c r="I299" i="1" s="1"/>
  <c r="N298" i="1"/>
  <c r="L298" i="1" s="1"/>
  <c r="F298" i="1"/>
  <c r="I298" i="1" s="1"/>
  <c r="N297" i="1"/>
  <c r="L297" i="1" s="1"/>
  <c r="F297" i="1"/>
  <c r="I297" i="1" s="1"/>
  <c r="N296" i="1"/>
  <c r="L296" i="1" s="1"/>
  <c r="F296" i="1"/>
  <c r="I296" i="1" s="1"/>
  <c r="N295" i="1"/>
  <c r="L295" i="1" s="1"/>
  <c r="F295" i="1"/>
  <c r="I295" i="1" s="1"/>
  <c r="N294" i="1"/>
  <c r="L294" i="1" s="1"/>
  <c r="F294" i="1"/>
  <c r="I294" i="1" s="1"/>
  <c r="N293" i="1"/>
  <c r="L293" i="1" s="1"/>
  <c r="F293" i="1"/>
  <c r="I293" i="1" s="1"/>
  <c r="N292" i="1"/>
  <c r="L292" i="1" s="1"/>
  <c r="F292" i="1"/>
  <c r="I292" i="1" s="1"/>
  <c r="N291" i="1"/>
  <c r="L291" i="1" s="1"/>
  <c r="F291" i="1"/>
  <c r="I291" i="1" s="1"/>
  <c r="N290" i="1"/>
  <c r="L290" i="1" s="1"/>
  <c r="F290" i="1"/>
  <c r="I290" i="1" s="1"/>
  <c r="N289" i="1"/>
  <c r="L289" i="1" s="1"/>
  <c r="F289" i="1"/>
  <c r="I289" i="1" s="1"/>
  <c r="N288" i="1"/>
  <c r="F288" i="1"/>
  <c r="L288" i="1" s="1"/>
  <c r="N287" i="1"/>
  <c r="F287" i="1"/>
  <c r="L287" i="1" s="1"/>
  <c r="N286" i="1"/>
  <c r="F286" i="1"/>
  <c r="L286" i="1" s="1"/>
  <c r="N285" i="1"/>
  <c r="F285" i="1"/>
  <c r="L285" i="1" s="1"/>
  <c r="N284" i="1"/>
  <c r="F284" i="1"/>
  <c r="L284" i="1" s="1"/>
  <c r="N283" i="1"/>
  <c r="L283" i="1" s="1"/>
  <c r="F283" i="1"/>
  <c r="I283" i="1" s="1"/>
  <c r="N282" i="1"/>
  <c r="L282" i="1" s="1"/>
  <c r="F282" i="1"/>
  <c r="I282" i="1" s="1"/>
  <c r="N281" i="1"/>
  <c r="L281" i="1" s="1"/>
  <c r="F281" i="1"/>
  <c r="I281" i="1" s="1"/>
  <c r="N280" i="1"/>
  <c r="L280" i="1" s="1"/>
  <c r="F280" i="1"/>
  <c r="I280" i="1" s="1"/>
  <c r="N279" i="1"/>
  <c r="L279" i="1" s="1"/>
  <c r="F279" i="1"/>
  <c r="I279" i="1" s="1"/>
  <c r="N278" i="1"/>
  <c r="L278" i="1" s="1"/>
  <c r="F278" i="1"/>
  <c r="I278" i="1" s="1"/>
  <c r="N277" i="1"/>
  <c r="L277" i="1" s="1"/>
  <c r="F277" i="1"/>
  <c r="I277" i="1" s="1"/>
  <c r="N276" i="1"/>
  <c r="L276" i="1" s="1"/>
  <c r="F276" i="1"/>
  <c r="I276" i="1" s="1"/>
  <c r="N275" i="1"/>
  <c r="L275" i="1" s="1"/>
  <c r="F275" i="1"/>
  <c r="I275" i="1" s="1"/>
  <c r="N274" i="1"/>
  <c r="L274" i="1" s="1"/>
  <c r="F274" i="1"/>
  <c r="I274" i="1" s="1"/>
  <c r="N273" i="1"/>
  <c r="L273" i="1" s="1"/>
  <c r="F273" i="1"/>
  <c r="I273" i="1" s="1"/>
  <c r="N272" i="1"/>
  <c r="L272" i="1" s="1"/>
  <c r="F272" i="1"/>
  <c r="I272" i="1" s="1"/>
  <c r="N271" i="1"/>
  <c r="L271" i="1" s="1"/>
  <c r="F271" i="1"/>
  <c r="I271" i="1" s="1"/>
  <c r="N270" i="1"/>
  <c r="L270" i="1" s="1"/>
  <c r="F270" i="1"/>
  <c r="I270" i="1" s="1"/>
  <c r="N269" i="1"/>
  <c r="L269" i="1" s="1"/>
  <c r="F269" i="1"/>
  <c r="I269" i="1" s="1"/>
  <c r="N268" i="1"/>
  <c r="L268" i="1" s="1"/>
  <c r="F268" i="1"/>
  <c r="I268" i="1" s="1"/>
  <c r="N267" i="1"/>
  <c r="L267" i="1" s="1"/>
  <c r="F267" i="1"/>
  <c r="I267" i="1" s="1"/>
  <c r="N266" i="1"/>
  <c r="L266" i="1" s="1"/>
  <c r="F266" i="1"/>
  <c r="I266" i="1" s="1"/>
  <c r="N265" i="1"/>
  <c r="L265" i="1" s="1"/>
  <c r="F265" i="1"/>
  <c r="I265" i="1" s="1"/>
  <c r="N264" i="1"/>
  <c r="L264" i="1" s="1"/>
  <c r="F264" i="1"/>
  <c r="I264" i="1" s="1"/>
  <c r="N263" i="1"/>
  <c r="L263" i="1" s="1"/>
  <c r="F263" i="1"/>
  <c r="I263" i="1" s="1"/>
  <c r="N262" i="1"/>
  <c r="L262" i="1" s="1"/>
  <c r="F262" i="1"/>
  <c r="I262" i="1" s="1"/>
  <c r="N261" i="1"/>
  <c r="L261" i="1" s="1"/>
  <c r="F261" i="1"/>
  <c r="I261" i="1" s="1"/>
  <c r="N260" i="1"/>
  <c r="L260" i="1" s="1"/>
  <c r="F260" i="1"/>
  <c r="I260" i="1" s="1"/>
  <c r="N259" i="1"/>
  <c r="L259" i="1" s="1"/>
  <c r="F259" i="1"/>
  <c r="I259" i="1" s="1"/>
  <c r="N258" i="1"/>
  <c r="L258" i="1" s="1"/>
  <c r="F258" i="1"/>
  <c r="I258" i="1" s="1"/>
  <c r="N257" i="1"/>
  <c r="L257" i="1" s="1"/>
  <c r="F257" i="1"/>
  <c r="I257" i="1" s="1"/>
  <c r="N256" i="1"/>
  <c r="L256" i="1" s="1"/>
  <c r="F256" i="1"/>
  <c r="I256" i="1" s="1"/>
  <c r="N255" i="1"/>
  <c r="L255" i="1" s="1"/>
  <c r="F255" i="1"/>
  <c r="I255" i="1" s="1"/>
  <c r="N254" i="1"/>
  <c r="L254" i="1" s="1"/>
  <c r="F254" i="1"/>
  <c r="I254" i="1" s="1"/>
  <c r="N253" i="1"/>
  <c r="L253" i="1" s="1"/>
  <c r="F253" i="1"/>
  <c r="I253" i="1" s="1"/>
  <c r="N252" i="1"/>
  <c r="L252" i="1" s="1"/>
  <c r="F252" i="1"/>
  <c r="I252" i="1" s="1"/>
  <c r="N251" i="1"/>
  <c r="L251" i="1" s="1"/>
  <c r="F251" i="1"/>
  <c r="I251" i="1" s="1"/>
  <c r="N250" i="1"/>
  <c r="L250" i="1" s="1"/>
  <c r="F250" i="1"/>
  <c r="I250" i="1" s="1"/>
  <c r="N249" i="1"/>
  <c r="L249" i="1" s="1"/>
  <c r="F249" i="1"/>
  <c r="I249" i="1" s="1"/>
  <c r="N248" i="1"/>
  <c r="L248" i="1" s="1"/>
  <c r="F248" i="1"/>
  <c r="I248" i="1" s="1"/>
  <c r="N247" i="1"/>
  <c r="L247" i="1" s="1"/>
  <c r="F247" i="1"/>
  <c r="I247" i="1" s="1"/>
  <c r="N246" i="1"/>
  <c r="L246" i="1" s="1"/>
  <c r="F246" i="1"/>
  <c r="I246" i="1" s="1"/>
  <c r="N245" i="1"/>
  <c r="L245" i="1" s="1"/>
  <c r="F245" i="1"/>
  <c r="I245" i="1" s="1"/>
  <c r="N244" i="1"/>
  <c r="L244" i="1" s="1"/>
  <c r="F244" i="1"/>
  <c r="I244" i="1" s="1"/>
  <c r="N243" i="1"/>
  <c r="L243" i="1" s="1"/>
  <c r="F243" i="1"/>
  <c r="I243" i="1" s="1"/>
  <c r="N242" i="1"/>
  <c r="L242" i="1" s="1"/>
  <c r="F242" i="1"/>
  <c r="I242" i="1" s="1"/>
  <c r="N241" i="1"/>
  <c r="L241" i="1" s="1"/>
  <c r="F241" i="1"/>
  <c r="I241" i="1" s="1"/>
  <c r="N240" i="1"/>
  <c r="L240" i="1" s="1"/>
  <c r="F240" i="1"/>
  <c r="I240" i="1" s="1"/>
  <c r="N239" i="1"/>
  <c r="F239" i="1"/>
  <c r="L239" i="1" s="1"/>
  <c r="N238" i="1"/>
  <c r="F238" i="1"/>
  <c r="L238" i="1" s="1"/>
  <c r="N237" i="1"/>
  <c r="F237" i="1"/>
  <c r="L237" i="1" s="1"/>
  <c r="N236" i="1"/>
  <c r="L236" i="1" s="1"/>
  <c r="F236" i="1"/>
  <c r="I236" i="1" s="1"/>
  <c r="N235" i="1"/>
  <c r="F235" i="1"/>
  <c r="L235" i="1" s="1"/>
  <c r="N234" i="1"/>
  <c r="L234" i="1" s="1"/>
  <c r="F234" i="1"/>
  <c r="I234" i="1" s="1"/>
  <c r="N233" i="1"/>
  <c r="L233" i="1" s="1"/>
  <c r="F233" i="1"/>
  <c r="I233" i="1" s="1"/>
  <c r="N232" i="1"/>
  <c r="F232" i="1"/>
  <c r="L232" i="1" s="1"/>
  <c r="N231" i="1"/>
  <c r="L231" i="1" s="1"/>
  <c r="F231" i="1"/>
  <c r="I231" i="1" s="1"/>
  <c r="N230" i="1"/>
  <c r="L230" i="1" s="1"/>
  <c r="F230" i="1"/>
  <c r="I230" i="1" s="1"/>
  <c r="N229" i="1"/>
  <c r="L229" i="1" s="1"/>
  <c r="F229" i="1"/>
  <c r="I229" i="1" s="1"/>
  <c r="N228" i="1"/>
  <c r="L228" i="1" s="1"/>
  <c r="F228" i="1"/>
  <c r="I228" i="1" s="1"/>
  <c r="N227" i="1"/>
  <c r="L227" i="1" s="1"/>
  <c r="F227" i="1"/>
  <c r="I227" i="1" s="1"/>
  <c r="N226" i="1"/>
  <c r="L226" i="1" s="1"/>
  <c r="F226" i="1"/>
  <c r="I226" i="1" s="1"/>
  <c r="N225" i="1"/>
  <c r="L225" i="1" s="1"/>
  <c r="F225" i="1"/>
  <c r="I225" i="1" s="1"/>
  <c r="N224" i="1"/>
  <c r="L224" i="1" s="1"/>
  <c r="F224" i="1"/>
  <c r="I224" i="1" s="1"/>
  <c r="N223" i="1"/>
  <c r="L223" i="1" s="1"/>
  <c r="F223" i="1"/>
  <c r="I223" i="1" s="1"/>
  <c r="N222" i="1"/>
  <c r="L222" i="1" s="1"/>
  <c r="F222" i="1"/>
  <c r="I222" i="1" s="1"/>
  <c r="N221" i="1"/>
  <c r="L221" i="1" s="1"/>
  <c r="F221" i="1"/>
  <c r="I221" i="1" s="1"/>
  <c r="N220" i="1"/>
  <c r="L220" i="1" s="1"/>
  <c r="F220" i="1"/>
  <c r="I220" i="1" s="1"/>
  <c r="N219" i="1"/>
  <c r="L219" i="1" s="1"/>
  <c r="F219" i="1"/>
  <c r="I219" i="1" s="1"/>
  <c r="N218" i="1"/>
  <c r="L218" i="1" s="1"/>
  <c r="F218" i="1"/>
  <c r="I218" i="1" s="1"/>
  <c r="N217" i="1"/>
  <c r="L217" i="1" s="1"/>
  <c r="F217" i="1"/>
  <c r="I217" i="1" s="1"/>
  <c r="N216" i="1"/>
  <c r="L216" i="1" s="1"/>
  <c r="F216" i="1"/>
  <c r="I216" i="1" s="1"/>
  <c r="N215" i="1"/>
  <c r="L215" i="1" s="1"/>
  <c r="F215" i="1"/>
  <c r="I215" i="1" s="1"/>
  <c r="N214" i="1"/>
  <c r="L214" i="1" s="1"/>
  <c r="F214" i="1"/>
  <c r="I214" i="1" s="1"/>
  <c r="N213" i="1"/>
  <c r="L213" i="1" s="1"/>
  <c r="F213" i="1"/>
  <c r="I213" i="1" s="1"/>
  <c r="N212" i="1"/>
  <c r="L212" i="1" s="1"/>
  <c r="F212" i="1"/>
  <c r="I212" i="1" s="1"/>
  <c r="N211" i="1"/>
  <c r="L211" i="1" s="1"/>
  <c r="F211" i="1"/>
  <c r="I211" i="1" s="1"/>
  <c r="N210" i="1"/>
  <c r="L210" i="1" s="1"/>
  <c r="F210" i="1"/>
  <c r="I210" i="1" s="1"/>
  <c r="N209" i="1"/>
  <c r="L209" i="1" s="1"/>
  <c r="F209" i="1"/>
  <c r="I209" i="1" s="1"/>
  <c r="N208" i="1"/>
  <c r="L208" i="1" s="1"/>
  <c r="F208" i="1"/>
  <c r="I208" i="1" s="1"/>
  <c r="N207" i="1"/>
  <c r="L207" i="1" s="1"/>
  <c r="F207" i="1"/>
  <c r="I207" i="1" s="1"/>
  <c r="N206" i="1"/>
  <c r="L206" i="1" s="1"/>
  <c r="F206" i="1"/>
  <c r="I206" i="1" s="1"/>
  <c r="N205" i="1"/>
  <c r="F205" i="1"/>
  <c r="L205" i="1" s="1"/>
  <c r="N204" i="1"/>
  <c r="F204" i="1"/>
  <c r="L204" i="1" s="1"/>
  <c r="N203" i="1"/>
  <c r="F203" i="1"/>
  <c r="L203" i="1" s="1"/>
  <c r="N202" i="1"/>
  <c r="F202" i="1"/>
  <c r="L202" i="1" s="1"/>
  <c r="N201" i="1"/>
  <c r="F201" i="1"/>
  <c r="L201" i="1" s="1"/>
  <c r="N200" i="1"/>
  <c r="F200" i="1"/>
  <c r="L200" i="1" s="1"/>
  <c r="N199" i="1"/>
  <c r="F199" i="1"/>
  <c r="L199" i="1" s="1"/>
  <c r="N198" i="1"/>
  <c r="L198" i="1" s="1"/>
  <c r="F198" i="1"/>
  <c r="I198" i="1" s="1"/>
  <c r="N197" i="1"/>
  <c r="L197" i="1" s="1"/>
  <c r="F197" i="1"/>
  <c r="I197" i="1" s="1"/>
  <c r="N196" i="1"/>
  <c r="L196" i="1" s="1"/>
  <c r="F196" i="1"/>
  <c r="I196" i="1" s="1"/>
  <c r="N195" i="1"/>
  <c r="L195" i="1" s="1"/>
  <c r="F195" i="1"/>
  <c r="I195" i="1" s="1"/>
  <c r="N194" i="1"/>
  <c r="L194" i="1" s="1"/>
  <c r="F194" i="1"/>
  <c r="I194" i="1" s="1"/>
  <c r="N193" i="1"/>
  <c r="L193" i="1" s="1"/>
  <c r="F193" i="1"/>
  <c r="I193" i="1" s="1"/>
  <c r="N192" i="1"/>
  <c r="L192" i="1" s="1"/>
  <c r="F192" i="1"/>
  <c r="I192" i="1" s="1"/>
  <c r="N191" i="1"/>
  <c r="L191" i="1" s="1"/>
  <c r="F191" i="1"/>
  <c r="I191" i="1" s="1"/>
  <c r="N190" i="1"/>
  <c r="L190" i="1" s="1"/>
  <c r="F190" i="1"/>
  <c r="I190" i="1" s="1"/>
  <c r="N189" i="1"/>
  <c r="L189" i="1" s="1"/>
  <c r="F189" i="1"/>
  <c r="I189" i="1" s="1"/>
  <c r="N188" i="1"/>
  <c r="L188" i="1" s="1"/>
  <c r="F188" i="1"/>
  <c r="I188" i="1" s="1"/>
  <c r="N187" i="1"/>
  <c r="L187" i="1" s="1"/>
  <c r="F187" i="1"/>
  <c r="I187" i="1" s="1"/>
  <c r="N186" i="1"/>
  <c r="L186" i="1" s="1"/>
  <c r="F186" i="1"/>
  <c r="I186" i="1" s="1"/>
  <c r="N185" i="1"/>
  <c r="L185" i="1" s="1"/>
  <c r="F185" i="1"/>
  <c r="I185" i="1" s="1"/>
  <c r="N184" i="1"/>
  <c r="L184" i="1" s="1"/>
  <c r="F184" i="1"/>
  <c r="I184" i="1" s="1"/>
  <c r="N183" i="1"/>
  <c r="L183" i="1" s="1"/>
  <c r="F183" i="1"/>
  <c r="I183" i="1" s="1"/>
  <c r="N182" i="1"/>
  <c r="L182" i="1" s="1"/>
  <c r="F182" i="1"/>
  <c r="I182" i="1" s="1"/>
  <c r="N181" i="1"/>
  <c r="L181" i="1" s="1"/>
  <c r="F181" i="1"/>
  <c r="I181" i="1" s="1"/>
  <c r="N180" i="1"/>
  <c r="L180" i="1" s="1"/>
  <c r="F180" i="1"/>
  <c r="I180" i="1" s="1"/>
  <c r="N179" i="1"/>
  <c r="L179" i="1" s="1"/>
  <c r="F179" i="1"/>
  <c r="I179" i="1" s="1"/>
  <c r="N178" i="1"/>
  <c r="L178" i="1" s="1"/>
  <c r="F178" i="1"/>
  <c r="I178" i="1" s="1"/>
  <c r="N177" i="1"/>
  <c r="L177" i="1" s="1"/>
  <c r="F177" i="1"/>
  <c r="I177" i="1" s="1"/>
  <c r="N176" i="1"/>
  <c r="L176" i="1" s="1"/>
  <c r="F176" i="1"/>
  <c r="I176" i="1" s="1"/>
  <c r="N175" i="1"/>
  <c r="L175" i="1" s="1"/>
  <c r="F175" i="1"/>
  <c r="I175" i="1" s="1"/>
  <c r="N174" i="1"/>
  <c r="L174" i="1" s="1"/>
  <c r="F174" i="1"/>
  <c r="I174" i="1" s="1"/>
  <c r="N173" i="1"/>
  <c r="L173" i="1" s="1"/>
  <c r="F173" i="1"/>
  <c r="I173" i="1" s="1"/>
  <c r="N172" i="1"/>
  <c r="L172" i="1" s="1"/>
  <c r="F172" i="1"/>
  <c r="I172" i="1" s="1"/>
  <c r="N171" i="1"/>
  <c r="L171" i="1" s="1"/>
  <c r="F171" i="1"/>
  <c r="I171" i="1" s="1"/>
  <c r="A171" i="1"/>
  <c r="L3" i="1"/>
  <c r="N170" i="1"/>
  <c r="F170" i="1"/>
  <c r="I170" i="1" s="1"/>
  <c r="N169" i="1"/>
  <c r="F169" i="1"/>
  <c r="I169" i="1" s="1"/>
  <c r="N168" i="1"/>
  <c r="F168" i="1"/>
  <c r="L168" i="1" s="1"/>
  <c r="N167" i="1"/>
  <c r="F167" i="1"/>
  <c r="N166" i="1"/>
  <c r="F166" i="1"/>
  <c r="I166" i="1" s="1"/>
  <c r="N165" i="1"/>
  <c r="L165" i="1" s="1"/>
  <c r="F165" i="1"/>
  <c r="I165" i="1" s="1"/>
  <c r="N164" i="1"/>
  <c r="F164" i="1"/>
  <c r="I164" i="1" s="1"/>
  <c r="N163" i="1"/>
  <c r="L163" i="1" s="1"/>
  <c r="F163" i="1"/>
  <c r="I163" i="1" s="1"/>
  <c r="N162" i="1"/>
  <c r="F162" i="1"/>
  <c r="I162" i="1" s="1"/>
  <c r="N161" i="1"/>
  <c r="L161" i="1" s="1"/>
  <c r="F161" i="1"/>
  <c r="I161" i="1" s="1"/>
  <c r="N160" i="1"/>
  <c r="F160" i="1"/>
  <c r="I160" i="1" s="1"/>
  <c r="N159" i="1"/>
  <c r="L159" i="1" s="1"/>
  <c r="F159" i="1"/>
  <c r="I159" i="1" s="1"/>
  <c r="N158" i="1"/>
  <c r="F158" i="1"/>
  <c r="I158" i="1" s="1"/>
  <c r="N157" i="1"/>
  <c r="L157" i="1" s="1"/>
  <c r="F157" i="1"/>
  <c r="I157" i="1" s="1"/>
  <c r="N156" i="1"/>
  <c r="F156" i="1"/>
  <c r="I156" i="1" s="1"/>
  <c r="N155" i="1"/>
  <c r="L155" i="1" s="1"/>
  <c r="F155" i="1"/>
  <c r="I155" i="1" s="1"/>
  <c r="N154" i="1"/>
  <c r="F154" i="1"/>
  <c r="I154" i="1" s="1"/>
  <c r="N153" i="1"/>
  <c r="L153" i="1" s="1"/>
  <c r="F153" i="1"/>
  <c r="I153" i="1" s="1"/>
  <c r="N152" i="1"/>
  <c r="F152" i="1"/>
  <c r="I152" i="1" s="1"/>
  <c r="N151" i="1"/>
  <c r="L151" i="1" s="1"/>
  <c r="F151" i="1"/>
  <c r="I151" i="1" s="1"/>
  <c r="N150" i="1"/>
  <c r="F150" i="1"/>
  <c r="I150" i="1" s="1"/>
  <c r="N149" i="1"/>
  <c r="L149" i="1" s="1"/>
  <c r="F149" i="1"/>
  <c r="I149" i="1" s="1"/>
  <c r="N148" i="1"/>
  <c r="F148" i="1"/>
  <c r="I148" i="1" s="1"/>
  <c r="N147" i="1"/>
  <c r="L147" i="1" s="1"/>
  <c r="F147" i="1"/>
  <c r="I147" i="1" s="1"/>
  <c r="N146" i="1"/>
  <c r="F146" i="1"/>
  <c r="I146" i="1" s="1"/>
  <c r="N145" i="1"/>
  <c r="L145" i="1" s="1"/>
  <c r="F145" i="1"/>
  <c r="I145" i="1" s="1"/>
  <c r="N144" i="1"/>
  <c r="F144" i="1"/>
  <c r="I144" i="1" s="1"/>
  <c r="N143" i="1"/>
  <c r="L143" i="1" s="1"/>
  <c r="F143" i="1"/>
  <c r="I143" i="1" s="1"/>
  <c r="N142" i="1"/>
  <c r="F142" i="1"/>
  <c r="I142" i="1" s="1"/>
  <c r="N141" i="1"/>
  <c r="L141" i="1" s="1"/>
  <c r="F141" i="1"/>
  <c r="I141" i="1" s="1"/>
  <c r="N140" i="1"/>
  <c r="F140" i="1"/>
  <c r="I140" i="1" s="1"/>
  <c r="N139" i="1"/>
  <c r="L139" i="1" s="1"/>
  <c r="F139" i="1"/>
  <c r="I139" i="1" s="1"/>
  <c r="N138" i="1"/>
  <c r="F138" i="1"/>
  <c r="I138" i="1" s="1"/>
  <c r="N137" i="1"/>
  <c r="L137" i="1" s="1"/>
  <c r="F137" i="1"/>
  <c r="I137" i="1" s="1"/>
  <c r="N136" i="1"/>
  <c r="F136" i="1"/>
  <c r="I136" i="1" s="1"/>
  <c r="N135" i="1"/>
  <c r="L135" i="1" s="1"/>
  <c r="F135" i="1"/>
  <c r="I135" i="1" s="1"/>
  <c r="N134" i="1"/>
  <c r="F134" i="1"/>
  <c r="I134" i="1" s="1"/>
  <c r="N133" i="1"/>
  <c r="L133" i="1" s="1"/>
  <c r="F133" i="1"/>
  <c r="I133" i="1" s="1"/>
  <c r="N132" i="1"/>
  <c r="F132" i="1"/>
  <c r="I132" i="1" s="1"/>
  <c r="N131" i="1"/>
  <c r="L131" i="1" s="1"/>
  <c r="F131" i="1"/>
  <c r="I131" i="1" s="1"/>
  <c r="N130" i="1"/>
  <c r="F130" i="1"/>
  <c r="I130" i="1" s="1"/>
  <c r="N129" i="1"/>
  <c r="L129" i="1" s="1"/>
  <c r="F129" i="1"/>
  <c r="I129" i="1" s="1"/>
  <c r="N128" i="1"/>
  <c r="F128" i="1"/>
  <c r="I128" i="1" s="1"/>
  <c r="N127" i="1"/>
  <c r="L127" i="1" s="1"/>
  <c r="F127" i="1"/>
  <c r="I127" i="1" s="1"/>
  <c r="N126" i="1"/>
  <c r="F126" i="1"/>
  <c r="I126" i="1" s="1"/>
  <c r="N125" i="1"/>
  <c r="L125" i="1" s="1"/>
  <c r="F125" i="1"/>
  <c r="I125" i="1" s="1"/>
  <c r="N124" i="1"/>
  <c r="F124" i="1"/>
  <c r="I124" i="1" s="1"/>
  <c r="N123" i="1"/>
  <c r="L123" i="1" s="1"/>
  <c r="F123" i="1"/>
  <c r="I123" i="1" s="1"/>
  <c r="N122" i="1"/>
  <c r="F122" i="1"/>
  <c r="I122" i="1" s="1"/>
  <c r="N121" i="1"/>
  <c r="L121" i="1" s="1"/>
  <c r="F121" i="1"/>
  <c r="I121" i="1" s="1"/>
  <c r="N120" i="1"/>
  <c r="F120" i="1"/>
  <c r="I120" i="1" s="1"/>
  <c r="N119" i="1"/>
  <c r="L119" i="1" s="1"/>
  <c r="F119" i="1"/>
  <c r="I119" i="1" s="1"/>
  <c r="N118" i="1"/>
  <c r="F118" i="1"/>
  <c r="I118" i="1" s="1"/>
  <c r="N117" i="1"/>
  <c r="L117" i="1" s="1"/>
  <c r="F117" i="1"/>
  <c r="I117" i="1" s="1"/>
  <c r="N116" i="1"/>
  <c r="F116" i="1"/>
  <c r="I116" i="1" s="1"/>
  <c r="N115" i="1"/>
  <c r="L115" i="1" s="1"/>
  <c r="F115" i="1"/>
  <c r="I115" i="1" s="1"/>
  <c r="N114" i="1"/>
  <c r="F114" i="1"/>
  <c r="I114" i="1" s="1"/>
  <c r="N113" i="1"/>
  <c r="L113" i="1" s="1"/>
  <c r="F113" i="1"/>
  <c r="I113" i="1" s="1"/>
  <c r="N112" i="1"/>
  <c r="F112" i="1"/>
  <c r="I112" i="1" s="1"/>
  <c r="N111" i="1"/>
  <c r="L111" i="1" s="1"/>
  <c r="F111" i="1"/>
  <c r="I111" i="1" s="1"/>
  <c r="N110" i="1"/>
  <c r="F110" i="1"/>
  <c r="I110" i="1" s="1"/>
  <c r="N109" i="1"/>
  <c r="L109" i="1" s="1"/>
  <c r="F109" i="1"/>
  <c r="I109" i="1" s="1"/>
  <c r="N108" i="1"/>
  <c r="F108" i="1"/>
  <c r="I108" i="1" s="1"/>
  <c r="N107" i="1"/>
  <c r="L107" i="1" s="1"/>
  <c r="F107" i="1"/>
  <c r="I107" i="1" s="1"/>
  <c r="N106" i="1"/>
  <c r="F106" i="1"/>
  <c r="I106" i="1" s="1"/>
  <c r="N105" i="1"/>
  <c r="L105" i="1" s="1"/>
  <c r="F105" i="1"/>
  <c r="I105" i="1" s="1"/>
  <c r="N104" i="1"/>
  <c r="F104" i="1"/>
  <c r="I104" i="1" s="1"/>
  <c r="N103" i="1"/>
  <c r="L103" i="1" s="1"/>
  <c r="F103" i="1"/>
  <c r="I103" i="1" s="1"/>
  <c r="N102" i="1"/>
  <c r="F102" i="1"/>
  <c r="I102" i="1" s="1"/>
  <c r="N101" i="1"/>
  <c r="L101" i="1" s="1"/>
  <c r="F101" i="1"/>
  <c r="I101" i="1" s="1"/>
  <c r="N100" i="1"/>
  <c r="F100" i="1"/>
  <c r="I100" i="1" s="1"/>
  <c r="N99" i="1"/>
  <c r="L99" i="1" s="1"/>
  <c r="F99" i="1"/>
  <c r="I99" i="1" s="1"/>
  <c r="N98" i="1"/>
  <c r="F98" i="1"/>
  <c r="I98" i="1" s="1"/>
  <c r="N97" i="1"/>
  <c r="L97" i="1" s="1"/>
  <c r="F97" i="1"/>
  <c r="I97" i="1" s="1"/>
  <c r="N96" i="1"/>
  <c r="F96" i="1"/>
  <c r="I96" i="1" s="1"/>
  <c r="N95" i="1"/>
  <c r="L95" i="1" s="1"/>
  <c r="F95" i="1"/>
  <c r="I95" i="1" s="1"/>
  <c r="N94" i="1"/>
  <c r="F94" i="1"/>
  <c r="I94" i="1" s="1"/>
  <c r="N93" i="1"/>
  <c r="L93" i="1" s="1"/>
  <c r="F93" i="1"/>
  <c r="I93" i="1" s="1"/>
  <c r="N92" i="1"/>
  <c r="F92" i="1"/>
  <c r="I92" i="1" s="1"/>
  <c r="N91" i="1"/>
  <c r="L91" i="1" s="1"/>
  <c r="F91" i="1"/>
  <c r="I91" i="1" s="1"/>
  <c r="N90" i="1"/>
  <c r="F90" i="1"/>
  <c r="I90" i="1" s="1"/>
  <c r="N89" i="1"/>
  <c r="L89" i="1" s="1"/>
  <c r="F89" i="1"/>
  <c r="I89" i="1" s="1"/>
  <c r="N88" i="1"/>
  <c r="F88" i="1"/>
  <c r="I88" i="1" s="1"/>
  <c r="N87" i="1"/>
  <c r="L87" i="1" s="1"/>
  <c r="F87" i="1"/>
  <c r="I87" i="1" s="1"/>
  <c r="N86" i="1"/>
  <c r="F86" i="1"/>
  <c r="I86" i="1" s="1"/>
  <c r="N85" i="1"/>
  <c r="L85" i="1" s="1"/>
  <c r="F85" i="1"/>
  <c r="I85" i="1" s="1"/>
  <c r="N84" i="1"/>
  <c r="F84" i="1"/>
  <c r="I84" i="1" s="1"/>
  <c r="N83" i="1"/>
  <c r="L83" i="1" s="1"/>
  <c r="F83" i="1"/>
  <c r="I83" i="1" s="1"/>
  <c r="N82" i="1"/>
  <c r="F82" i="1"/>
  <c r="I82" i="1" s="1"/>
  <c r="N81" i="1"/>
  <c r="L81" i="1" s="1"/>
  <c r="F81" i="1"/>
  <c r="I81" i="1" s="1"/>
  <c r="N80" i="1"/>
  <c r="F80" i="1"/>
  <c r="I80" i="1" s="1"/>
  <c r="N79" i="1"/>
  <c r="L79" i="1" s="1"/>
  <c r="F79" i="1"/>
  <c r="I79" i="1" s="1"/>
  <c r="N78" i="1"/>
  <c r="F78" i="1"/>
  <c r="I78" i="1" s="1"/>
  <c r="N77" i="1"/>
  <c r="L77" i="1" s="1"/>
  <c r="F77" i="1"/>
  <c r="I77" i="1" s="1"/>
  <c r="N76" i="1"/>
  <c r="F76" i="1"/>
  <c r="I76" i="1" s="1"/>
  <c r="N75" i="1"/>
  <c r="L75" i="1" s="1"/>
  <c r="F75" i="1"/>
  <c r="I75" i="1" s="1"/>
  <c r="N74" i="1"/>
  <c r="F74" i="1"/>
  <c r="I74" i="1" s="1"/>
  <c r="N73" i="1"/>
  <c r="L73" i="1" s="1"/>
  <c r="F73" i="1"/>
  <c r="I73" i="1" s="1"/>
  <c r="N72" i="1"/>
  <c r="F72" i="1"/>
  <c r="I72" i="1" s="1"/>
  <c r="N71" i="1"/>
  <c r="L71" i="1" s="1"/>
  <c r="F71" i="1"/>
  <c r="I71" i="1" s="1"/>
  <c r="N70" i="1"/>
  <c r="F70" i="1"/>
  <c r="I70" i="1" s="1"/>
  <c r="N69" i="1"/>
  <c r="L69" i="1" s="1"/>
  <c r="F69" i="1"/>
  <c r="I69" i="1" s="1"/>
  <c r="N68" i="1"/>
  <c r="F68" i="1"/>
  <c r="I68" i="1" s="1"/>
  <c r="N67" i="1"/>
  <c r="L67" i="1" s="1"/>
  <c r="F67" i="1"/>
  <c r="I67" i="1" s="1"/>
  <c r="N66" i="1"/>
  <c r="F66" i="1"/>
  <c r="I66" i="1" s="1"/>
  <c r="N65" i="1"/>
  <c r="L65" i="1" s="1"/>
  <c r="F65" i="1"/>
  <c r="I65" i="1" s="1"/>
  <c r="N64" i="1"/>
  <c r="F64" i="1"/>
  <c r="I64" i="1" s="1"/>
  <c r="N63" i="1"/>
  <c r="L63" i="1" s="1"/>
  <c r="F63" i="1"/>
  <c r="I63" i="1" s="1"/>
  <c r="N62" i="1"/>
  <c r="F62" i="1"/>
  <c r="I62" i="1" s="1"/>
  <c r="N61" i="1"/>
  <c r="L61" i="1" s="1"/>
  <c r="F61" i="1"/>
  <c r="I61" i="1" s="1"/>
  <c r="N60" i="1"/>
  <c r="F60" i="1"/>
  <c r="I60" i="1" s="1"/>
  <c r="N59" i="1"/>
  <c r="L59" i="1" s="1"/>
  <c r="F59" i="1"/>
  <c r="I59" i="1" s="1"/>
  <c r="N58" i="1"/>
  <c r="F58" i="1"/>
  <c r="L58" i="1" s="1"/>
  <c r="N57" i="1"/>
  <c r="F57" i="1"/>
  <c r="N56" i="1"/>
  <c r="F56" i="1"/>
  <c r="L56" i="1" s="1"/>
  <c r="N55" i="1"/>
  <c r="F55" i="1"/>
  <c r="N54" i="1"/>
  <c r="F54" i="1"/>
  <c r="L54" i="1" s="1"/>
  <c r="N53" i="1"/>
  <c r="F53" i="1"/>
  <c r="N52" i="1"/>
  <c r="F52" i="1"/>
  <c r="L52" i="1" s="1"/>
  <c r="N51" i="1"/>
  <c r="L51" i="1" s="1"/>
  <c r="F51" i="1"/>
  <c r="I51" i="1" s="1"/>
  <c r="N50" i="1"/>
  <c r="F50" i="1"/>
  <c r="I50" i="1" s="1"/>
  <c r="N49" i="1"/>
  <c r="L49" i="1" s="1"/>
  <c r="F49" i="1"/>
  <c r="I49" i="1" s="1"/>
  <c r="N48" i="1"/>
  <c r="F48" i="1"/>
  <c r="I48" i="1" s="1"/>
  <c r="N47" i="1"/>
  <c r="L47" i="1" s="1"/>
  <c r="F47" i="1"/>
  <c r="I47" i="1" s="1"/>
  <c r="N46" i="1"/>
  <c r="F46" i="1"/>
  <c r="I46" i="1" s="1"/>
  <c r="N45" i="1"/>
  <c r="L45" i="1" s="1"/>
  <c r="F45" i="1"/>
  <c r="I45" i="1" s="1"/>
  <c r="N44" i="1"/>
  <c r="F44" i="1"/>
  <c r="L44" i="1" s="1"/>
  <c r="N43" i="1"/>
  <c r="F43" i="1"/>
  <c r="N42" i="1"/>
  <c r="F42" i="1"/>
  <c r="L42" i="1" s="1"/>
  <c r="N41" i="1"/>
  <c r="F41" i="1"/>
  <c r="N40" i="1"/>
  <c r="F40" i="1"/>
  <c r="L40" i="1" s="1"/>
  <c r="N39" i="1"/>
  <c r="F39" i="1"/>
  <c r="N38" i="1"/>
  <c r="F38" i="1"/>
  <c r="L38" i="1" s="1"/>
  <c r="N37" i="1"/>
  <c r="L37" i="1" s="1"/>
  <c r="F37" i="1"/>
  <c r="I37" i="1" s="1"/>
  <c r="N36" i="1"/>
  <c r="F36" i="1"/>
  <c r="I36" i="1" s="1"/>
  <c r="N35" i="1"/>
  <c r="L35" i="1" s="1"/>
  <c r="F35" i="1"/>
  <c r="I35" i="1" s="1"/>
  <c r="N34" i="1"/>
  <c r="F34" i="1"/>
  <c r="I34" i="1" s="1"/>
  <c r="N33" i="1"/>
  <c r="L33" i="1" s="1"/>
  <c r="F33" i="1"/>
  <c r="I33" i="1" s="1"/>
  <c r="N32" i="1"/>
  <c r="F32" i="1"/>
  <c r="I32" i="1" s="1"/>
  <c r="N31" i="1"/>
  <c r="L31" i="1" s="1"/>
  <c r="F31" i="1"/>
  <c r="I31" i="1" s="1"/>
  <c r="N30" i="1"/>
  <c r="F30" i="1"/>
  <c r="I30" i="1" s="1"/>
  <c r="N29" i="1"/>
  <c r="F29" i="1"/>
  <c r="N28" i="1"/>
  <c r="F28" i="1"/>
  <c r="L28" i="1" s="1"/>
  <c r="N27" i="1"/>
  <c r="L27" i="1" s="1"/>
  <c r="F27" i="1"/>
  <c r="I27" i="1" s="1"/>
  <c r="N26" i="1"/>
  <c r="F26" i="1"/>
  <c r="I26" i="1" s="1"/>
  <c r="N25" i="1"/>
  <c r="L25" i="1" s="1"/>
  <c r="F25" i="1"/>
  <c r="I25" i="1" s="1"/>
  <c r="N24" i="1"/>
  <c r="F24" i="1"/>
  <c r="I24" i="1" s="1"/>
  <c r="N23" i="1"/>
  <c r="L23" i="1" s="1"/>
  <c r="F23" i="1"/>
  <c r="I23" i="1" s="1"/>
  <c r="N22" i="1"/>
  <c r="F22" i="1"/>
  <c r="I22" i="1" s="1"/>
  <c r="N21" i="1"/>
  <c r="L21" i="1" s="1"/>
  <c r="F21" i="1"/>
  <c r="I21" i="1" s="1"/>
  <c r="N20" i="1"/>
  <c r="F20" i="1"/>
  <c r="I20" i="1" s="1"/>
  <c r="N19" i="1"/>
  <c r="L19" i="1" s="1"/>
  <c r="F19" i="1"/>
  <c r="I19" i="1" s="1"/>
  <c r="N18" i="1"/>
  <c r="F18" i="1"/>
  <c r="I18" i="1" s="1"/>
  <c r="N17" i="1"/>
  <c r="L17" i="1" s="1"/>
  <c r="F17" i="1"/>
  <c r="I17" i="1" s="1"/>
  <c r="N16" i="1"/>
  <c r="F16" i="1"/>
  <c r="I16" i="1" s="1"/>
  <c r="N15" i="1"/>
  <c r="F15" i="1"/>
  <c r="N14" i="1"/>
  <c r="F14" i="1"/>
  <c r="L14" i="1" s="1"/>
  <c r="N13" i="1"/>
  <c r="F13" i="1"/>
  <c r="N12" i="1"/>
  <c r="F12" i="1"/>
  <c r="L12" i="1" s="1"/>
  <c r="N11" i="1"/>
  <c r="F11" i="1"/>
  <c r="I11" i="1" s="1"/>
  <c r="N10" i="1"/>
  <c r="F10" i="1"/>
  <c r="L10" i="1" s="1"/>
  <c r="N9" i="1"/>
  <c r="N8" i="1"/>
  <c r="N7" i="1"/>
  <c r="N6" i="1"/>
  <c r="N5" i="1"/>
  <c r="N4" i="1"/>
  <c r="N3" i="1"/>
  <c r="F9" i="1"/>
  <c r="L9" i="1" s="1"/>
  <c r="F8" i="1"/>
  <c r="I8" i="1" s="1"/>
  <c r="F7" i="1"/>
  <c r="I7" i="1" s="1"/>
  <c r="F6" i="1"/>
  <c r="I5" i="1"/>
  <c r="F5" i="1"/>
  <c r="F4" i="1"/>
  <c r="I4" i="1" s="1"/>
  <c r="I3" i="1"/>
  <c r="F3" i="1"/>
  <c r="I494" i="1" l="1"/>
  <c r="I495" i="1"/>
  <c r="I496" i="1"/>
  <c r="I497" i="1"/>
  <c r="I498" i="1"/>
  <c r="I499" i="1"/>
  <c r="I479" i="1"/>
  <c r="I480" i="1"/>
  <c r="I481" i="1"/>
  <c r="I482" i="1"/>
  <c r="I483" i="1"/>
  <c r="I484" i="1"/>
  <c r="I485" i="1"/>
  <c r="I465" i="1"/>
  <c r="I466" i="1"/>
  <c r="I467" i="1"/>
  <c r="I468" i="1"/>
  <c r="I469" i="1"/>
  <c r="I470" i="1"/>
  <c r="I471" i="1"/>
  <c r="I458" i="1"/>
  <c r="I459" i="1"/>
  <c r="I460" i="1"/>
  <c r="I461" i="1"/>
  <c r="I462" i="1"/>
  <c r="I463" i="1"/>
  <c r="I284" i="1"/>
  <c r="I285" i="1"/>
  <c r="I286" i="1"/>
  <c r="I287" i="1"/>
  <c r="I288" i="1"/>
  <c r="I235" i="1"/>
  <c r="I237" i="1"/>
  <c r="I238" i="1"/>
  <c r="I239" i="1"/>
  <c r="I232" i="1"/>
  <c r="I199" i="1"/>
  <c r="I200" i="1"/>
  <c r="I201" i="1"/>
  <c r="I202" i="1"/>
  <c r="I203" i="1"/>
  <c r="I204" i="1"/>
  <c r="I205" i="1"/>
  <c r="L4" i="1"/>
  <c r="L5" i="1"/>
  <c r="L7" i="1"/>
  <c r="L18" i="1"/>
  <c r="L20" i="1"/>
  <c r="L22" i="1"/>
  <c r="L24" i="1"/>
  <c r="L26" i="1"/>
  <c r="L30" i="1"/>
  <c r="L32" i="1"/>
  <c r="L34" i="1"/>
  <c r="L36" i="1"/>
  <c r="L46" i="1"/>
  <c r="L48" i="1"/>
  <c r="L50" i="1"/>
  <c r="L60" i="1"/>
  <c r="L62" i="1"/>
  <c r="L64" i="1"/>
  <c r="L66" i="1"/>
  <c r="L68" i="1"/>
  <c r="L70" i="1"/>
  <c r="L72" i="1"/>
  <c r="L74" i="1"/>
  <c r="L76" i="1"/>
  <c r="L78" i="1"/>
  <c r="L80" i="1"/>
  <c r="L82" i="1"/>
  <c r="L84" i="1"/>
  <c r="L86" i="1"/>
  <c r="L88" i="1"/>
  <c r="L90" i="1"/>
  <c r="L92" i="1"/>
  <c r="L94" i="1"/>
  <c r="L96" i="1"/>
  <c r="L98" i="1"/>
  <c r="L100" i="1"/>
  <c r="L102" i="1"/>
  <c r="L104" i="1"/>
  <c r="L106" i="1"/>
  <c r="L108" i="1"/>
  <c r="L110" i="1"/>
  <c r="L112" i="1"/>
  <c r="L114" i="1"/>
  <c r="L116" i="1"/>
  <c r="L118" i="1"/>
  <c r="L120" i="1"/>
  <c r="L122" i="1"/>
  <c r="L124" i="1"/>
  <c r="L126" i="1"/>
  <c r="L128" i="1"/>
  <c r="L130" i="1"/>
  <c r="L132" i="1"/>
  <c r="L134" i="1"/>
  <c r="L136" i="1"/>
  <c r="L138" i="1"/>
  <c r="L140" i="1"/>
  <c r="L142" i="1"/>
  <c r="L144" i="1"/>
  <c r="L146" i="1"/>
  <c r="L148" i="1"/>
  <c r="L150" i="1"/>
  <c r="L152" i="1"/>
  <c r="L154" i="1"/>
  <c r="L156" i="1"/>
  <c r="L158" i="1"/>
  <c r="L160" i="1"/>
  <c r="L162" i="1"/>
  <c r="L164" i="1"/>
  <c r="L166" i="1"/>
  <c r="L170" i="1"/>
  <c r="L13" i="1"/>
  <c r="L15" i="1"/>
  <c r="L29" i="1"/>
  <c r="L39" i="1"/>
  <c r="L41" i="1"/>
  <c r="L43" i="1"/>
  <c r="L53" i="1"/>
  <c r="L55" i="1"/>
  <c r="L57" i="1"/>
  <c r="L167" i="1"/>
  <c r="I167" i="1"/>
  <c r="I168" i="1"/>
  <c r="L169" i="1"/>
  <c r="I52" i="1"/>
  <c r="I53" i="1"/>
  <c r="I54" i="1"/>
  <c r="I55" i="1"/>
  <c r="I56" i="1"/>
  <c r="I57" i="1"/>
  <c r="I58" i="1"/>
  <c r="I38" i="1"/>
  <c r="I39" i="1"/>
  <c r="I40" i="1"/>
  <c r="I41" i="1"/>
  <c r="I42" i="1"/>
  <c r="I43" i="1"/>
  <c r="I44" i="1"/>
  <c r="I28" i="1"/>
  <c r="I29" i="1"/>
  <c r="I10" i="1"/>
  <c r="I12" i="1"/>
  <c r="I13" i="1"/>
  <c r="I14" i="1"/>
  <c r="I15" i="1"/>
  <c r="L11" i="1"/>
  <c r="L16" i="1"/>
  <c r="L6" i="1"/>
  <c r="L8" i="1"/>
  <c r="I6" i="1"/>
  <c r="I9" i="1"/>
</calcChain>
</file>

<file path=xl/sharedStrings.xml><?xml version="1.0" encoding="utf-8"?>
<sst xmlns="http://schemas.openxmlformats.org/spreadsheetml/2006/main" count="110" uniqueCount="35">
  <si>
    <t xml:space="preserve"> φ</t>
  </si>
  <si>
    <t>L</t>
  </si>
  <si>
    <r>
      <t>A</t>
    </r>
    <r>
      <rPr>
        <vertAlign val="subscript"/>
        <sz val="11"/>
        <color rgb="FF000000"/>
        <rFont val="Times New Roman"/>
        <family val="1"/>
      </rPr>
      <t>w</t>
    </r>
    <r>
      <rPr>
        <sz val="11"/>
        <color rgb="FF000000"/>
        <rFont val="Times New Roman"/>
        <family val="1"/>
      </rPr>
      <t>x10</t>
    </r>
    <r>
      <rPr>
        <vertAlign val="superscript"/>
        <sz val="11"/>
        <color rgb="FF000000"/>
        <rFont val="Times New Roman"/>
        <family val="1"/>
      </rPr>
      <t>-4</t>
    </r>
  </si>
  <si>
    <r>
      <t>V</t>
    </r>
    <r>
      <rPr>
        <vertAlign val="subscript"/>
        <sz val="11"/>
        <color rgb="FF000000"/>
        <rFont val="Times New Roman"/>
        <family val="1"/>
      </rPr>
      <t>w</t>
    </r>
  </si>
  <si>
    <r>
      <t>hx10</t>
    </r>
    <r>
      <rPr>
        <vertAlign val="superscript"/>
        <sz val="11"/>
        <color rgb="FF000000"/>
        <rFont val="Times New Roman"/>
        <family val="1"/>
      </rPr>
      <t>-2</t>
    </r>
  </si>
  <si>
    <t>R/L</t>
  </si>
  <si>
    <t>Fr</t>
  </si>
  <si>
    <r>
      <t>d</t>
    </r>
    <r>
      <rPr>
        <vertAlign val="subscript"/>
        <sz val="11"/>
        <color rgb="FF000000"/>
        <rFont val="Times New Roman"/>
        <family val="1"/>
      </rPr>
      <t>A</t>
    </r>
    <r>
      <rPr>
        <sz val="11"/>
        <color rgb="FF000000"/>
        <rFont val="Times New Roman"/>
        <family val="1"/>
      </rPr>
      <t xml:space="preserve"> x 10</t>
    </r>
    <r>
      <rPr>
        <vertAlign val="superscript"/>
        <sz val="11"/>
        <color rgb="FF000000"/>
        <rFont val="Times New Roman"/>
        <family val="1"/>
      </rPr>
      <t>-2</t>
    </r>
  </si>
  <si>
    <r>
      <t>V</t>
    </r>
    <r>
      <rPr>
        <vertAlign val="subscript"/>
        <sz val="11"/>
        <color rgb="FF000000"/>
        <rFont val="Times New Roman"/>
        <family val="1"/>
      </rPr>
      <t>A</t>
    </r>
  </si>
  <si>
    <t>σ</t>
  </si>
  <si>
    <r>
      <t>m</t>
    </r>
    <r>
      <rPr>
        <vertAlign val="superscript"/>
        <sz val="11"/>
        <color rgb="FF000000"/>
        <rFont val="Times New Roman"/>
        <family val="1"/>
      </rPr>
      <t>2</t>
    </r>
  </si>
  <si>
    <t>m</t>
  </si>
  <si>
    <t>(-)</t>
  </si>
  <si>
    <t>(m)</t>
  </si>
  <si>
    <t>(m3/s)</t>
  </si>
  <si>
    <t>(m/s)</t>
  </si>
  <si>
    <t>%</t>
  </si>
  <si>
    <r>
      <t>P</t>
    </r>
    <r>
      <rPr>
        <vertAlign val="subscript"/>
        <sz val="11"/>
        <color theme="1"/>
        <rFont val="Times New Roman"/>
        <family val="1"/>
      </rPr>
      <t>a</t>
    </r>
  </si>
  <si>
    <t>Aspect Ratio</t>
  </si>
  <si>
    <r>
      <t>Q</t>
    </r>
    <r>
      <rPr>
        <vertAlign val="subscript"/>
        <sz val="11"/>
        <color rgb="FF000000"/>
        <rFont val="Times New Roman"/>
        <family val="1"/>
      </rPr>
      <t>W</t>
    </r>
    <r>
      <rPr>
        <sz val="11"/>
        <color rgb="FF000000"/>
        <rFont val="Times New Roman"/>
        <family val="1"/>
      </rPr>
      <t xml:space="preserve"> x 10</t>
    </r>
    <r>
      <rPr>
        <vertAlign val="superscript"/>
        <sz val="11"/>
        <color rgb="FF000000"/>
        <rFont val="Times New Roman"/>
        <family val="1"/>
      </rPr>
      <t>-3</t>
    </r>
  </si>
  <si>
    <r>
      <t>Q</t>
    </r>
    <r>
      <rPr>
        <vertAlign val="subscript"/>
        <sz val="11"/>
        <color rgb="FF000000"/>
        <rFont val="Times New Roman"/>
        <family val="1"/>
      </rPr>
      <t>W</t>
    </r>
    <r>
      <rPr>
        <sz val="11"/>
        <color rgb="FF000000"/>
        <rFont val="Times New Roman"/>
        <family val="1"/>
      </rPr>
      <t xml:space="preserve"> x 10</t>
    </r>
    <r>
      <rPr>
        <vertAlign val="superscript"/>
        <sz val="11"/>
        <color rgb="FF000000"/>
        <rFont val="Times New Roman"/>
        <family val="1"/>
      </rPr>
      <t>-3</t>
    </r>
    <r>
      <rPr>
        <sz val="11"/>
        <color rgb="FF000000"/>
        <rFont val="Times New Roman"/>
        <family val="1"/>
      </rPr>
      <t xml:space="preserve"> </t>
    </r>
  </si>
  <si>
    <t>Pa</t>
  </si>
  <si>
    <r>
      <t>V</t>
    </r>
    <r>
      <rPr>
        <vertAlign val="subscript"/>
        <sz val="11"/>
        <color rgb="FF000000"/>
        <rFont val="Times New Roman"/>
        <family val="1"/>
      </rPr>
      <t>A</t>
    </r>
    <r>
      <rPr>
        <sz val="11"/>
        <color rgb="FF000000"/>
        <rFont val="Times New Roman"/>
        <family val="1"/>
      </rPr>
      <t>/Vw</t>
    </r>
  </si>
  <si>
    <t>Qa/Qw</t>
  </si>
  <si>
    <r>
      <t>Qa x 10</t>
    </r>
    <r>
      <rPr>
        <vertAlign val="superscript"/>
        <sz val="11"/>
        <color rgb="FF000000"/>
        <rFont val="Times New Roman"/>
        <family val="1"/>
      </rPr>
      <t>-3</t>
    </r>
    <r>
      <rPr>
        <sz val="11"/>
        <color rgb="FF000000"/>
        <rFont val="Times New Roman"/>
        <family val="1"/>
      </rPr>
      <t xml:space="preserve"> </t>
    </r>
  </si>
  <si>
    <t>VA/Vw</t>
  </si>
  <si>
    <t xml:space="preserve">Qa x 10-3 </t>
  </si>
  <si>
    <t>Vw</t>
  </si>
  <si>
    <t>R</t>
  </si>
  <si>
    <r>
      <t>Q</t>
    </r>
    <r>
      <rPr>
        <vertAlign val="subscript"/>
        <sz val="11"/>
        <color rgb="FF000000"/>
        <rFont val="Times New Roman"/>
        <family val="1"/>
      </rPr>
      <t>W</t>
    </r>
  </si>
  <si>
    <t>h</t>
  </si>
  <si>
    <t>AR</t>
  </si>
  <si>
    <t>phi</t>
  </si>
  <si>
    <t>Qa</t>
  </si>
  <si>
    <t>sigma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</si>
</sst>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"/>
    <numFmt numFmtId="166" formatCode="0.0000"/>
    <numFmt numFmtId="167" formatCode="0.000000"/>
    <numFmt numFmtId="168" formatCode="0.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bscript"/>
      <sz val="11"/>
      <color rgb="FF000000"/>
      <name val="Times New Roman"/>
      <family val="1"/>
    </font>
    <font>
      <vertAlign val="superscript"/>
      <sz val="11"/>
      <color rgb="FF000000"/>
      <name val="Times New Roman"/>
      <family val="1"/>
    </font>
    <font>
      <vertAlign val="sub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65" fontId="2" fillId="0" borderId="0" xfId="0" applyNumberFormat="1" applyFont="1" applyAlignment="1">
      <alignment horizontal="center" vertical="center" wrapText="1"/>
    </xf>
    <xf numFmtId="166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167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vertical="center" wrapText="1"/>
    </xf>
    <xf numFmtId="166" fontId="1" fillId="0" borderId="0" xfId="0" applyNumberFormat="1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167" fontId="2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 wrapText="1"/>
    </xf>
    <xf numFmtId="167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/>
    <xf numFmtId="2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64" fontId="2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68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71444-451E-43A0-8BA9-642481D40107}">
  <dimension ref="A1:N506"/>
  <sheetViews>
    <sheetView zoomScale="115" zoomScaleNormal="115" workbookViewId="0">
      <pane ySplit="1" topLeftCell="A2" activePane="bottomLeft" state="frozen"/>
      <selection activeCell="B1" sqref="B1"/>
      <selection pane="bottomLeft" activeCell="L8" sqref="L8"/>
    </sheetView>
  </sheetViews>
  <sheetFormatPr defaultColWidth="13.5546875" defaultRowHeight="14.4" x14ac:dyDescent="0.3"/>
  <sheetData>
    <row r="1" spans="1:14" ht="43.8" customHeight="1" x14ac:dyDescent="0.35">
      <c r="A1" t="s">
        <v>18</v>
      </c>
      <c r="B1" t="s">
        <v>0</v>
      </c>
      <c r="C1" t="s">
        <v>1</v>
      </c>
      <c r="D1" s="5" t="s">
        <v>20</v>
      </c>
      <c r="E1" s="1" t="s">
        <v>2</v>
      </c>
      <c r="F1" s="2" t="s">
        <v>3</v>
      </c>
      <c r="G1" s="3" t="s">
        <v>4</v>
      </c>
      <c r="H1" s="3" t="s">
        <v>5</v>
      </c>
      <c r="I1" s="1" t="s">
        <v>6</v>
      </c>
      <c r="J1" s="3" t="s">
        <v>7</v>
      </c>
      <c r="K1" s="3" t="s">
        <v>8</v>
      </c>
      <c r="L1" s="4" t="s">
        <v>9</v>
      </c>
      <c r="N1" s="11" t="s">
        <v>17</v>
      </c>
    </row>
    <row r="2" spans="1:14" ht="16.8" customHeight="1" x14ac:dyDescent="0.3">
      <c r="A2" s="14" t="s">
        <v>12</v>
      </c>
      <c r="B2" t="s">
        <v>16</v>
      </c>
      <c r="C2" t="s">
        <v>11</v>
      </c>
      <c r="D2" s="5" t="s">
        <v>14</v>
      </c>
      <c r="E2" s="1" t="s">
        <v>10</v>
      </c>
      <c r="F2" s="2" t="s">
        <v>15</v>
      </c>
      <c r="G2" s="3" t="s">
        <v>11</v>
      </c>
      <c r="H2" s="3" t="s">
        <v>12</v>
      </c>
      <c r="I2" s="1" t="s">
        <v>12</v>
      </c>
      <c r="J2" s="3" t="s">
        <v>13</v>
      </c>
      <c r="K2" s="3" t="s">
        <v>15</v>
      </c>
      <c r="L2" s="4" t="s">
        <v>12</v>
      </c>
      <c r="N2" s="11" t="s">
        <v>13</v>
      </c>
    </row>
    <row r="3" spans="1:14" x14ac:dyDescent="0.3">
      <c r="A3">
        <v>0.6</v>
      </c>
      <c r="B3">
        <v>10</v>
      </c>
      <c r="C3">
        <v>1</v>
      </c>
      <c r="D3" s="3">
        <v>1.6</v>
      </c>
      <c r="E3" s="1">
        <v>5.0759999999999996</v>
      </c>
      <c r="F3" s="6">
        <f>(D3*10^-3)/(E3*10^-4)</f>
        <v>3.1520882584712373</v>
      </c>
      <c r="G3" s="7">
        <v>0.94</v>
      </c>
      <c r="H3" s="8">
        <v>4.0000000000000001E-3</v>
      </c>
      <c r="I3" s="9">
        <f t="shared" ref="I3:I66" si="0">(F3)/((9.81*G3*10^-2))^(1/2)</f>
        <v>10.380061789358871</v>
      </c>
      <c r="J3" s="7">
        <v>3</v>
      </c>
      <c r="K3" s="7">
        <v>0</v>
      </c>
      <c r="L3" s="10">
        <f>(10.33+N3-0.234)/((F3^2)/19.62)</f>
        <v>19.936623459420002</v>
      </c>
      <c r="N3" s="11">
        <f>-(1.7*K3^2)/19.62</f>
        <v>0</v>
      </c>
    </row>
    <row r="4" spans="1:14" x14ac:dyDescent="0.3">
      <c r="A4">
        <v>0.6</v>
      </c>
      <c r="B4">
        <v>10</v>
      </c>
      <c r="C4">
        <v>1</v>
      </c>
      <c r="D4" s="3">
        <v>3.2</v>
      </c>
      <c r="E4" s="1">
        <v>5.0759999999999996</v>
      </c>
      <c r="F4" s="6">
        <f t="shared" ref="F4:F9" si="1">(D4*10^-3)/(E4*10^-4)</f>
        <v>6.3041765169424746</v>
      </c>
      <c r="G4" s="7">
        <v>0.94</v>
      </c>
      <c r="H4" s="8">
        <v>4.0000000000000001E-3</v>
      </c>
      <c r="I4" s="9">
        <f t="shared" si="0"/>
        <v>20.760123578717742</v>
      </c>
      <c r="J4" s="7">
        <v>4.5</v>
      </c>
      <c r="K4" s="7">
        <v>2.1800000000000002</v>
      </c>
      <c r="L4" s="10">
        <f>(10.33+N4-0.234)/((F4^2)/19.62)</f>
        <v>4.7808709375443756</v>
      </c>
      <c r="N4" s="11">
        <f t="shared" ref="N4:N9" si="2">-(1.7*K4^2)/19.62</f>
        <v>-0.4117777777777778</v>
      </c>
    </row>
    <row r="5" spans="1:14" x14ac:dyDescent="0.3">
      <c r="A5">
        <v>0.6</v>
      </c>
      <c r="B5">
        <v>10</v>
      </c>
      <c r="C5">
        <v>1</v>
      </c>
      <c r="D5" s="3">
        <v>4.8</v>
      </c>
      <c r="E5" s="1">
        <v>5.0759999999999996</v>
      </c>
      <c r="F5" s="6">
        <f t="shared" si="1"/>
        <v>9.456264775413711</v>
      </c>
      <c r="G5" s="7">
        <v>0.94</v>
      </c>
      <c r="H5" s="8">
        <v>4.0000000000000001E-3</v>
      </c>
      <c r="I5" s="9">
        <f t="shared" si="0"/>
        <v>31.140185368076612</v>
      </c>
      <c r="J5" s="7">
        <v>4.5</v>
      </c>
      <c r="K5" s="7">
        <v>6.82</v>
      </c>
      <c r="L5" s="10">
        <f t="shared" ref="L5:L66" si="3">(10.33+N5-0.234)/((F5^2)/19.62)</f>
        <v>1.3309235547975002</v>
      </c>
      <c r="N5" s="11">
        <f t="shared" si="2"/>
        <v>-4.030126401630989</v>
      </c>
    </row>
    <row r="6" spans="1:14" x14ac:dyDescent="0.3">
      <c r="A6">
        <v>0.6</v>
      </c>
      <c r="B6">
        <v>10</v>
      </c>
      <c r="C6">
        <v>1</v>
      </c>
      <c r="D6" s="3">
        <v>6.4</v>
      </c>
      <c r="E6" s="1">
        <v>5.0759999999999996</v>
      </c>
      <c r="F6" s="6">
        <f t="shared" si="1"/>
        <v>12.608353033884949</v>
      </c>
      <c r="G6" s="7">
        <v>0.94</v>
      </c>
      <c r="H6" s="8">
        <v>4.0000000000000001E-3</v>
      </c>
      <c r="I6" s="9">
        <f t="shared" si="0"/>
        <v>41.520247157435485</v>
      </c>
      <c r="J6" s="7">
        <v>4.5</v>
      </c>
      <c r="K6" s="7">
        <v>10.49</v>
      </c>
      <c r="L6" s="10">
        <f t="shared" si="3"/>
        <v>6.9291757974023468E-2</v>
      </c>
      <c r="N6" s="11">
        <f t="shared" si="2"/>
        <v>-9.5345652395514779</v>
      </c>
    </row>
    <row r="7" spans="1:14" x14ac:dyDescent="0.3">
      <c r="A7">
        <v>0.6</v>
      </c>
      <c r="B7">
        <v>10</v>
      </c>
      <c r="C7">
        <v>1</v>
      </c>
      <c r="D7" s="3">
        <v>8</v>
      </c>
      <c r="E7" s="1">
        <v>5.0759999999999996</v>
      </c>
      <c r="F7" s="6">
        <f t="shared" si="1"/>
        <v>15.760441292356187</v>
      </c>
      <c r="G7" s="7">
        <v>0.94</v>
      </c>
      <c r="H7" s="8">
        <v>4.0000000000000001E-3</v>
      </c>
      <c r="I7" s="9">
        <f t="shared" si="0"/>
        <v>51.900308946794361</v>
      </c>
      <c r="J7" s="7">
        <v>4.5</v>
      </c>
      <c r="K7" s="7">
        <v>14.75</v>
      </c>
      <c r="L7" s="10">
        <f t="shared" si="3"/>
        <v>-0.69154026313882477</v>
      </c>
      <c r="N7" s="11">
        <f t="shared" si="2"/>
        <v>-18.850981141692149</v>
      </c>
    </row>
    <row r="8" spans="1:14" x14ac:dyDescent="0.3">
      <c r="A8">
        <v>0.6</v>
      </c>
      <c r="B8">
        <v>10</v>
      </c>
      <c r="C8">
        <v>1</v>
      </c>
      <c r="D8" s="3">
        <v>9.6</v>
      </c>
      <c r="E8" s="1">
        <v>5.0759999999999996</v>
      </c>
      <c r="F8" s="6">
        <f t="shared" si="1"/>
        <v>18.912529550827422</v>
      </c>
      <c r="G8" s="7">
        <v>0.94</v>
      </c>
      <c r="H8" s="8">
        <v>4.0000000000000001E-3</v>
      </c>
      <c r="I8" s="9">
        <f t="shared" si="0"/>
        <v>62.280370736153223</v>
      </c>
      <c r="J8" s="7">
        <v>4.5</v>
      </c>
      <c r="K8" s="7">
        <v>18.57</v>
      </c>
      <c r="L8" s="10">
        <f t="shared" si="3"/>
        <v>-1.0851842834451564</v>
      </c>
      <c r="N8" s="11">
        <f t="shared" si="2"/>
        <v>-29.879527522935774</v>
      </c>
    </row>
    <row r="9" spans="1:14" x14ac:dyDescent="0.3">
      <c r="A9">
        <v>0.6</v>
      </c>
      <c r="B9">
        <v>10</v>
      </c>
      <c r="C9">
        <v>1</v>
      </c>
      <c r="D9" s="7">
        <v>11.55</v>
      </c>
      <c r="E9" s="1">
        <v>5.0759999999999996</v>
      </c>
      <c r="F9" s="6">
        <f t="shared" si="1"/>
        <v>22.754137115839246</v>
      </c>
      <c r="G9" s="7">
        <v>0.94</v>
      </c>
      <c r="H9" s="8">
        <v>4.0000000000000001E-3</v>
      </c>
      <c r="I9" s="9">
        <f t="shared" si="0"/>
        <v>74.931071041934359</v>
      </c>
      <c r="J9" s="7">
        <v>4.5</v>
      </c>
      <c r="K9" s="7">
        <v>23.23</v>
      </c>
      <c r="L9" s="10">
        <f t="shared" si="3"/>
        <v>-1.3892638529682848</v>
      </c>
      <c r="N9" s="11">
        <f t="shared" si="2"/>
        <v>-46.757182976554539</v>
      </c>
    </row>
    <row r="10" spans="1:14" x14ac:dyDescent="0.3">
      <c r="A10">
        <v>0.6</v>
      </c>
      <c r="B10">
        <v>10</v>
      </c>
      <c r="C10">
        <v>2</v>
      </c>
      <c r="D10" s="3">
        <v>1.6</v>
      </c>
      <c r="E10" s="1">
        <v>5.0759999999999996</v>
      </c>
      <c r="F10" s="6">
        <f>(D10*10^-3)/(E10*10^-4)</f>
        <v>3.1520882584712373</v>
      </c>
      <c r="G10" s="7">
        <v>0.94</v>
      </c>
      <c r="H10" s="8">
        <v>2E-3</v>
      </c>
      <c r="I10" s="9">
        <f t="shared" si="0"/>
        <v>10.380061789358871</v>
      </c>
      <c r="J10" s="7">
        <v>3</v>
      </c>
      <c r="K10" s="7">
        <v>0.44</v>
      </c>
      <c r="L10" s="10">
        <f t="shared" si="3"/>
        <v>19.903498333649999</v>
      </c>
      <c r="M10" s="12"/>
      <c r="N10" s="11">
        <f>-(1.7*K10^2)/19.62</f>
        <v>-1.677471967380224E-2</v>
      </c>
    </row>
    <row r="11" spans="1:14" x14ac:dyDescent="0.3">
      <c r="A11">
        <v>0.6</v>
      </c>
      <c r="B11">
        <v>10</v>
      </c>
      <c r="C11">
        <v>2</v>
      </c>
      <c r="D11" s="3">
        <v>3.2</v>
      </c>
      <c r="E11" s="1">
        <v>5.0759999999999996</v>
      </c>
      <c r="F11" s="6">
        <f t="shared" ref="F11:F16" si="4">(D11*10^-3)/(E11*10^-4)</f>
        <v>6.3041765169424746</v>
      </c>
      <c r="G11" s="7">
        <v>0.94</v>
      </c>
      <c r="H11" s="8">
        <v>2E-3</v>
      </c>
      <c r="I11" s="9">
        <f t="shared" si="0"/>
        <v>20.760123578717742</v>
      </c>
      <c r="J11" s="7">
        <v>4.5</v>
      </c>
      <c r="K11" s="7">
        <v>2.57</v>
      </c>
      <c r="L11" s="10">
        <f t="shared" si="3"/>
        <v>4.7016298534935945</v>
      </c>
      <c r="M11" s="12"/>
      <c r="N11" s="11">
        <f t="shared" ref="N11:N16" si="5">-(1.7*K11^2)/19.62</f>
        <v>-0.57229001019367975</v>
      </c>
    </row>
    <row r="12" spans="1:14" x14ac:dyDescent="0.3">
      <c r="A12">
        <v>0.6</v>
      </c>
      <c r="B12">
        <v>10</v>
      </c>
      <c r="C12">
        <v>2</v>
      </c>
      <c r="D12" s="3">
        <v>4.8</v>
      </c>
      <c r="E12" s="1">
        <v>5.0759999999999996</v>
      </c>
      <c r="F12" s="6">
        <f t="shared" si="4"/>
        <v>9.456264775413711</v>
      </c>
      <c r="G12" s="7">
        <v>0.94</v>
      </c>
      <c r="H12" s="8">
        <v>2E-3</v>
      </c>
      <c r="I12" s="9">
        <f t="shared" si="0"/>
        <v>31.140185368076612</v>
      </c>
      <c r="J12" s="7">
        <v>4.5</v>
      </c>
      <c r="K12" s="7">
        <v>6.83</v>
      </c>
      <c r="L12" s="10">
        <f t="shared" si="3"/>
        <v>1.3283285251443753</v>
      </c>
      <c r="M12" s="12"/>
      <c r="N12" s="11">
        <f t="shared" si="5"/>
        <v>-4.0419536187563709</v>
      </c>
    </row>
    <row r="13" spans="1:14" x14ac:dyDescent="0.3">
      <c r="A13">
        <v>0.6</v>
      </c>
      <c r="B13">
        <v>10</v>
      </c>
      <c r="C13">
        <v>2</v>
      </c>
      <c r="D13" s="3">
        <v>6.4</v>
      </c>
      <c r="E13" s="1">
        <v>5.0759999999999996</v>
      </c>
      <c r="F13" s="6">
        <f t="shared" si="4"/>
        <v>12.608353033884949</v>
      </c>
      <c r="G13" s="7">
        <v>0.94</v>
      </c>
      <c r="H13" s="8">
        <v>2E-3</v>
      </c>
      <c r="I13" s="9">
        <f t="shared" si="0"/>
        <v>41.520247157435485</v>
      </c>
      <c r="J13" s="7">
        <v>4.5</v>
      </c>
      <c r="K13" s="7">
        <v>11.28</v>
      </c>
      <c r="L13" s="10">
        <f t="shared" si="3"/>
        <v>-0.11462348302874979</v>
      </c>
      <c r="M13" s="12"/>
      <c r="N13" s="11">
        <f t="shared" si="5"/>
        <v>-11.024733944954127</v>
      </c>
    </row>
    <row r="14" spans="1:14" x14ac:dyDescent="0.3">
      <c r="A14">
        <v>0.6</v>
      </c>
      <c r="B14">
        <v>10</v>
      </c>
      <c r="C14">
        <v>2</v>
      </c>
      <c r="D14" s="3">
        <v>8</v>
      </c>
      <c r="E14" s="1">
        <v>5.0759999999999996</v>
      </c>
      <c r="F14" s="6">
        <f t="shared" si="4"/>
        <v>15.760441292356187</v>
      </c>
      <c r="G14" s="7">
        <v>0.94</v>
      </c>
      <c r="H14" s="8">
        <v>2E-3</v>
      </c>
      <c r="I14" s="9">
        <f t="shared" si="0"/>
        <v>51.900308946794361</v>
      </c>
      <c r="J14" s="7">
        <v>4.5</v>
      </c>
      <c r="K14" s="7">
        <v>16.95</v>
      </c>
      <c r="L14" s="10">
        <f t="shared" si="3"/>
        <v>-1.1688432117338243</v>
      </c>
      <c r="M14" s="12"/>
      <c r="N14" s="11">
        <f t="shared" si="5"/>
        <v>-24.893692660550453</v>
      </c>
    </row>
    <row r="15" spans="1:14" x14ac:dyDescent="0.3">
      <c r="A15">
        <v>0.6</v>
      </c>
      <c r="B15">
        <v>10</v>
      </c>
      <c r="C15">
        <v>2</v>
      </c>
      <c r="D15" s="3">
        <v>9.6</v>
      </c>
      <c r="E15" s="1">
        <v>5.0759999999999996</v>
      </c>
      <c r="F15" s="6">
        <f t="shared" si="4"/>
        <v>18.912529550827422</v>
      </c>
      <c r="G15" s="7">
        <v>0.94</v>
      </c>
      <c r="H15" s="8">
        <v>2E-3</v>
      </c>
      <c r="I15" s="9">
        <f t="shared" si="0"/>
        <v>62.280370736153223</v>
      </c>
      <c r="J15" s="7">
        <v>4.5</v>
      </c>
      <c r="K15" s="7">
        <v>21.99</v>
      </c>
      <c r="L15" s="10">
        <f t="shared" si="3"/>
        <v>-1.7444701027476561</v>
      </c>
      <c r="M15" s="12"/>
      <c r="N15" s="11">
        <f t="shared" si="5"/>
        <v>-41.898683486238518</v>
      </c>
    </row>
    <row r="16" spans="1:14" x14ac:dyDescent="0.3">
      <c r="A16">
        <v>0.6</v>
      </c>
      <c r="B16">
        <v>10</v>
      </c>
      <c r="C16">
        <v>2</v>
      </c>
      <c r="D16" s="7">
        <v>11.5</v>
      </c>
      <c r="E16" s="1">
        <v>5.0759999999999996</v>
      </c>
      <c r="F16" s="6">
        <f t="shared" si="4"/>
        <v>22.655634357762018</v>
      </c>
      <c r="G16" s="7">
        <v>0.94</v>
      </c>
      <c r="H16" s="8">
        <v>2E-3</v>
      </c>
      <c r="I16" s="9">
        <f t="shared" si="0"/>
        <v>74.606694111016893</v>
      </c>
      <c r="J16" s="7">
        <v>4.5</v>
      </c>
      <c r="K16" s="7">
        <v>27.34</v>
      </c>
      <c r="L16" s="10">
        <f t="shared" si="3"/>
        <v>-2.0897554239697542</v>
      </c>
      <c r="M16" s="12"/>
      <c r="N16" s="11">
        <f t="shared" si="5"/>
        <v>-64.765979612640152</v>
      </c>
    </row>
    <row r="17" spans="1:14" x14ac:dyDescent="0.3">
      <c r="A17">
        <v>0.6</v>
      </c>
      <c r="B17">
        <v>10</v>
      </c>
      <c r="C17">
        <v>4</v>
      </c>
      <c r="D17" s="3">
        <v>1.6</v>
      </c>
      <c r="E17" s="1">
        <v>5.0759999999999996</v>
      </c>
      <c r="F17" s="6">
        <f>(D17*10^-3)/(E17*10^-4)</f>
        <v>3.1520882584712373</v>
      </c>
      <c r="G17" s="7">
        <v>0.94</v>
      </c>
      <c r="H17" s="8">
        <v>1E-3</v>
      </c>
      <c r="I17" s="9">
        <f t="shared" si="0"/>
        <v>10.380061789358871</v>
      </c>
      <c r="J17" s="7">
        <v>3</v>
      </c>
      <c r="K17" s="7">
        <v>0</v>
      </c>
      <c r="L17" s="10">
        <f t="shared" si="3"/>
        <v>19.936623459420002</v>
      </c>
      <c r="M17" s="12"/>
      <c r="N17" s="11">
        <f>-(1.7*K17^2)/19.62</f>
        <v>0</v>
      </c>
    </row>
    <row r="18" spans="1:14" x14ac:dyDescent="0.3">
      <c r="A18">
        <v>0.6</v>
      </c>
      <c r="B18">
        <v>10</v>
      </c>
      <c r="C18">
        <v>4</v>
      </c>
      <c r="D18" s="3">
        <v>3.2</v>
      </c>
      <c r="E18" s="1">
        <v>5.0759999999999996</v>
      </c>
      <c r="F18" s="6">
        <f t="shared" ref="F18:F23" si="6">(D18*10^-3)/(E18*10^-4)</f>
        <v>6.3041765169424746</v>
      </c>
      <c r="G18" s="7">
        <v>0.94</v>
      </c>
      <c r="H18" s="8">
        <v>1E-3</v>
      </c>
      <c r="I18" s="9">
        <f t="shared" si="0"/>
        <v>20.760123578717742</v>
      </c>
      <c r="J18" s="7">
        <v>4.5</v>
      </c>
      <c r="K18" s="7">
        <v>2.52</v>
      </c>
      <c r="L18" s="10">
        <f t="shared" si="3"/>
        <v>4.7125161454725006</v>
      </c>
      <c r="M18" s="12"/>
      <c r="N18" s="11">
        <f t="shared" ref="N18:N23" si="7">-(1.7*K18^2)/19.62</f>
        <v>-0.55023853211009177</v>
      </c>
    </row>
    <row r="19" spans="1:14" x14ac:dyDescent="0.3">
      <c r="A19">
        <v>0.6</v>
      </c>
      <c r="B19">
        <v>10</v>
      </c>
      <c r="C19">
        <v>4</v>
      </c>
      <c r="D19" s="3">
        <v>4.8</v>
      </c>
      <c r="E19" s="1">
        <v>5.0759999999999996</v>
      </c>
      <c r="F19" s="6">
        <f t="shared" si="6"/>
        <v>9.456264775413711</v>
      </c>
      <c r="G19" s="7">
        <v>0.94</v>
      </c>
      <c r="H19" s="8">
        <v>1E-3</v>
      </c>
      <c r="I19" s="9">
        <f t="shared" si="0"/>
        <v>31.140185368076612</v>
      </c>
      <c r="J19" s="7">
        <v>4.5</v>
      </c>
      <c r="K19" s="7">
        <v>6.56</v>
      </c>
      <c r="L19" s="10">
        <f t="shared" si="3"/>
        <v>1.3970597391000006</v>
      </c>
      <c r="M19" s="12"/>
      <c r="N19" s="11">
        <f t="shared" si="7"/>
        <v>-3.7287013251783887</v>
      </c>
    </row>
    <row r="20" spans="1:14" x14ac:dyDescent="0.3">
      <c r="A20">
        <v>0.6</v>
      </c>
      <c r="B20">
        <v>10</v>
      </c>
      <c r="C20">
        <v>4</v>
      </c>
      <c r="D20" s="3">
        <v>6.4</v>
      </c>
      <c r="E20" s="1">
        <v>5.0759999999999996</v>
      </c>
      <c r="F20" s="6">
        <f t="shared" si="6"/>
        <v>12.608353033884949</v>
      </c>
      <c r="G20" s="7">
        <v>0.94</v>
      </c>
      <c r="H20" s="8">
        <v>1E-3</v>
      </c>
      <c r="I20" s="9">
        <f t="shared" si="0"/>
        <v>41.520247157435485</v>
      </c>
      <c r="J20" s="7">
        <v>4.5</v>
      </c>
      <c r="K20" s="7">
        <v>11.59</v>
      </c>
      <c r="L20" s="10">
        <f t="shared" si="3"/>
        <v>-0.19043934181347669</v>
      </c>
      <c r="M20" s="12"/>
      <c r="N20" s="11">
        <f t="shared" si="7"/>
        <v>-11.63903007135576</v>
      </c>
    </row>
    <row r="21" spans="1:14" x14ac:dyDescent="0.3">
      <c r="A21">
        <v>0.6</v>
      </c>
      <c r="B21">
        <v>10</v>
      </c>
      <c r="C21">
        <v>4</v>
      </c>
      <c r="D21" s="3">
        <v>8</v>
      </c>
      <c r="E21" s="1">
        <v>5.0759999999999996</v>
      </c>
      <c r="F21" s="6">
        <f t="shared" si="6"/>
        <v>15.760441292356187</v>
      </c>
      <c r="G21" s="7">
        <v>0.94</v>
      </c>
      <c r="H21" s="8">
        <v>1E-3</v>
      </c>
      <c r="I21" s="9">
        <f t="shared" si="0"/>
        <v>51.900308946794361</v>
      </c>
      <c r="J21" s="7">
        <v>4.5</v>
      </c>
      <c r="K21" s="7">
        <v>16.3</v>
      </c>
      <c r="L21" s="10">
        <f t="shared" si="3"/>
        <v>-1.0209265215056997</v>
      </c>
      <c r="M21" s="12"/>
      <c r="N21" s="11">
        <f t="shared" si="7"/>
        <v>-23.0210499490316</v>
      </c>
    </row>
    <row r="22" spans="1:14" x14ac:dyDescent="0.3">
      <c r="A22">
        <v>0.6</v>
      </c>
      <c r="B22">
        <v>10</v>
      </c>
      <c r="C22">
        <v>4</v>
      </c>
      <c r="D22" s="3">
        <v>9.6</v>
      </c>
      <c r="E22" s="1">
        <v>5.0759999999999996</v>
      </c>
      <c r="F22" s="6">
        <f t="shared" si="6"/>
        <v>18.912529550827422</v>
      </c>
      <c r="G22" s="7">
        <v>0.94</v>
      </c>
      <c r="H22" s="8">
        <v>1E-3</v>
      </c>
      <c r="I22" s="9">
        <f t="shared" si="0"/>
        <v>62.280370736153223</v>
      </c>
      <c r="J22" s="7">
        <v>4.5</v>
      </c>
      <c r="K22" s="7">
        <v>22.26</v>
      </c>
      <c r="L22" s="10">
        <f t="shared" si="3"/>
        <v>-1.8012541994156259</v>
      </c>
      <c r="M22" s="12"/>
      <c r="N22" s="11">
        <f t="shared" si="7"/>
        <v>-42.933889908256887</v>
      </c>
    </row>
    <row r="23" spans="1:14" x14ac:dyDescent="0.3">
      <c r="A23">
        <v>0.6</v>
      </c>
      <c r="B23">
        <v>10</v>
      </c>
      <c r="C23">
        <v>4</v>
      </c>
      <c r="D23" s="7">
        <v>11.45</v>
      </c>
      <c r="E23" s="1">
        <v>5.0759999999999996</v>
      </c>
      <c r="F23" s="6">
        <f t="shared" si="6"/>
        <v>22.557131599684791</v>
      </c>
      <c r="G23" s="7">
        <v>0.94</v>
      </c>
      <c r="H23" s="8">
        <v>1E-3</v>
      </c>
      <c r="I23" s="9">
        <f t="shared" si="0"/>
        <v>74.282317180099412</v>
      </c>
      <c r="J23" s="7">
        <v>4.5</v>
      </c>
      <c r="K23" s="7">
        <v>29.07</v>
      </c>
      <c r="L23" s="10">
        <f t="shared" si="3"/>
        <v>-2.4340957919532094</v>
      </c>
      <c r="M23" s="12"/>
      <c r="N23" s="11">
        <f t="shared" si="7"/>
        <v>-73.221729357798154</v>
      </c>
    </row>
    <row r="24" spans="1:14" x14ac:dyDescent="0.3">
      <c r="A24">
        <v>0.6</v>
      </c>
      <c r="B24">
        <v>10</v>
      </c>
      <c r="C24">
        <v>6</v>
      </c>
      <c r="D24" s="3">
        <v>1.6</v>
      </c>
      <c r="E24" s="1">
        <v>5.0759999999999996</v>
      </c>
      <c r="F24" s="6">
        <f>(D24*10^-3)/(E24*10^-4)</f>
        <v>3.1520882584712373</v>
      </c>
      <c r="G24" s="7">
        <v>0.94</v>
      </c>
      <c r="H24" s="8">
        <v>6.6666999999999996E-4</v>
      </c>
      <c r="I24" s="9">
        <f t="shared" si="0"/>
        <v>10.380061789358871</v>
      </c>
      <c r="J24" s="7">
        <v>3</v>
      </c>
      <c r="K24" s="7">
        <v>0</v>
      </c>
      <c r="L24" s="10">
        <f t="shared" si="3"/>
        <v>19.936623459420002</v>
      </c>
      <c r="M24" s="12"/>
      <c r="N24" s="11">
        <f>-(1.7*K24^2)/19.62</f>
        <v>0</v>
      </c>
    </row>
    <row r="25" spans="1:14" x14ac:dyDescent="0.3">
      <c r="A25">
        <v>0.6</v>
      </c>
      <c r="B25">
        <v>10</v>
      </c>
      <c r="C25">
        <v>6</v>
      </c>
      <c r="D25" s="3">
        <v>3.2</v>
      </c>
      <c r="E25" s="1">
        <v>5.0759999999999996</v>
      </c>
      <c r="F25" s="6">
        <f t="shared" ref="F25:F30" si="8">(D25*10^-3)/(E25*10^-4)</f>
        <v>6.3041765169424746</v>
      </c>
      <c r="G25" s="7">
        <v>0.94</v>
      </c>
      <c r="H25" s="8">
        <v>6.6666999999999996E-4</v>
      </c>
      <c r="I25" s="9">
        <f t="shared" si="0"/>
        <v>20.760123578717742</v>
      </c>
      <c r="J25" s="7">
        <v>4.5</v>
      </c>
      <c r="K25" s="7">
        <v>2.38</v>
      </c>
      <c r="L25" s="10">
        <f t="shared" si="3"/>
        <v>4.7418599423193752</v>
      </c>
      <c r="M25" s="12"/>
      <c r="N25" s="11">
        <f t="shared" ref="N25:N30" si="9">-(1.7*K25^2)/19.62</f>
        <v>-0.49079918450560645</v>
      </c>
    </row>
    <row r="26" spans="1:14" x14ac:dyDescent="0.3">
      <c r="A26">
        <v>0.6</v>
      </c>
      <c r="B26">
        <v>10</v>
      </c>
      <c r="C26">
        <v>6</v>
      </c>
      <c r="D26" s="3">
        <v>4.8</v>
      </c>
      <c r="E26" s="1">
        <v>5.0759999999999996</v>
      </c>
      <c r="F26" s="6">
        <f t="shared" si="8"/>
        <v>9.456264775413711</v>
      </c>
      <c r="G26" s="7">
        <v>0.94</v>
      </c>
      <c r="H26" s="8">
        <v>6.6666999999999996E-4</v>
      </c>
      <c r="I26" s="9">
        <f t="shared" si="0"/>
        <v>31.140185368076612</v>
      </c>
      <c r="J26" s="7">
        <v>4.5</v>
      </c>
      <c r="K26" s="7">
        <v>6.87</v>
      </c>
      <c r="L26" s="10">
        <f t="shared" si="3"/>
        <v>1.3179103841193753</v>
      </c>
      <c r="M26" s="12"/>
      <c r="N26" s="11">
        <f t="shared" si="9"/>
        <v>-4.0894357798165135</v>
      </c>
    </row>
    <row r="27" spans="1:14" x14ac:dyDescent="0.3">
      <c r="A27">
        <v>0.6</v>
      </c>
      <c r="B27">
        <v>10</v>
      </c>
      <c r="C27">
        <v>6</v>
      </c>
      <c r="D27" s="3">
        <v>6.4</v>
      </c>
      <c r="E27" s="1">
        <v>5.0759999999999996</v>
      </c>
      <c r="F27" s="6">
        <f t="shared" si="8"/>
        <v>12.608353033884949</v>
      </c>
      <c r="G27" s="7">
        <v>0.94</v>
      </c>
      <c r="H27" s="8">
        <v>6.6666999999999996E-4</v>
      </c>
      <c r="I27" s="9">
        <f t="shared" si="0"/>
        <v>41.520247157435485</v>
      </c>
      <c r="J27" s="7">
        <v>4.5</v>
      </c>
      <c r="K27" s="7">
        <v>10.96</v>
      </c>
      <c r="L27" s="10">
        <f t="shared" si="3"/>
        <v>-3.8517822168750035E-2</v>
      </c>
      <c r="M27" s="12"/>
      <c r="N27" s="11">
        <f t="shared" si="9"/>
        <v>-10.408089704383283</v>
      </c>
    </row>
    <row r="28" spans="1:14" x14ac:dyDescent="0.3">
      <c r="A28">
        <v>0.6</v>
      </c>
      <c r="B28">
        <v>10</v>
      </c>
      <c r="C28">
        <v>6</v>
      </c>
      <c r="D28" s="3">
        <v>8</v>
      </c>
      <c r="E28" s="1">
        <v>5.0759999999999996</v>
      </c>
      <c r="F28" s="6">
        <f t="shared" si="8"/>
        <v>15.760441292356187</v>
      </c>
      <c r="G28" s="7">
        <v>0.94</v>
      </c>
      <c r="H28" s="8">
        <v>6.6666999999999996E-4</v>
      </c>
      <c r="I28" s="9">
        <f t="shared" si="0"/>
        <v>51.900308946794361</v>
      </c>
      <c r="J28" s="7">
        <v>4.5</v>
      </c>
      <c r="K28" s="7">
        <v>17.079999999999998</v>
      </c>
      <c r="L28" s="10">
        <f t="shared" si="3"/>
        <v>-1.1991205348523992</v>
      </c>
      <c r="M28" s="12"/>
      <c r="N28" s="11">
        <f t="shared" si="9"/>
        <v>-25.277007135575936</v>
      </c>
    </row>
    <row r="29" spans="1:14" x14ac:dyDescent="0.3">
      <c r="A29">
        <v>0.6</v>
      </c>
      <c r="B29">
        <v>10</v>
      </c>
      <c r="C29">
        <v>6</v>
      </c>
      <c r="D29" s="3">
        <v>9.6</v>
      </c>
      <c r="E29" s="1">
        <v>5.0759999999999996</v>
      </c>
      <c r="F29" s="6">
        <f t="shared" si="8"/>
        <v>18.912529550827422</v>
      </c>
      <c r="G29" s="7">
        <v>0.94</v>
      </c>
      <c r="H29" s="8">
        <v>6.6666999999999996E-4</v>
      </c>
      <c r="I29" s="9">
        <f t="shared" si="0"/>
        <v>62.280370736153223</v>
      </c>
      <c r="J29" s="7">
        <v>4.5</v>
      </c>
      <c r="K29" s="7">
        <v>20.75</v>
      </c>
      <c r="L29" s="10">
        <f t="shared" si="3"/>
        <v>-1.4925830266589064</v>
      </c>
      <c r="M29" s="12"/>
      <c r="N29" s="11">
        <f t="shared" si="9"/>
        <v>-37.306638634046884</v>
      </c>
    </row>
    <row r="30" spans="1:14" x14ac:dyDescent="0.3">
      <c r="A30">
        <v>0.6</v>
      </c>
      <c r="B30">
        <v>10</v>
      </c>
      <c r="C30">
        <v>6</v>
      </c>
      <c r="D30" s="7">
        <v>11.45</v>
      </c>
      <c r="E30" s="1">
        <v>5.0759999999999996</v>
      </c>
      <c r="F30" s="6">
        <f t="shared" si="8"/>
        <v>22.557131599684791</v>
      </c>
      <c r="G30" s="7">
        <v>0.94</v>
      </c>
      <c r="H30" s="8">
        <v>6.6666999999999996E-4</v>
      </c>
      <c r="I30" s="9">
        <f t="shared" si="0"/>
        <v>74.282317180099412</v>
      </c>
      <c r="J30" s="7">
        <v>4.5</v>
      </c>
      <c r="K30" s="7">
        <v>25.46</v>
      </c>
      <c r="L30" s="10">
        <f t="shared" si="3"/>
        <v>-1.776401800189257</v>
      </c>
      <c r="M30" s="12"/>
      <c r="N30" s="11">
        <f t="shared" si="9"/>
        <v>-56.165123343527014</v>
      </c>
    </row>
    <row r="31" spans="1:14" x14ac:dyDescent="0.3">
      <c r="A31">
        <v>0.6</v>
      </c>
      <c r="B31">
        <v>15</v>
      </c>
      <c r="C31">
        <v>1</v>
      </c>
      <c r="D31" s="3">
        <v>1.9</v>
      </c>
      <c r="E31" s="1">
        <v>7.6139999999999999</v>
      </c>
      <c r="F31" s="6">
        <f>(D31*10^-3)/(E31*10^-4)</f>
        <v>2.4954032046230625</v>
      </c>
      <c r="G31" s="7">
        <v>1.41</v>
      </c>
      <c r="H31" s="8">
        <v>5.7099999999999998E-3</v>
      </c>
      <c r="I31" s="9">
        <f t="shared" si="0"/>
        <v>6.7096005939904559</v>
      </c>
      <c r="J31" s="7">
        <v>3</v>
      </c>
      <c r="K31" s="7">
        <v>0</v>
      </c>
      <c r="L31" s="10">
        <f t="shared" si="3"/>
        <v>31.810235769046876</v>
      </c>
      <c r="M31" s="12"/>
      <c r="N31" s="11">
        <f>-(1.7*K31^2)/19.62</f>
        <v>0</v>
      </c>
    </row>
    <row r="32" spans="1:14" x14ac:dyDescent="0.3">
      <c r="A32">
        <v>0.6</v>
      </c>
      <c r="B32">
        <v>15</v>
      </c>
      <c r="C32">
        <v>1</v>
      </c>
      <c r="D32" s="3">
        <v>3.8</v>
      </c>
      <c r="E32" s="1">
        <v>7.6139999999999999</v>
      </c>
      <c r="F32" s="6">
        <f t="shared" ref="F32:F37" si="10">(D32*10^-3)/(E32*10^-4)</f>
        <v>4.9908064092461251</v>
      </c>
      <c r="G32" s="7">
        <v>1.41</v>
      </c>
      <c r="H32" s="8">
        <v>5.7099999999999998E-3</v>
      </c>
      <c r="I32" s="9">
        <f t="shared" si="0"/>
        <v>13.419201187980912</v>
      </c>
      <c r="J32" s="7">
        <v>3</v>
      </c>
      <c r="K32" s="7">
        <v>1.25</v>
      </c>
      <c r="L32" s="10">
        <f t="shared" si="3"/>
        <v>7.8459171343496692</v>
      </c>
      <c r="M32" s="12"/>
      <c r="N32" s="11">
        <f t="shared" ref="N32:N37" si="11">-(1.7*K32^2)/19.62</f>
        <v>-0.13538481141692149</v>
      </c>
    </row>
    <row r="33" spans="1:14" x14ac:dyDescent="0.3">
      <c r="A33">
        <v>0.6</v>
      </c>
      <c r="B33">
        <v>15</v>
      </c>
      <c r="C33">
        <v>1</v>
      </c>
      <c r="D33" s="3">
        <v>5.7</v>
      </c>
      <c r="E33" s="1">
        <v>7.6139999999999999</v>
      </c>
      <c r="F33" s="6">
        <f t="shared" si="10"/>
        <v>7.486209613869188</v>
      </c>
      <c r="G33" s="7">
        <v>1.41</v>
      </c>
      <c r="H33" s="8">
        <v>5.7099999999999998E-3</v>
      </c>
      <c r="I33" s="9">
        <f t="shared" si="0"/>
        <v>20.128801781971369</v>
      </c>
      <c r="J33" s="7">
        <v>4.5</v>
      </c>
      <c r="K33" s="7">
        <v>2.0499999999999998</v>
      </c>
      <c r="L33" s="10">
        <f t="shared" si="3"/>
        <v>3.4069933936450973</v>
      </c>
      <c r="M33" s="12"/>
      <c r="N33" s="11">
        <f t="shared" si="11"/>
        <v>-0.36413098878695205</v>
      </c>
    </row>
    <row r="34" spans="1:14" x14ac:dyDescent="0.3">
      <c r="A34">
        <v>0.6</v>
      </c>
      <c r="B34">
        <v>15</v>
      </c>
      <c r="C34">
        <v>1</v>
      </c>
      <c r="D34" s="3">
        <v>7.6</v>
      </c>
      <c r="E34" s="1">
        <v>7.6139999999999999</v>
      </c>
      <c r="F34" s="6">
        <f t="shared" si="10"/>
        <v>9.9816128184922501</v>
      </c>
      <c r="G34" s="7">
        <v>1.41</v>
      </c>
      <c r="H34" s="8">
        <v>5.7099999999999998E-3</v>
      </c>
      <c r="I34" s="9">
        <f t="shared" si="0"/>
        <v>26.838402375961824</v>
      </c>
      <c r="J34" s="7">
        <v>4.5</v>
      </c>
      <c r="K34" s="7">
        <v>3.4</v>
      </c>
      <c r="L34" s="10">
        <f t="shared" si="3"/>
        <v>1.7908950476513024</v>
      </c>
      <c r="M34" s="12"/>
      <c r="N34" s="11">
        <f t="shared" si="11"/>
        <v>-1.0016309887869519</v>
      </c>
    </row>
    <row r="35" spans="1:14" x14ac:dyDescent="0.3">
      <c r="A35">
        <v>0.6</v>
      </c>
      <c r="B35">
        <v>15</v>
      </c>
      <c r="C35">
        <v>1</v>
      </c>
      <c r="D35" s="3">
        <v>9.5</v>
      </c>
      <c r="E35" s="1">
        <v>7.6139999999999999</v>
      </c>
      <c r="F35" s="6">
        <f t="shared" si="10"/>
        <v>12.477016023115313</v>
      </c>
      <c r="G35" s="7">
        <v>1.41</v>
      </c>
      <c r="H35" s="8">
        <v>5.7099999999999998E-3</v>
      </c>
      <c r="I35" s="9">
        <f t="shared" si="0"/>
        <v>33.548002969952286</v>
      </c>
      <c r="J35" s="7">
        <v>4.5</v>
      </c>
      <c r="K35" s="7">
        <v>4.93</v>
      </c>
      <c r="L35" s="10">
        <f t="shared" si="3"/>
        <v>1.0069969787046251</v>
      </c>
      <c r="M35" s="12"/>
      <c r="N35" s="11">
        <f t="shared" si="11"/>
        <v>-2.1059291539245666</v>
      </c>
    </row>
    <row r="36" spans="1:14" x14ac:dyDescent="0.3">
      <c r="A36">
        <v>0.6</v>
      </c>
      <c r="B36">
        <v>15</v>
      </c>
      <c r="C36">
        <v>1</v>
      </c>
      <c r="D36" s="3">
        <v>11.4</v>
      </c>
      <c r="E36" s="1">
        <v>7.6139999999999999</v>
      </c>
      <c r="F36" s="6">
        <f t="shared" si="10"/>
        <v>14.972419227738376</v>
      </c>
      <c r="G36" s="7">
        <v>1.41</v>
      </c>
      <c r="H36" s="8">
        <v>5.7099999999999998E-3</v>
      </c>
      <c r="I36" s="9">
        <f t="shared" si="0"/>
        <v>40.257603563942737</v>
      </c>
      <c r="J36" s="7">
        <v>4.5</v>
      </c>
      <c r="K36" s="7">
        <v>6.9</v>
      </c>
      <c r="L36" s="10">
        <f t="shared" si="3"/>
        <v>0.52257115538426602</v>
      </c>
      <c r="M36" s="12"/>
      <c r="N36" s="11">
        <f t="shared" si="11"/>
        <v>-4.1252293577981654</v>
      </c>
    </row>
    <row r="37" spans="1:14" x14ac:dyDescent="0.3">
      <c r="A37">
        <v>0.6</v>
      </c>
      <c r="B37">
        <v>15</v>
      </c>
      <c r="C37">
        <v>1</v>
      </c>
      <c r="D37" s="7">
        <v>13.3</v>
      </c>
      <c r="E37" s="1">
        <v>7.6139999999999999</v>
      </c>
      <c r="F37" s="6">
        <f t="shared" si="10"/>
        <v>17.467822432361441</v>
      </c>
      <c r="G37" s="7">
        <v>1.41</v>
      </c>
      <c r="H37" s="8">
        <v>5.7099999999999998E-3</v>
      </c>
      <c r="I37" s="9">
        <f t="shared" si="0"/>
        <v>46.967204157933203</v>
      </c>
      <c r="J37" s="7">
        <v>4.5</v>
      </c>
      <c r="K37" s="7">
        <v>8.9499999999999993</v>
      </c>
      <c r="L37" s="10">
        <f t="shared" si="3"/>
        <v>0.20289817751557018</v>
      </c>
      <c r="M37" s="12"/>
      <c r="N37" s="11">
        <f t="shared" si="11"/>
        <v>-6.9405835881753299</v>
      </c>
    </row>
    <row r="38" spans="1:14" x14ac:dyDescent="0.3">
      <c r="A38">
        <v>0.6</v>
      </c>
      <c r="B38">
        <v>15</v>
      </c>
      <c r="C38">
        <v>2</v>
      </c>
      <c r="D38" s="3">
        <v>1.9</v>
      </c>
      <c r="E38" s="1">
        <v>7.6139999999999999</v>
      </c>
      <c r="F38" s="6">
        <f>(D38*10^-3)/(E38*10^-4)</f>
        <v>2.4954032046230625</v>
      </c>
      <c r="G38" s="7">
        <v>1.41</v>
      </c>
      <c r="H38" s="8">
        <v>2.8549999999999999E-3</v>
      </c>
      <c r="I38" s="9">
        <f t="shared" si="0"/>
        <v>6.7096005939904559</v>
      </c>
      <c r="J38" s="7">
        <v>3</v>
      </c>
      <c r="K38" s="7">
        <v>0</v>
      </c>
      <c r="L38" s="10">
        <f t="shared" si="3"/>
        <v>31.810235769046876</v>
      </c>
      <c r="M38" s="12"/>
      <c r="N38" s="11">
        <f>-(1.7*K38^2)/19.62</f>
        <v>0</v>
      </c>
    </row>
    <row r="39" spans="1:14" x14ac:dyDescent="0.3">
      <c r="A39">
        <v>0.6</v>
      </c>
      <c r="B39">
        <v>15</v>
      </c>
      <c r="C39">
        <v>2</v>
      </c>
      <c r="D39" s="3">
        <v>3.8</v>
      </c>
      <c r="E39" s="1">
        <v>7.6139999999999999</v>
      </c>
      <c r="F39" s="6">
        <f t="shared" ref="F39:F44" si="12">(D39*10^-3)/(E39*10^-4)</f>
        <v>4.9908064092461251</v>
      </c>
      <c r="G39" s="7">
        <v>1.41</v>
      </c>
      <c r="H39" s="8">
        <v>2.8549999999999999E-3</v>
      </c>
      <c r="I39" s="9">
        <f t="shared" si="0"/>
        <v>13.419201187980912</v>
      </c>
      <c r="J39" s="7">
        <v>4.5</v>
      </c>
      <c r="K39" s="7">
        <v>1.91</v>
      </c>
      <c r="L39" s="10">
        <f t="shared" si="3"/>
        <v>7.7035733554175909</v>
      </c>
      <c r="M39" s="12"/>
      <c r="N39" s="11">
        <f t="shared" ref="N39:N44" si="13">-(1.7*K39^2)/19.62</f>
        <v>-0.31609429153924562</v>
      </c>
    </row>
    <row r="40" spans="1:14" x14ac:dyDescent="0.3">
      <c r="A40">
        <v>0.6</v>
      </c>
      <c r="B40">
        <v>15</v>
      </c>
      <c r="C40">
        <v>2</v>
      </c>
      <c r="D40" s="3">
        <v>5.7</v>
      </c>
      <c r="E40" s="1">
        <v>7.6139999999999999</v>
      </c>
      <c r="F40" s="6">
        <f t="shared" si="12"/>
        <v>7.486209613869188</v>
      </c>
      <c r="G40" s="7">
        <v>1.41</v>
      </c>
      <c r="H40" s="8">
        <v>2.8549999999999999E-3</v>
      </c>
      <c r="I40" s="9">
        <f t="shared" si="0"/>
        <v>20.128801781971369</v>
      </c>
      <c r="J40" s="7">
        <v>4.5</v>
      </c>
      <c r="K40" s="7">
        <v>3.69</v>
      </c>
      <c r="L40" s="10">
        <f t="shared" si="3"/>
        <v>3.1214443595584491</v>
      </c>
      <c r="M40" s="12"/>
      <c r="N40" s="11">
        <f t="shared" si="13"/>
        <v>-1.1797844036697247</v>
      </c>
    </row>
    <row r="41" spans="1:14" x14ac:dyDescent="0.3">
      <c r="A41">
        <v>0.6</v>
      </c>
      <c r="B41">
        <v>15</v>
      </c>
      <c r="C41">
        <v>2</v>
      </c>
      <c r="D41" s="3">
        <v>7.6</v>
      </c>
      <c r="E41" s="1">
        <v>7.6139999999999999</v>
      </c>
      <c r="F41" s="6">
        <f t="shared" si="12"/>
        <v>9.9816128184922501</v>
      </c>
      <c r="G41" s="7">
        <v>1.41</v>
      </c>
      <c r="H41" s="8">
        <v>2.8549999999999999E-3</v>
      </c>
      <c r="I41" s="9">
        <f t="shared" si="0"/>
        <v>26.838402375961824</v>
      </c>
      <c r="J41" s="7">
        <v>4.5</v>
      </c>
      <c r="K41" s="7">
        <v>7.28</v>
      </c>
      <c r="L41" s="10">
        <f t="shared" si="3"/>
        <v>1.0838445047740723</v>
      </c>
      <c r="M41" s="12"/>
      <c r="N41" s="11">
        <f t="shared" si="13"/>
        <v>-4.592114169215086</v>
      </c>
    </row>
    <row r="42" spans="1:14" x14ac:dyDescent="0.3">
      <c r="A42">
        <v>0.6</v>
      </c>
      <c r="B42">
        <v>15</v>
      </c>
      <c r="C42">
        <v>2</v>
      </c>
      <c r="D42" s="3">
        <v>9.5</v>
      </c>
      <c r="E42" s="1">
        <v>7.6139999999999999</v>
      </c>
      <c r="F42" s="6">
        <f t="shared" si="12"/>
        <v>12.477016023115313</v>
      </c>
      <c r="G42" s="7">
        <v>1.41</v>
      </c>
      <c r="H42" s="8">
        <v>2.8549999999999999E-3</v>
      </c>
      <c r="I42" s="9">
        <f t="shared" si="0"/>
        <v>33.548002969952286</v>
      </c>
      <c r="J42" s="7">
        <v>4.5</v>
      </c>
      <c r="K42" s="7">
        <v>11.12</v>
      </c>
      <c r="L42" s="10">
        <f t="shared" si="3"/>
        <v>-7.7911595519574259E-2</v>
      </c>
      <c r="M42" s="12"/>
      <c r="N42" s="11">
        <f t="shared" si="13"/>
        <v>-10.714193679918449</v>
      </c>
    </row>
    <row r="43" spans="1:14" x14ac:dyDescent="0.3">
      <c r="A43">
        <v>0.6</v>
      </c>
      <c r="B43">
        <v>15</v>
      </c>
      <c r="C43">
        <v>2</v>
      </c>
      <c r="D43" s="3">
        <v>11.4</v>
      </c>
      <c r="E43" s="1">
        <v>7.6139999999999999</v>
      </c>
      <c r="F43" s="6">
        <f t="shared" si="12"/>
        <v>14.972419227738376</v>
      </c>
      <c r="G43" s="7">
        <v>1.41</v>
      </c>
      <c r="H43" s="8">
        <v>2.8549999999999999E-3</v>
      </c>
      <c r="I43" s="9">
        <f t="shared" si="0"/>
        <v>40.257603563942737</v>
      </c>
      <c r="J43" s="7">
        <v>4.5</v>
      </c>
      <c r="K43" s="7">
        <v>17.23</v>
      </c>
      <c r="L43" s="10">
        <f t="shared" si="3"/>
        <v>-1.3676934704931027</v>
      </c>
      <c r="M43" s="12"/>
      <c r="N43" s="11">
        <f t="shared" si="13"/>
        <v>-25.722932212028542</v>
      </c>
    </row>
    <row r="44" spans="1:14" x14ac:dyDescent="0.3">
      <c r="A44">
        <v>0.6</v>
      </c>
      <c r="B44">
        <v>15</v>
      </c>
      <c r="C44">
        <v>2</v>
      </c>
      <c r="D44" s="7">
        <v>13.3</v>
      </c>
      <c r="E44" s="1">
        <v>7.6139999999999999</v>
      </c>
      <c r="F44" s="6">
        <f t="shared" si="12"/>
        <v>17.467822432361441</v>
      </c>
      <c r="G44" s="7">
        <v>1.41</v>
      </c>
      <c r="H44" s="8">
        <v>2.8549999999999999E-3</v>
      </c>
      <c r="I44" s="9">
        <f t="shared" si="0"/>
        <v>46.967204157933203</v>
      </c>
      <c r="J44" s="7">
        <v>4.5</v>
      </c>
      <c r="K44" s="7">
        <v>22.12</v>
      </c>
      <c r="L44" s="10">
        <f t="shared" si="3"/>
        <v>-2.0769105538590176</v>
      </c>
      <c r="M44" s="12"/>
      <c r="N44" s="11">
        <f t="shared" si="13"/>
        <v>-42.395539245667692</v>
      </c>
    </row>
    <row r="45" spans="1:14" x14ac:dyDescent="0.3">
      <c r="A45">
        <v>0.6</v>
      </c>
      <c r="B45">
        <v>15</v>
      </c>
      <c r="C45">
        <v>4</v>
      </c>
      <c r="D45" s="3">
        <v>1.9</v>
      </c>
      <c r="E45" s="1">
        <v>7.6139999999999999</v>
      </c>
      <c r="F45" s="6">
        <f>(D45*10^-3)/(E45*10^-4)</f>
        <v>2.4954032046230625</v>
      </c>
      <c r="G45" s="7">
        <v>1.41</v>
      </c>
      <c r="H45" s="8">
        <v>1.4274999999999999E-3</v>
      </c>
      <c r="I45" s="9">
        <f t="shared" si="0"/>
        <v>6.7096005939904559</v>
      </c>
      <c r="J45" s="7">
        <v>3</v>
      </c>
      <c r="K45" s="7">
        <v>0</v>
      </c>
      <c r="L45" s="10">
        <f t="shared" si="3"/>
        <v>31.810235769046876</v>
      </c>
      <c r="M45" s="12"/>
      <c r="N45" s="11">
        <f>-(1.7*K45^2)/19.62</f>
        <v>0</v>
      </c>
    </row>
    <row r="46" spans="1:14" x14ac:dyDescent="0.3">
      <c r="A46">
        <v>0.6</v>
      </c>
      <c r="B46">
        <v>15</v>
      </c>
      <c r="C46">
        <v>4</v>
      </c>
      <c r="D46" s="3">
        <v>3.8</v>
      </c>
      <c r="E46" s="1">
        <v>7.6139999999999999</v>
      </c>
      <c r="F46" s="6">
        <f t="shared" ref="F46:F51" si="14">(D46*10^-3)/(E46*10^-4)</f>
        <v>4.9908064092461251</v>
      </c>
      <c r="G46" s="7">
        <v>1.41</v>
      </c>
      <c r="H46" s="8">
        <v>1.4274999999999999E-3</v>
      </c>
      <c r="I46" s="9">
        <f t="shared" si="0"/>
        <v>13.419201187980912</v>
      </c>
      <c r="J46" s="7">
        <v>4.5</v>
      </c>
      <c r="K46" s="7">
        <v>2</v>
      </c>
      <c r="L46" s="10">
        <f t="shared" si="3"/>
        <v>7.6795559140068717</v>
      </c>
      <c r="M46" s="12"/>
      <c r="N46" s="11">
        <f t="shared" ref="N46:N51" si="15">-(1.7*K46^2)/19.62</f>
        <v>-0.34658511722731905</v>
      </c>
    </row>
    <row r="47" spans="1:14" x14ac:dyDescent="0.3">
      <c r="A47">
        <v>0.6</v>
      </c>
      <c r="B47">
        <v>15</v>
      </c>
      <c r="C47">
        <v>4</v>
      </c>
      <c r="D47" s="3">
        <v>5.7</v>
      </c>
      <c r="E47" s="1">
        <v>7.6139999999999999</v>
      </c>
      <c r="F47" s="6">
        <f t="shared" si="14"/>
        <v>7.486209613869188</v>
      </c>
      <c r="G47" s="7">
        <v>1.41</v>
      </c>
      <c r="H47" s="8">
        <v>1.4274999999999999E-3</v>
      </c>
      <c r="I47" s="9">
        <f t="shared" si="0"/>
        <v>20.128801781971369</v>
      </c>
      <c r="J47" s="7">
        <v>4.5</v>
      </c>
      <c r="K47" s="7">
        <v>4.05</v>
      </c>
      <c r="L47" s="10">
        <f t="shared" si="3"/>
        <v>3.0369226220107484</v>
      </c>
      <c r="M47" s="12"/>
      <c r="N47" s="11">
        <f t="shared" si="15"/>
        <v>-1.4212155963302751</v>
      </c>
    </row>
    <row r="48" spans="1:14" x14ac:dyDescent="0.3">
      <c r="A48">
        <v>0.6</v>
      </c>
      <c r="B48">
        <v>15</v>
      </c>
      <c r="C48">
        <v>4</v>
      </c>
      <c r="D48" s="3">
        <v>7.6</v>
      </c>
      <c r="E48" s="1">
        <v>7.6139999999999999</v>
      </c>
      <c r="F48" s="6">
        <f t="shared" si="14"/>
        <v>9.9816128184922501</v>
      </c>
      <c r="G48" s="7">
        <v>1.41</v>
      </c>
      <c r="H48" s="8">
        <v>1.4274999999999999E-3</v>
      </c>
      <c r="I48" s="9">
        <f t="shared" si="0"/>
        <v>26.838402375961824</v>
      </c>
      <c r="J48" s="7">
        <v>4.5</v>
      </c>
      <c r="K48" s="7">
        <v>7.59</v>
      </c>
      <c r="L48" s="10">
        <f t="shared" si="3"/>
        <v>1.0051906260649239</v>
      </c>
      <c r="M48" s="12"/>
      <c r="N48" s="11">
        <f t="shared" si="15"/>
        <v>-4.9915275229357796</v>
      </c>
    </row>
    <row r="49" spans="1:14" x14ac:dyDescent="0.3">
      <c r="A49">
        <v>0.6</v>
      </c>
      <c r="B49">
        <v>15</v>
      </c>
      <c r="C49">
        <v>4</v>
      </c>
      <c r="D49" s="3">
        <v>9.5</v>
      </c>
      <c r="E49" s="1">
        <v>7.6139999999999999</v>
      </c>
      <c r="F49" s="6">
        <f t="shared" si="14"/>
        <v>12.477016023115313</v>
      </c>
      <c r="G49" s="7">
        <v>1.41</v>
      </c>
      <c r="H49" s="8">
        <v>1.4274999999999999E-3</v>
      </c>
      <c r="I49" s="9">
        <f t="shared" si="0"/>
        <v>33.548002969952286</v>
      </c>
      <c r="J49" s="7">
        <v>4.5</v>
      </c>
      <c r="K49" s="7">
        <v>13.03</v>
      </c>
      <c r="L49" s="10">
        <f t="shared" si="3"/>
        <v>-0.58161856283146318</v>
      </c>
      <c r="M49" s="12"/>
      <c r="N49" s="11">
        <f t="shared" si="15"/>
        <v>-14.710883282364929</v>
      </c>
    </row>
    <row r="50" spans="1:14" x14ac:dyDescent="0.3">
      <c r="A50">
        <v>0.6</v>
      </c>
      <c r="B50">
        <v>15</v>
      </c>
      <c r="C50">
        <v>4</v>
      </c>
      <c r="D50" s="3">
        <v>11.4</v>
      </c>
      <c r="E50" s="1">
        <v>7.6139999999999999</v>
      </c>
      <c r="F50" s="6">
        <f t="shared" si="14"/>
        <v>14.972419227738376</v>
      </c>
      <c r="G50" s="7">
        <v>1.41</v>
      </c>
      <c r="H50" s="8">
        <v>1.4274999999999999E-3</v>
      </c>
      <c r="I50" s="9">
        <f t="shared" si="0"/>
        <v>40.257603563942737</v>
      </c>
      <c r="J50" s="7">
        <v>4.5</v>
      </c>
      <c r="K50" s="7">
        <v>19.57</v>
      </c>
      <c r="L50" s="10">
        <f t="shared" si="3"/>
        <v>-2.020716714078699</v>
      </c>
      <c r="M50" s="12"/>
      <c r="N50" s="11">
        <f t="shared" si="15"/>
        <v>-33.184216615698269</v>
      </c>
    </row>
    <row r="51" spans="1:14" x14ac:dyDescent="0.3">
      <c r="A51">
        <v>0.6</v>
      </c>
      <c r="B51">
        <v>15</v>
      </c>
      <c r="C51">
        <v>4</v>
      </c>
      <c r="D51" s="7">
        <v>13.3</v>
      </c>
      <c r="E51" s="1">
        <v>7.6139999999999999</v>
      </c>
      <c r="F51" s="6">
        <f t="shared" si="14"/>
        <v>17.467822432361441</v>
      </c>
      <c r="G51" s="7">
        <v>1.41</v>
      </c>
      <c r="H51" s="8">
        <v>1.4274999999999999E-3</v>
      </c>
      <c r="I51" s="9">
        <f t="shared" si="0"/>
        <v>46.967204157933203</v>
      </c>
      <c r="J51" s="7">
        <v>4.5</v>
      </c>
      <c r="K51" s="7">
        <v>25.54</v>
      </c>
      <c r="L51" s="10">
        <f t="shared" si="3"/>
        <v>-2.9850478844112827</v>
      </c>
      <c r="M51" s="12"/>
      <c r="N51" s="11">
        <f t="shared" si="15"/>
        <v>-56.518640163098866</v>
      </c>
    </row>
    <row r="52" spans="1:14" x14ac:dyDescent="0.3">
      <c r="A52">
        <v>0.6</v>
      </c>
      <c r="B52">
        <v>15</v>
      </c>
      <c r="C52">
        <v>6</v>
      </c>
      <c r="D52" s="3">
        <v>1.9</v>
      </c>
      <c r="E52" s="1">
        <v>7.6139999999999999</v>
      </c>
      <c r="F52" s="6">
        <f>(D52*10^-3)/(E52*10^-4)</f>
        <v>2.4954032046230625</v>
      </c>
      <c r="G52" s="7">
        <v>1.41</v>
      </c>
      <c r="H52" s="8">
        <v>9.5166999999999995E-4</v>
      </c>
      <c r="I52" s="9">
        <f t="shared" si="0"/>
        <v>6.7096005939904559</v>
      </c>
      <c r="J52" s="7">
        <v>3</v>
      </c>
      <c r="K52" s="7">
        <v>0</v>
      </c>
      <c r="L52" s="10">
        <f t="shared" si="3"/>
        <v>31.810235769046876</v>
      </c>
      <c r="M52" s="12"/>
      <c r="N52" s="11">
        <f>-(1.7*K52^2)/19.62</f>
        <v>0</v>
      </c>
    </row>
    <row r="53" spans="1:14" x14ac:dyDescent="0.3">
      <c r="A53">
        <v>0.6</v>
      </c>
      <c r="B53">
        <v>15</v>
      </c>
      <c r="C53">
        <v>6</v>
      </c>
      <c r="D53" s="3">
        <v>3.8</v>
      </c>
      <c r="E53" s="1">
        <v>7.6139999999999999</v>
      </c>
      <c r="F53" s="6">
        <f t="shared" ref="F53:F58" si="16">(D53*10^-3)/(E53*10^-4)</f>
        <v>4.9908064092461251</v>
      </c>
      <c r="G53" s="7">
        <v>1.41</v>
      </c>
      <c r="H53" s="8">
        <v>9.5166999999999995E-4</v>
      </c>
      <c r="I53" s="9">
        <f t="shared" si="0"/>
        <v>13.419201187980912</v>
      </c>
      <c r="J53" s="7">
        <v>4.5</v>
      </c>
      <c r="K53" s="7">
        <v>2.14</v>
      </c>
      <c r="L53" s="10">
        <f t="shared" si="3"/>
        <v>7.6399977752127439</v>
      </c>
      <c r="M53" s="12"/>
      <c r="N53" s="11">
        <f t="shared" ref="N53:N58" si="17">-(1.7*K53^2)/19.62</f>
        <v>-0.39680530071355757</v>
      </c>
    </row>
    <row r="54" spans="1:14" x14ac:dyDescent="0.3">
      <c r="A54">
        <v>0.6</v>
      </c>
      <c r="B54">
        <v>15</v>
      </c>
      <c r="C54">
        <v>6</v>
      </c>
      <c r="D54" s="3">
        <v>5.7</v>
      </c>
      <c r="E54" s="1">
        <v>7.6139999999999999</v>
      </c>
      <c r="F54" s="6">
        <f t="shared" si="16"/>
        <v>7.486209613869188</v>
      </c>
      <c r="G54" s="7">
        <v>1.41</v>
      </c>
      <c r="H54" s="8">
        <v>9.5166999999999995E-4</v>
      </c>
      <c r="I54" s="9">
        <f t="shared" si="0"/>
        <v>20.128801781971369</v>
      </c>
      <c r="J54" s="7">
        <v>4.5</v>
      </c>
      <c r="K54" s="7">
        <v>4.0199999999999996</v>
      </c>
      <c r="L54" s="10">
        <f t="shared" si="3"/>
        <v>3.0442664034708042</v>
      </c>
      <c r="M54" s="12"/>
      <c r="N54" s="11">
        <f t="shared" si="17"/>
        <v>-1.4002385321100914</v>
      </c>
    </row>
    <row r="55" spans="1:14" x14ac:dyDescent="0.3">
      <c r="A55">
        <v>0.6</v>
      </c>
      <c r="B55">
        <v>15</v>
      </c>
      <c r="C55">
        <v>6</v>
      </c>
      <c r="D55" s="3">
        <v>7.6</v>
      </c>
      <c r="E55" s="1">
        <v>7.6139999999999999</v>
      </c>
      <c r="F55" s="6">
        <f t="shared" si="16"/>
        <v>9.9816128184922501</v>
      </c>
      <c r="G55" s="7">
        <v>1.41</v>
      </c>
      <c r="H55" s="8">
        <v>9.5166999999999995E-4</v>
      </c>
      <c r="I55" s="9">
        <f t="shared" si="0"/>
        <v>26.838402375961824</v>
      </c>
      <c r="J55" s="7">
        <v>4.5</v>
      </c>
      <c r="K55" s="7">
        <v>8.0299999999999994</v>
      </c>
      <c r="L55" s="10">
        <f t="shared" si="3"/>
        <v>0.88792217527805439</v>
      </c>
      <c r="M55" s="12"/>
      <c r="N55" s="11">
        <f t="shared" si="17"/>
        <v>-5.5870300713557581</v>
      </c>
    </row>
    <row r="56" spans="1:14" x14ac:dyDescent="0.3">
      <c r="A56">
        <v>0.6</v>
      </c>
      <c r="B56">
        <v>15</v>
      </c>
      <c r="C56">
        <v>6</v>
      </c>
      <c r="D56" s="3">
        <v>9.5</v>
      </c>
      <c r="E56" s="1">
        <v>7.6139999999999999</v>
      </c>
      <c r="F56" s="6">
        <f t="shared" si="16"/>
        <v>12.477016023115313</v>
      </c>
      <c r="G56" s="7">
        <v>1.41</v>
      </c>
      <c r="H56" s="8">
        <v>9.5166999999999995E-4</v>
      </c>
      <c r="I56" s="9">
        <f t="shared" si="0"/>
        <v>33.548002969952286</v>
      </c>
      <c r="J56" s="7">
        <v>4.5</v>
      </c>
      <c r="K56" s="7">
        <v>14.29</v>
      </c>
      <c r="L56" s="10">
        <f t="shared" si="3"/>
        <v>-0.95752407652035432</v>
      </c>
      <c r="M56" s="12"/>
      <c r="N56" s="11">
        <f t="shared" si="17"/>
        <v>-17.693525484199792</v>
      </c>
    </row>
    <row r="57" spans="1:14" x14ac:dyDescent="0.3">
      <c r="A57">
        <v>0.6</v>
      </c>
      <c r="B57">
        <v>15</v>
      </c>
      <c r="C57">
        <v>6</v>
      </c>
      <c r="D57" s="3">
        <v>11.4</v>
      </c>
      <c r="E57" s="1">
        <v>7.6139999999999999</v>
      </c>
      <c r="F57" s="6">
        <f t="shared" si="16"/>
        <v>14.972419227738376</v>
      </c>
      <c r="G57" s="7">
        <v>1.41</v>
      </c>
      <c r="H57" s="8">
        <v>9.5166999999999995E-4</v>
      </c>
      <c r="I57" s="9">
        <f t="shared" si="0"/>
        <v>40.257603563942737</v>
      </c>
      <c r="J57" s="7">
        <v>4.5</v>
      </c>
      <c r="K57" s="7">
        <v>20.07</v>
      </c>
      <c r="L57" s="10">
        <f t="shared" si="3"/>
        <v>-2.1710200479678954</v>
      </c>
      <c r="M57" s="12"/>
      <c r="N57" s="11">
        <f t="shared" si="17"/>
        <v>-34.901545871559634</v>
      </c>
    </row>
    <row r="58" spans="1:14" x14ac:dyDescent="0.3">
      <c r="A58">
        <v>0.6</v>
      </c>
      <c r="B58">
        <v>15</v>
      </c>
      <c r="C58">
        <v>6</v>
      </c>
      <c r="D58" s="7">
        <v>13.3</v>
      </c>
      <c r="E58" s="1">
        <v>7.6139999999999999</v>
      </c>
      <c r="F58" s="6">
        <f t="shared" si="16"/>
        <v>17.467822432361441</v>
      </c>
      <c r="G58" s="7">
        <v>1.41</v>
      </c>
      <c r="H58" s="8">
        <v>9.5166999999999995E-4</v>
      </c>
      <c r="I58" s="9">
        <f t="shared" si="0"/>
        <v>46.967204157933203</v>
      </c>
      <c r="J58" s="7">
        <v>4.5</v>
      </c>
      <c r="K58" s="7">
        <v>25.31</v>
      </c>
      <c r="L58" s="10">
        <f t="shared" si="3"/>
        <v>-2.919886518759149</v>
      </c>
      <c r="M58" s="12"/>
      <c r="N58" s="11">
        <f t="shared" si="17"/>
        <v>-55.505268603465844</v>
      </c>
    </row>
    <row r="59" spans="1:14" x14ac:dyDescent="0.3">
      <c r="A59">
        <v>0.6</v>
      </c>
      <c r="B59">
        <v>20</v>
      </c>
      <c r="C59">
        <v>1</v>
      </c>
      <c r="D59" s="3">
        <v>2.2999999999999998</v>
      </c>
      <c r="E59" s="1">
        <v>10.151999999999999</v>
      </c>
      <c r="F59" s="6">
        <f>(D59*10^-3)/(E59*10^-4)</f>
        <v>2.265563435776202</v>
      </c>
      <c r="G59" s="7">
        <v>1.88</v>
      </c>
      <c r="H59" s="8">
        <v>6.9699999999999996E-3</v>
      </c>
      <c r="I59" s="9">
        <f t="shared" si="0"/>
        <v>5.2754899327810501</v>
      </c>
      <c r="J59" s="7">
        <v>3</v>
      </c>
      <c r="K59" s="7">
        <v>0</v>
      </c>
      <c r="L59" s="10">
        <f t="shared" si="3"/>
        <v>38.591876034869706</v>
      </c>
      <c r="M59" s="12"/>
      <c r="N59" s="11">
        <f>-(1.7*K59^2)/19.62</f>
        <v>0</v>
      </c>
    </row>
    <row r="60" spans="1:14" x14ac:dyDescent="0.3">
      <c r="A60">
        <v>0.6</v>
      </c>
      <c r="B60">
        <v>20</v>
      </c>
      <c r="C60">
        <v>1</v>
      </c>
      <c r="D60" s="3">
        <v>4.5999999999999996</v>
      </c>
      <c r="E60" s="1">
        <v>10.151999999999999</v>
      </c>
      <c r="F60" s="6">
        <f t="shared" ref="F60:F65" si="18">(D60*10^-3)/(E60*10^-4)</f>
        <v>4.531126871552404</v>
      </c>
      <c r="G60" s="7">
        <v>1.88</v>
      </c>
      <c r="H60" s="8">
        <v>6.9699999999999996E-3</v>
      </c>
      <c r="I60" s="9">
        <f t="shared" si="0"/>
        <v>10.5509798655621</v>
      </c>
      <c r="J60" s="7">
        <v>4.5</v>
      </c>
      <c r="K60" s="7">
        <v>0.96</v>
      </c>
      <c r="L60" s="10">
        <f t="shared" si="3"/>
        <v>9.5716594499750443</v>
      </c>
      <c r="M60" s="12"/>
      <c r="N60" s="11">
        <f t="shared" ref="N60:N65" si="19">-(1.7*K60^2)/19.62</f>
        <v>-7.9853211009174307E-2</v>
      </c>
    </row>
    <row r="61" spans="1:14" x14ac:dyDescent="0.3">
      <c r="A61">
        <v>0.6</v>
      </c>
      <c r="B61">
        <v>20</v>
      </c>
      <c r="C61">
        <v>1</v>
      </c>
      <c r="D61" s="3">
        <v>6.9</v>
      </c>
      <c r="E61" s="1">
        <v>10.151999999999999</v>
      </c>
      <c r="F61" s="6">
        <f t="shared" si="18"/>
        <v>6.796690307328606</v>
      </c>
      <c r="G61" s="7">
        <v>1.88</v>
      </c>
      <c r="H61" s="8">
        <v>6.9699999999999996E-3</v>
      </c>
      <c r="I61" s="9">
        <f t="shared" si="0"/>
        <v>15.826469798343151</v>
      </c>
      <c r="J61" s="7">
        <v>4.5</v>
      </c>
      <c r="K61" s="7">
        <v>2.0499999999999998</v>
      </c>
      <c r="L61" s="10">
        <f t="shared" si="3"/>
        <v>4.1333320398433262</v>
      </c>
      <c r="M61" s="12"/>
      <c r="N61" s="11">
        <f t="shared" si="19"/>
        <v>-0.36413098878695205</v>
      </c>
    </row>
    <row r="62" spans="1:14" x14ac:dyDescent="0.3">
      <c r="A62">
        <v>0.6</v>
      </c>
      <c r="B62">
        <v>20</v>
      </c>
      <c r="C62">
        <v>1</v>
      </c>
      <c r="D62" s="3">
        <v>9.1999999999999993</v>
      </c>
      <c r="E62" s="1">
        <v>10.151999999999999</v>
      </c>
      <c r="F62" s="6">
        <f t="shared" si="18"/>
        <v>9.062253743104808</v>
      </c>
      <c r="G62" s="7">
        <v>1.88</v>
      </c>
      <c r="H62" s="8">
        <v>6.9699999999999996E-3</v>
      </c>
      <c r="I62" s="9">
        <f t="shared" si="0"/>
        <v>21.1019597311242</v>
      </c>
      <c r="J62" s="7">
        <v>4.5</v>
      </c>
      <c r="K62" s="7">
        <v>2.96</v>
      </c>
      <c r="L62" s="10">
        <f t="shared" si="3"/>
        <v>2.2306245682933827</v>
      </c>
      <c r="M62" s="12"/>
      <c r="N62" s="11">
        <f t="shared" si="19"/>
        <v>-0.75916004077471966</v>
      </c>
    </row>
    <row r="63" spans="1:14" x14ac:dyDescent="0.3">
      <c r="A63">
        <v>0.6</v>
      </c>
      <c r="B63">
        <v>20</v>
      </c>
      <c r="C63">
        <v>1</v>
      </c>
      <c r="D63" s="3">
        <v>11.5</v>
      </c>
      <c r="E63" s="1">
        <v>10.151999999999999</v>
      </c>
      <c r="F63" s="6">
        <f t="shared" si="18"/>
        <v>11.327817178881009</v>
      </c>
      <c r="G63" s="7">
        <v>1.88</v>
      </c>
      <c r="H63" s="8">
        <v>6.9699999999999996E-3</v>
      </c>
      <c r="I63" s="9">
        <f t="shared" si="0"/>
        <v>26.377449663905249</v>
      </c>
      <c r="J63" s="7">
        <v>4.5</v>
      </c>
      <c r="K63" s="7">
        <v>4.4800000000000004</v>
      </c>
      <c r="L63" s="10">
        <f t="shared" si="3"/>
        <v>1.2777786233768893</v>
      </c>
      <c r="M63" s="12"/>
      <c r="N63" s="11">
        <f t="shared" si="19"/>
        <v>-1.7390254841997961</v>
      </c>
    </row>
    <row r="64" spans="1:14" x14ac:dyDescent="0.3">
      <c r="A64">
        <v>0.6</v>
      </c>
      <c r="B64">
        <v>20</v>
      </c>
      <c r="C64">
        <v>1</v>
      </c>
      <c r="D64" s="3">
        <v>13.8</v>
      </c>
      <c r="E64" s="1">
        <v>10.151999999999999</v>
      </c>
      <c r="F64" s="6">
        <f t="shared" si="18"/>
        <v>13.593380614657212</v>
      </c>
      <c r="G64" s="7">
        <v>1.88</v>
      </c>
      <c r="H64" s="8">
        <v>6.9699999999999996E-3</v>
      </c>
      <c r="I64" s="9">
        <f t="shared" si="0"/>
        <v>31.652939596686302</v>
      </c>
      <c r="J64" s="7">
        <v>4.5</v>
      </c>
      <c r="K64" s="7">
        <v>5.93</v>
      </c>
      <c r="L64" s="10">
        <f t="shared" si="3"/>
        <v>0.74847490309292997</v>
      </c>
      <c r="M64" s="12"/>
      <c r="N64" s="11">
        <f t="shared" si="19"/>
        <v>-3.0469077471967374</v>
      </c>
    </row>
    <row r="65" spans="1:14" x14ac:dyDescent="0.3">
      <c r="A65">
        <v>0.6</v>
      </c>
      <c r="B65">
        <v>20</v>
      </c>
      <c r="C65">
        <v>1</v>
      </c>
      <c r="D65" s="7">
        <v>16.2</v>
      </c>
      <c r="E65" s="1">
        <v>10.151999999999999</v>
      </c>
      <c r="F65" s="6">
        <f t="shared" si="18"/>
        <v>15.957446808510639</v>
      </c>
      <c r="G65" s="7">
        <v>1.88</v>
      </c>
      <c r="H65" s="8">
        <v>6.9699999999999996E-3</v>
      </c>
      <c r="I65" s="9">
        <f t="shared" si="0"/>
        <v>37.157798656979573</v>
      </c>
      <c r="J65" s="7">
        <v>4.5</v>
      </c>
      <c r="K65" s="7">
        <v>9.6999999999999993</v>
      </c>
      <c r="L65" s="10">
        <f t="shared" si="3"/>
        <v>0.14974278876444455</v>
      </c>
      <c r="M65" s="12"/>
      <c r="N65" s="11">
        <f t="shared" si="19"/>
        <v>-8.1525484199796114</v>
      </c>
    </row>
    <row r="66" spans="1:14" x14ac:dyDescent="0.3">
      <c r="A66">
        <v>0.6</v>
      </c>
      <c r="B66">
        <v>20</v>
      </c>
      <c r="C66">
        <v>2</v>
      </c>
      <c r="D66" s="3">
        <v>2.2999999999999998</v>
      </c>
      <c r="E66" s="1">
        <v>10.151999999999999</v>
      </c>
      <c r="F66" s="6">
        <f>(D66*10^-3)/(E66*10^-4)</f>
        <v>2.265563435776202</v>
      </c>
      <c r="G66" s="7">
        <v>1.88</v>
      </c>
      <c r="H66" s="8">
        <v>3.4849999999999998E-3</v>
      </c>
      <c r="I66" s="9">
        <f t="shared" si="0"/>
        <v>5.2754899327810501</v>
      </c>
      <c r="J66" s="7">
        <v>3</v>
      </c>
      <c r="K66" s="7">
        <v>0</v>
      </c>
      <c r="L66" s="10">
        <f t="shared" si="3"/>
        <v>38.591876034869706</v>
      </c>
      <c r="M66" s="12"/>
      <c r="N66" s="11">
        <f>-(1.7*K66^2)/19.62</f>
        <v>0</v>
      </c>
    </row>
    <row r="67" spans="1:14" x14ac:dyDescent="0.3">
      <c r="A67">
        <v>0.6</v>
      </c>
      <c r="B67">
        <v>20</v>
      </c>
      <c r="C67">
        <v>2</v>
      </c>
      <c r="D67" s="3">
        <v>4.5999999999999996</v>
      </c>
      <c r="E67" s="1">
        <v>10.151999999999999</v>
      </c>
      <c r="F67" s="6">
        <f t="shared" ref="F67:F72" si="20">(D67*10^-3)/(E67*10^-4)</f>
        <v>4.531126871552404</v>
      </c>
      <c r="G67" s="7">
        <v>1.88</v>
      </c>
      <c r="H67" s="8">
        <v>3.4849999999999998E-3</v>
      </c>
      <c r="I67" s="9">
        <f t="shared" ref="I67:I130" si="21">(F67)/((9.81*G67*10^-2))^(1/2)</f>
        <v>10.5509798655621</v>
      </c>
      <c r="J67" s="7">
        <v>4.5</v>
      </c>
      <c r="K67" s="7">
        <v>2.15</v>
      </c>
      <c r="L67" s="10">
        <f t="shared" ref="L67:L130" si="22">(10.33+N67-0.234)/((F67^2)/19.62)</f>
        <v>9.2652205980331157</v>
      </c>
      <c r="M67" s="12"/>
      <c r="N67" s="11">
        <f t="shared" ref="N67:N72" si="23">-(1.7*K67^2)/19.62</f>
        <v>-0.40052242609582051</v>
      </c>
    </row>
    <row r="68" spans="1:14" x14ac:dyDescent="0.3">
      <c r="A68">
        <v>0.6</v>
      </c>
      <c r="B68">
        <v>20</v>
      </c>
      <c r="C68">
        <v>2</v>
      </c>
      <c r="D68" s="3">
        <v>6.9</v>
      </c>
      <c r="E68" s="1">
        <v>10.151999999999999</v>
      </c>
      <c r="F68" s="6">
        <f t="shared" si="20"/>
        <v>6.796690307328606</v>
      </c>
      <c r="G68" s="7">
        <v>1.88</v>
      </c>
      <c r="H68" s="8">
        <v>3.4849999999999998E-3</v>
      </c>
      <c r="I68" s="9">
        <f t="shared" si="21"/>
        <v>15.826469798343151</v>
      </c>
      <c r="J68" s="7">
        <v>4.5</v>
      </c>
      <c r="K68" s="7">
        <v>4.47</v>
      </c>
      <c r="L68" s="10">
        <f t="shared" si="22"/>
        <v>3.5526787114961049</v>
      </c>
      <c r="M68" s="12"/>
      <c r="N68" s="11">
        <f t="shared" si="23"/>
        <v>-1.7312706422018347</v>
      </c>
    </row>
    <row r="69" spans="1:14" x14ac:dyDescent="0.3">
      <c r="A69">
        <v>0.6</v>
      </c>
      <c r="B69">
        <v>20</v>
      </c>
      <c r="C69">
        <v>2</v>
      </c>
      <c r="D69" s="3">
        <v>9.1999999999999993</v>
      </c>
      <c r="E69" s="1">
        <v>10.151999999999999</v>
      </c>
      <c r="F69" s="6">
        <f t="shared" si="20"/>
        <v>9.062253743104808</v>
      </c>
      <c r="G69" s="7">
        <v>1.88</v>
      </c>
      <c r="H69" s="8">
        <v>3.4849999999999998E-3</v>
      </c>
      <c r="I69" s="9">
        <f t="shared" si="21"/>
        <v>21.1019597311242</v>
      </c>
      <c r="J69" s="7">
        <v>4.5</v>
      </c>
      <c r="K69" s="7">
        <v>8.25</v>
      </c>
      <c r="L69" s="10">
        <f t="shared" si="22"/>
        <v>1.0030785852133834</v>
      </c>
      <c r="M69" s="12"/>
      <c r="N69" s="11">
        <f t="shared" si="23"/>
        <v>-5.8973623853211006</v>
      </c>
    </row>
    <row r="70" spans="1:14" x14ac:dyDescent="0.3">
      <c r="A70">
        <v>0.6</v>
      </c>
      <c r="B70">
        <v>20</v>
      </c>
      <c r="C70">
        <v>2</v>
      </c>
      <c r="D70" s="3">
        <v>11.5</v>
      </c>
      <c r="E70" s="1">
        <v>10.151999999999999</v>
      </c>
      <c r="F70" s="6">
        <f t="shared" si="20"/>
        <v>11.327817178881009</v>
      </c>
      <c r="G70" s="7">
        <v>1.88</v>
      </c>
      <c r="H70" s="8">
        <v>3.4849999999999998E-3</v>
      </c>
      <c r="I70" s="9">
        <f t="shared" si="21"/>
        <v>26.377449663905249</v>
      </c>
      <c r="J70" s="7">
        <v>4.5</v>
      </c>
      <c r="K70" s="7">
        <v>10.93</v>
      </c>
      <c r="L70" s="10">
        <f t="shared" si="22"/>
        <v>-3.9018327390415108E-2</v>
      </c>
      <c r="M70" s="12"/>
      <c r="N70" s="11">
        <f t="shared" si="23"/>
        <v>-10.351189092762487</v>
      </c>
    </row>
    <row r="71" spans="1:14" x14ac:dyDescent="0.3">
      <c r="A71">
        <v>0.6</v>
      </c>
      <c r="B71">
        <v>20</v>
      </c>
      <c r="C71">
        <v>2</v>
      </c>
      <c r="D71" s="3">
        <v>13.8</v>
      </c>
      <c r="E71" s="1">
        <v>10.151999999999999</v>
      </c>
      <c r="F71" s="6">
        <f t="shared" si="20"/>
        <v>13.593380614657212</v>
      </c>
      <c r="G71" s="7">
        <v>1.88</v>
      </c>
      <c r="H71" s="8">
        <v>3.4849999999999998E-3</v>
      </c>
      <c r="I71" s="9">
        <f t="shared" si="21"/>
        <v>31.652939596686302</v>
      </c>
      <c r="J71" s="7">
        <v>4.5</v>
      </c>
      <c r="K71" s="7">
        <v>15.81</v>
      </c>
      <c r="L71" s="10">
        <f t="shared" si="22"/>
        <v>-1.2276320719440452</v>
      </c>
      <c r="M71" s="12"/>
      <c r="N71" s="11">
        <f t="shared" si="23"/>
        <v>-21.657766055045872</v>
      </c>
    </row>
    <row r="72" spans="1:14" x14ac:dyDescent="0.3">
      <c r="A72">
        <v>0.6</v>
      </c>
      <c r="B72">
        <v>20</v>
      </c>
      <c r="C72">
        <v>2</v>
      </c>
      <c r="D72" s="7">
        <v>16.2</v>
      </c>
      <c r="E72" s="1">
        <v>10.151999999999999</v>
      </c>
      <c r="F72" s="6">
        <f t="shared" si="20"/>
        <v>15.957446808510639</v>
      </c>
      <c r="G72" s="7">
        <v>1.88</v>
      </c>
      <c r="H72" s="8">
        <v>3.4849999999999998E-3</v>
      </c>
      <c r="I72" s="9">
        <f t="shared" si="21"/>
        <v>37.157798656979573</v>
      </c>
      <c r="J72" s="7">
        <v>4.5</v>
      </c>
      <c r="K72" s="7">
        <v>21.51</v>
      </c>
      <c r="L72" s="10">
        <f t="shared" si="22"/>
        <v>-2.3109974824000008</v>
      </c>
      <c r="M72" s="12"/>
      <c r="N72" s="11">
        <f t="shared" si="23"/>
        <v>-40.089509174311935</v>
      </c>
    </row>
    <row r="73" spans="1:14" x14ac:dyDescent="0.3">
      <c r="A73">
        <v>0.6</v>
      </c>
      <c r="B73">
        <v>20</v>
      </c>
      <c r="C73">
        <v>4</v>
      </c>
      <c r="D73" s="3">
        <v>2.2999999999999998</v>
      </c>
      <c r="E73" s="1">
        <v>10.151999999999999</v>
      </c>
      <c r="F73" s="6">
        <f>(D73*10^-3)/(E73*10^-4)</f>
        <v>2.265563435776202</v>
      </c>
      <c r="G73" s="7">
        <v>1.88</v>
      </c>
      <c r="H73" s="8">
        <v>1.7424999999999999E-3</v>
      </c>
      <c r="I73" s="9">
        <f t="shared" si="21"/>
        <v>5.2754899327810501</v>
      </c>
      <c r="J73" s="7">
        <v>3</v>
      </c>
      <c r="K73" s="7">
        <v>0</v>
      </c>
      <c r="L73" s="10">
        <f t="shared" si="22"/>
        <v>38.591876034869706</v>
      </c>
      <c r="M73" s="12"/>
      <c r="N73" s="11">
        <f>-(1.7*K73^2)/19.62</f>
        <v>0</v>
      </c>
    </row>
    <row r="74" spans="1:14" x14ac:dyDescent="0.3">
      <c r="A74">
        <v>0.6</v>
      </c>
      <c r="B74">
        <v>20</v>
      </c>
      <c r="C74">
        <v>4</v>
      </c>
      <c r="D74" s="3">
        <v>4.5999999999999996</v>
      </c>
      <c r="E74" s="1">
        <v>10.151999999999999</v>
      </c>
      <c r="F74" s="6">
        <f t="shared" ref="F74:F79" si="24">(D74*10^-3)/(E74*10^-4)</f>
        <v>4.531126871552404</v>
      </c>
      <c r="G74" s="7">
        <v>1.88</v>
      </c>
      <c r="H74" s="8">
        <v>1.7424999999999999E-3</v>
      </c>
      <c r="I74" s="9">
        <f t="shared" si="21"/>
        <v>10.5509798655621</v>
      </c>
      <c r="J74" s="7">
        <v>4.5</v>
      </c>
      <c r="K74" s="7">
        <v>2.23</v>
      </c>
      <c r="L74" s="10">
        <f t="shared" si="22"/>
        <v>9.2362070678862747</v>
      </c>
      <c r="M74" s="12"/>
      <c r="N74" s="11">
        <f t="shared" ref="N74:N79" si="25">-(1.7*K74^2)/19.62</f>
        <v>-0.43088328236493373</v>
      </c>
    </row>
    <row r="75" spans="1:14" x14ac:dyDescent="0.3">
      <c r="A75">
        <v>0.6</v>
      </c>
      <c r="B75">
        <v>20</v>
      </c>
      <c r="C75">
        <v>4</v>
      </c>
      <c r="D75" s="3">
        <v>6.9</v>
      </c>
      <c r="E75" s="1">
        <v>10.151999999999999</v>
      </c>
      <c r="F75" s="6">
        <f t="shared" si="24"/>
        <v>6.796690307328606</v>
      </c>
      <c r="G75" s="7">
        <v>1.88</v>
      </c>
      <c r="H75" s="8">
        <v>1.7424999999999999E-3</v>
      </c>
      <c r="I75" s="9">
        <f t="shared" si="21"/>
        <v>15.826469798343151</v>
      </c>
      <c r="J75" s="7">
        <v>4.5</v>
      </c>
      <c r="K75" s="7">
        <v>4.72</v>
      </c>
      <c r="L75" s="10">
        <f t="shared" si="22"/>
        <v>3.4681295162749337</v>
      </c>
      <c r="M75" s="12"/>
      <c r="N75" s="11">
        <f t="shared" si="25"/>
        <v>-1.9303404689092758</v>
      </c>
    </row>
    <row r="76" spans="1:14" x14ac:dyDescent="0.3">
      <c r="A76">
        <v>0.6</v>
      </c>
      <c r="B76">
        <v>20</v>
      </c>
      <c r="C76">
        <v>4</v>
      </c>
      <c r="D76" s="3">
        <v>9.1999999999999993</v>
      </c>
      <c r="E76" s="1">
        <v>10.151999999999999</v>
      </c>
      <c r="F76" s="6">
        <f t="shared" si="24"/>
        <v>9.062253743104808</v>
      </c>
      <c r="G76" s="7">
        <v>1.88</v>
      </c>
      <c r="H76" s="8">
        <v>1.7424999999999999E-3</v>
      </c>
      <c r="I76" s="9">
        <f t="shared" si="21"/>
        <v>21.1019597311242</v>
      </c>
      <c r="J76" s="7">
        <v>4.5</v>
      </c>
      <c r="K76" s="7">
        <v>8.69</v>
      </c>
      <c r="L76" s="10">
        <f t="shared" si="22"/>
        <v>0.84878688408430991</v>
      </c>
      <c r="M76" s="12"/>
      <c r="N76" s="11">
        <f t="shared" si="25"/>
        <v>-6.5431890927624865</v>
      </c>
    </row>
    <row r="77" spans="1:14" x14ac:dyDescent="0.3">
      <c r="A77">
        <v>0.6</v>
      </c>
      <c r="B77">
        <v>20</v>
      </c>
      <c r="C77">
        <v>4</v>
      </c>
      <c r="D77" s="3">
        <v>11.5</v>
      </c>
      <c r="E77" s="1">
        <v>10.151999999999999</v>
      </c>
      <c r="F77" s="6">
        <f t="shared" si="24"/>
        <v>11.327817178881009</v>
      </c>
      <c r="G77" s="7">
        <v>1.88</v>
      </c>
      <c r="H77" s="8">
        <v>1.7424999999999999E-3</v>
      </c>
      <c r="I77" s="9">
        <f t="shared" si="21"/>
        <v>26.377449663905249</v>
      </c>
      <c r="J77" s="7">
        <v>4.5</v>
      </c>
      <c r="K77" s="7">
        <v>13.25</v>
      </c>
      <c r="L77" s="10">
        <f t="shared" si="22"/>
        <v>-0.78220983824226231</v>
      </c>
      <c r="M77" s="12"/>
      <c r="N77" s="11">
        <f t="shared" si="25"/>
        <v>-15.2118374108053</v>
      </c>
    </row>
    <row r="78" spans="1:14" x14ac:dyDescent="0.3">
      <c r="A78">
        <v>0.6</v>
      </c>
      <c r="B78">
        <v>20</v>
      </c>
      <c r="C78">
        <v>4</v>
      </c>
      <c r="D78" s="3">
        <v>13.8</v>
      </c>
      <c r="E78" s="1">
        <v>10.151999999999999</v>
      </c>
      <c r="F78" s="6">
        <f t="shared" si="24"/>
        <v>13.593380614657212</v>
      </c>
      <c r="G78" s="7">
        <v>1.88</v>
      </c>
      <c r="H78" s="8">
        <v>1.7424999999999999E-3</v>
      </c>
      <c r="I78" s="9">
        <f t="shared" si="21"/>
        <v>31.652939596686302</v>
      </c>
      <c r="J78" s="7">
        <v>4.5</v>
      </c>
      <c r="K78" s="7">
        <v>20.12</v>
      </c>
      <c r="L78" s="10">
        <f t="shared" si="22"/>
        <v>-2.6523485723051792</v>
      </c>
      <c r="M78" s="12"/>
      <c r="N78" s="11">
        <f t="shared" si="25"/>
        <v>-35.075661569826707</v>
      </c>
    </row>
    <row r="79" spans="1:14" x14ac:dyDescent="0.3">
      <c r="A79">
        <v>0.6</v>
      </c>
      <c r="B79">
        <v>20</v>
      </c>
      <c r="C79">
        <v>4</v>
      </c>
      <c r="D79" s="7">
        <v>16.2</v>
      </c>
      <c r="E79" s="1">
        <v>10.151999999999999</v>
      </c>
      <c r="F79" s="6">
        <f t="shared" si="24"/>
        <v>15.957446808510639</v>
      </c>
      <c r="G79" s="7">
        <v>1.88</v>
      </c>
      <c r="H79" s="8">
        <v>1.7424999999999999E-3</v>
      </c>
      <c r="I79" s="9">
        <f t="shared" si="21"/>
        <v>37.157798656979573</v>
      </c>
      <c r="J79" s="7">
        <v>4.5</v>
      </c>
      <c r="K79" s="7">
        <v>25.24</v>
      </c>
      <c r="L79" s="10">
        <f t="shared" si="22"/>
        <v>-3.4751571726222212</v>
      </c>
      <c r="M79" s="12"/>
      <c r="N79" s="11">
        <f t="shared" si="25"/>
        <v>-55.198670744138617</v>
      </c>
    </row>
    <row r="80" spans="1:14" x14ac:dyDescent="0.3">
      <c r="A80">
        <v>0.6</v>
      </c>
      <c r="B80">
        <v>20</v>
      </c>
      <c r="C80">
        <v>6</v>
      </c>
      <c r="D80" s="3">
        <v>2.2999999999999998</v>
      </c>
      <c r="E80" s="1">
        <v>10.151999999999999</v>
      </c>
      <c r="F80" s="6">
        <f>(D80*10^-3)/(E80*10^-4)</f>
        <v>2.265563435776202</v>
      </c>
      <c r="G80" s="7">
        <v>1.88</v>
      </c>
      <c r="H80" s="8">
        <v>1.1616700000000001E-3</v>
      </c>
      <c r="I80" s="9">
        <f t="shared" si="21"/>
        <v>5.2754899327810501</v>
      </c>
      <c r="J80" s="7">
        <v>3</v>
      </c>
      <c r="K80" s="7">
        <v>0</v>
      </c>
      <c r="L80" s="10">
        <f t="shared" si="22"/>
        <v>38.591876034869706</v>
      </c>
      <c r="M80" s="12"/>
      <c r="N80" s="11">
        <f>-(1.7*K80^2)/19.62</f>
        <v>0</v>
      </c>
    </row>
    <row r="81" spans="1:14" x14ac:dyDescent="0.3">
      <c r="A81">
        <v>0.6</v>
      </c>
      <c r="B81">
        <v>20</v>
      </c>
      <c r="C81">
        <v>6</v>
      </c>
      <c r="D81" s="3">
        <v>4.5999999999999996</v>
      </c>
      <c r="E81" s="1">
        <v>10.151999999999999</v>
      </c>
      <c r="F81" s="6">
        <f t="shared" ref="F81:F86" si="26">(D81*10^-3)/(E81*10^-4)</f>
        <v>4.531126871552404</v>
      </c>
      <c r="G81" s="7">
        <v>1.88</v>
      </c>
      <c r="H81" s="8">
        <v>1.1616700000000001E-3</v>
      </c>
      <c r="I81" s="9">
        <f t="shared" si="21"/>
        <v>10.5509798655621</v>
      </c>
      <c r="J81" s="7">
        <v>4.5</v>
      </c>
      <c r="K81" s="7">
        <v>2.06</v>
      </c>
      <c r="L81" s="10">
        <f t="shared" si="22"/>
        <v>9.2965939615395055</v>
      </c>
      <c r="M81" s="12"/>
      <c r="N81" s="11">
        <f t="shared" ref="N81:N86" si="27">-(1.7*K81^2)/19.62</f>
        <v>-0.36769215086646273</v>
      </c>
    </row>
    <row r="82" spans="1:14" x14ac:dyDescent="0.3">
      <c r="A82">
        <v>0.6</v>
      </c>
      <c r="B82">
        <v>20</v>
      </c>
      <c r="C82">
        <v>6</v>
      </c>
      <c r="D82" s="3">
        <v>6.9</v>
      </c>
      <c r="E82" s="1">
        <v>10.151999999999999</v>
      </c>
      <c r="F82" s="6">
        <f t="shared" si="26"/>
        <v>6.796690307328606</v>
      </c>
      <c r="G82" s="7">
        <v>1.88</v>
      </c>
      <c r="H82" s="8">
        <v>1.1616700000000001E-3</v>
      </c>
      <c r="I82" s="9">
        <f t="shared" si="21"/>
        <v>15.826469798343151</v>
      </c>
      <c r="J82" s="7">
        <v>4.5</v>
      </c>
      <c r="K82" s="7">
        <v>4.1500000000000004</v>
      </c>
      <c r="L82" s="10">
        <f t="shared" si="22"/>
        <v>3.654189266489829</v>
      </c>
      <c r="M82" s="12"/>
      <c r="N82" s="11">
        <f t="shared" si="27"/>
        <v>-1.4922655453618758</v>
      </c>
    </row>
    <row r="83" spans="1:14" x14ac:dyDescent="0.3">
      <c r="A83">
        <v>0.6</v>
      </c>
      <c r="B83">
        <v>20</v>
      </c>
      <c r="C83">
        <v>6</v>
      </c>
      <c r="D83" s="3">
        <v>9.1999999999999993</v>
      </c>
      <c r="E83" s="1">
        <v>10.151999999999999</v>
      </c>
      <c r="F83" s="6">
        <f t="shared" si="26"/>
        <v>9.062253743104808</v>
      </c>
      <c r="G83" s="7">
        <v>1.88</v>
      </c>
      <c r="H83" s="8">
        <v>1.1616700000000001E-3</v>
      </c>
      <c r="I83" s="9">
        <f t="shared" si="21"/>
        <v>21.1019597311242</v>
      </c>
      <c r="J83" s="7">
        <v>4.5</v>
      </c>
      <c r="K83" s="7">
        <v>7.01</v>
      </c>
      <c r="L83" s="10">
        <f t="shared" si="22"/>
        <v>1.3947778024298674</v>
      </c>
      <c r="M83" s="12"/>
      <c r="N83" s="11">
        <f t="shared" si="27"/>
        <v>-4.2578068297655447</v>
      </c>
    </row>
    <row r="84" spans="1:14" x14ac:dyDescent="0.3">
      <c r="A84">
        <v>0.6</v>
      </c>
      <c r="B84">
        <v>20</v>
      </c>
      <c r="C84">
        <v>6</v>
      </c>
      <c r="D84" s="3">
        <v>11.5</v>
      </c>
      <c r="E84" s="1">
        <v>10.151999999999999</v>
      </c>
      <c r="F84" s="6">
        <f t="shared" si="26"/>
        <v>11.327817178881009</v>
      </c>
      <c r="G84" s="7">
        <v>1.88</v>
      </c>
      <c r="H84" s="8">
        <v>1.1616700000000001E-3</v>
      </c>
      <c r="I84" s="9">
        <f t="shared" si="21"/>
        <v>26.377449663905249</v>
      </c>
      <c r="J84" s="7">
        <v>4.5</v>
      </c>
      <c r="K84" s="7">
        <v>11.89</v>
      </c>
      <c r="L84" s="10">
        <f t="shared" si="22"/>
        <v>-0.32924901580727434</v>
      </c>
      <c r="M84" s="12"/>
      <c r="N84" s="11">
        <f t="shared" si="27"/>
        <v>-12.24936646279307</v>
      </c>
    </row>
    <row r="85" spans="1:14" x14ac:dyDescent="0.3">
      <c r="A85">
        <v>0.6</v>
      </c>
      <c r="B85">
        <v>20</v>
      </c>
      <c r="C85">
        <v>6</v>
      </c>
      <c r="D85" s="3">
        <v>13.8</v>
      </c>
      <c r="E85" s="1">
        <v>10.151999999999999</v>
      </c>
      <c r="F85" s="6">
        <f t="shared" si="26"/>
        <v>13.593380614657212</v>
      </c>
      <c r="G85" s="7">
        <v>1.88</v>
      </c>
      <c r="H85" s="8">
        <v>1.1616700000000001E-3</v>
      </c>
      <c r="I85" s="9">
        <f t="shared" si="21"/>
        <v>31.652939596686302</v>
      </c>
      <c r="J85" s="7">
        <v>4.5</v>
      </c>
      <c r="K85" s="7">
        <v>17.940000000000001</v>
      </c>
      <c r="L85" s="10">
        <f t="shared" si="22"/>
        <v>-1.8890064213958413</v>
      </c>
      <c r="M85" s="12"/>
      <c r="N85" s="11">
        <f t="shared" si="27"/>
        <v>-27.886550458715597</v>
      </c>
    </row>
    <row r="86" spans="1:14" x14ac:dyDescent="0.3">
      <c r="A86">
        <v>0.6</v>
      </c>
      <c r="B86">
        <v>20</v>
      </c>
      <c r="C86">
        <v>6</v>
      </c>
      <c r="D86" s="7">
        <v>16.100000000000001</v>
      </c>
      <c r="E86" s="1">
        <v>10.151999999999999</v>
      </c>
      <c r="F86" s="6">
        <f t="shared" si="26"/>
        <v>15.858944050433417</v>
      </c>
      <c r="G86" s="7">
        <v>1.88</v>
      </c>
      <c r="H86" s="8">
        <v>1.1616700000000001E-3</v>
      </c>
      <c r="I86" s="9">
        <f t="shared" si="21"/>
        <v>36.928429529467358</v>
      </c>
      <c r="J86" s="7">
        <v>4.5</v>
      </c>
      <c r="K86" s="7">
        <v>21.07</v>
      </c>
      <c r="L86" s="10">
        <f t="shared" si="22"/>
        <v>-2.2131582329309136</v>
      </c>
      <c r="M86" s="12"/>
      <c r="N86" s="11">
        <f t="shared" si="27"/>
        <v>-38.466173802242608</v>
      </c>
    </row>
    <row r="87" spans="1:14" x14ac:dyDescent="0.3">
      <c r="A87">
        <v>0.6</v>
      </c>
      <c r="B87">
        <v>30</v>
      </c>
      <c r="C87">
        <v>1</v>
      </c>
      <c r="D87" s="3">
        <v>3.3</v>
      </c>
      <c r="E87" s="1">
        <v>15.228</v>
      </c>
      <c r="F87" s="6">
        <f>(D87*10^-3)/(E87*10^-4)</f>
        <v>2.1670606776989754</v>
      </c>
      <c r="G87" s="7">
        <v>2.82</v>
      </c>
      <c r="H87" s="8">
        <v>9.2599999999999991E-3</v>
      </c>
      <c r="I87" s="9">
        <f t="shared" si="21"/>
        <v>4.1201403844502629</v>
      </c>
      <c r="J87" s="7">
        <v>3</v>
      </c>
      <c r="K87" s="7">
        <v>0</v>
      </c>
      <c r="L87" s="10">
        <f t="shared" si="22"/>
        <v>42.179963682739846</v>
      </c>
      <c r="M87" s="12"/>
      <c r="N87" s="11">
        <f>-(1.7*K87^2)/19.62</f>
        <v>0</v>
      </c>
    </row>
    <row r="88" spans="1:14" x14ac:dyDescent="0.3">
      <c r="A88">
        <v>0.6</v>
      </c>
      <c r="B88">
        <v>30</v>
      </c>
      <c r="C88">
        <v>1</v>
      </c>
      <c r="D88" s="3">
        <v>6.6</v>
      </c>
      <c r="E88" s="1">
        <v>15.228</v>
      </c>
      <c r="F88" s="6">
        <f t="shared" ref="F88:F93" si="28">(D88*10^-3)/(E88*10^-4)</f>
        <v>4.3341213553979507</v>
      </c>
      <c r="G88" s="7">
        <v>2.82</v>
      </c>
      <c r="H88" s="8">
        <v>9.2599999999999991E-3</v>
      </c>
      <c r="I88" s="9">
        <f t="shared" si="21"/>
        <v>8.2402807689005257</v>
      </c>
      <c r="J88" s="7">
        <v>4.5</v>
      </c>
      <c r="K88" s="7">
        <v>0.97</v>
      </c>
      <c r="L88" s="10">
        <f t="shared" si="22"/>
        <v>10.459839822161655</v>
      </c>
      <c r="M88" s="12"/>
      <c r="N88" s="11">
        <f t="shared" ref="N88:N93" si="29">-(1.7*K88^2)/19.62</f>
        <v>-8.1525484199796119E-2</v>
      </c>
    </row>
    <row r="89" spans="1:14" x14ac:dyDescent="0.3">
      <c r="A89">
        <v>0.6</v>
      </c>
      <c r="B89">
        <v>30</v>
      </c>
      <c r="C89">
        <v>1</v>
      </c>
      <c r="D89" s="3">
        <v>9.9</v>
      </c>
      <c r="E89" s="1">
        <v>15.228</v>
      </c>
      <c r="F89" s="6">
        <f t="shared" si="28"/>
        <v>6.501182033096927</v>
      </c>
      <c r="G89" s="7">
        <v>2.82</v>
      </c>
      <c r="H89" s="8">
        <v>9.2599999999999991E-3</v>
      </c>
      <c r="I89" s="9">
        <f t="shared" si="21"/>
        <v>12.36042115335079</v>
      </c>
      <c r="J89" s="7">
        <v>4.5</v>
      </c>
      <c r="K89" s="7">
        <v>3.08</v>
      </c>
      <c r="L89" s="10">
        <f t="shared" si="22"/>
        <v>4.3051001174955372</v>
      </c>
      <c r="M89" s="12"/>
      <c r="N89" s="11">
        <f t="shared" si="29"/>
        <v>-0.82196126401630987</v>
      </c>
    </row>
    <row r="90" spans="1:14" x14ac:dyDescent="0.3">
      <c r="A90">
        <v>0.6</v>
      </c>
      <c r="B90">
        <v>30</v>
      </c>
      <c r="C90">
        <v>1</v>
      </c>
      <c r="D90" s="3">
        <v>13.2</v>
      </c>
      <c r="E90" s="1">
        <v>15.228</v>
      </c>
      <c r="F90" s="6">
        <f t="shared" si="28"/>
        <v>8.6682427107959015</v>
      </c>
      <c r="G90" s="7">
        <v>2.82</v>
      </c>
      <c r="H90" s="8">
        <v>9.2599999999999991E-3</v>
      </c>
      <c r="I90" s="9">
        <f t="shared" si="21"/>
        <v>16.480561537801051</v>
      </c>
      <c r="J90" s="7">
        <v>4.5</v>
      </c>
      <c r="K90" s="7">
        <v>5.29</v>
      </c>
      <c r="L90" s="10">
        <f t="shared" si="22"/>
        <v>2.0031100810623972</v>
      </c>
      <c r="M90" s="12"/>
      <c r="N90" s="11">
        <f t="shared" si="29"/>
        <v>-2.4247181447502548</v>
      </c>
    </row>
    <row r="91" spans="1:14" x14ac:dyDescent="0.3">
      <c r="A91">
        <v>0.6</v>
      </c>
      <c r="B91">
        <v>30</v>
      </c>
      <c r="C91">
        <v>1</v>
      </c>
      <c r="D91" s="3">
        <v>16.5</v>
      </c>
      <c r="E91" s="1">
        <v>15.228</v>
      </c>
      <c r="F91" s="6">
        <f t="shared" si="28"/>
        <v>10.835303388494877</v>
      </c>
      <c r="G91" s="7">
        <v>2.82</v>
      </c>
      <c r="H91" s="8">
        <v>9.2599999999999991E-3</v>
      </c>
      <c r="I91" s="9">
        <f t="shared" si="21"/>
        <v>20.600701922251314</v>
      </c>
      <c r="J91" s="7">
        <v>4.5</v>
      </c>
      <c r="K91" s="7">
        <v>8.25</v>
      </c>
      <c r="L91" s="10">
        <f t="shared" si="22"/>
        <v>0.70165761530959359</v>
      </c>
      <c r="M91" s="12"/>
      <c r="N91" s="11">
        <f t="shared" si="29"/>
        <v>-5.8973623853211006</v>
      </c>
    </row>
    <row r="92" spans="1:14" x14ac:dyDescent="0.3">
      <c r="A92">
        <v>0.6</v>
      </c>
      <c r="B92">
        <v>30</v>
      </c>
      <c r="C92">
        <v>1</v>
      </c>
      <c r="D92" s="3">
        <v>19.8</v>
      </c>
      <c r="E92" s="1">
        <v>15.228</v>
      </c>
      <c r="F92" s="6">
        <f t="shared" si="28"/>
        <v>13.002364066193854</v>
      </c>
      <c r="G92" s="7">
        <v>2.82</v>
      </c>
      <c r="H92" s="8">
        <v>9.2599999999999991E-3</v>
      </c>
      <c r="I92" s="9">
        <f t="shared" si="21"/>
        <v>24.720842306701581</v>
      </c>
      <c r="J92" s="7">
        <v>4.5</v>
      </c>
      <c r="K92" s="7">
        <v>11.64</v>
      </c>
      <c r="L92" s="10">
        <f t="shared" si="22"/>
        <v>-0.1907519185190083</v>
      </c>
      <c r="M92" s="12"/>
      <c r="N92" s="11">
        <f t="shared" si="29"/>
        <v>-11.739669724770643</v>
      </c>
    </row>
    <row r="93" spans="1:14" x14ac:dyDescent="0.3">
      <c r="A93">
        <v>0.6</v>
      </c>
      <c r="B93">
        <v>30</v>
      </c>
      <c r="C93">
        <v>1</v>
      </c>
      <c r="D93" s="7">
        <v>23.7</v>
      </c>
      <c r="E93" s="1">
        <v>15.228</v>
      </c>
      <c r="F93" s="6">
        <f t="shared" si="28"/>
        <v>15.563435776201731</v>
      </c>
      <c r="G93" s="7">
        <v>2.82</v>
      </c>
      <c r="H93" s="8">
        <v>9.2599999999999991E-3</v>
      </c>
      <c r="I93" s="9">
        <f t="shared" si="21"/>
        <v>29.590099124688248</v>
      </c>
      <c r="J93" s="7">
        <v>4.5</v>
      </c>
      <c r="K93" s="7">
        <v>14.72</v>
      </c>
      <c r="L93" s="10">
        <f t="shared" si="22"/>
        <v>-0.70295345228869743</v>
      </c>
      <c r="M93" s="12"/>
      <c r="N93" s="11">
        <f t="shared" si="29"/>
        <v>-18.774377166156981</v>
      </c>
    </row>
    <row r="94" spans="1:14" x14ac:dyDescent="0.3">
      <c r="A94">
        <v>0.6</v>
      </c>
      <c r="B94">
        <v>30</v>
      </c>
      <c r="C94">
        <v>2</v>
      </c>
      <c r="D94" s="3">
        <v>3.3</v>
      </c>
      <c r="E94" s="1">
        <v>15.228</v>
      </c>
      <c r="F94" s="6">
        <f>(D94*10^-3)/(E94*10^-4)</f>
        <v>2.1670606776989754</v>
      </c>
      <c r="G94" s="7">
        <v>2.82</v>
      </c>
      <c r="H94" s="8">
        <v>4.6299999999999996E-3</v>
      </c>
      <c r="I94" s="9">
        <f t="shared" si="21"/>
        <v>4.1201403844502629</v>
      </c>
      <c r="J94" s="7">
        <v>3</v>
      </c>
      <c r="K94" s="7">
        <v>0</v>
      </c>
      <c r="L94" s="10">
        <f t="shared" si="22"/>
        <v>42.179963682739846</v>
      </c>
      <c r="M94" s="12"/>
      <c r="N94" s="11">
        <f>-(1.7*K94^2)/19.62</f>
        <v>0</v>
      </c>
    </row>
    <row r="95" spans="1:14" x14ac:dyDescent="0.3">
      <c r="A95">
        <v>0.6</v>
      </c>
      <c r="B95">
        <v>30</v>
      </c>
      <c r="C95">
        <v>2</v>
      </c>
      <c r="D95" s="3">
        <v>6.6</v>
      </c>
      <c r="E95" s="1">
        <v>15.228</v>
      </c>
      <c r="F95" s="6">
        <f t="shared" ref="F95:F100" si="30">(D95*10^-3)/(E95*10^-4)</f>
        <v>4.3341213553979507</v>
      </c>
      <c r="G95" s="7">
        <v>2.82</v>
      </c>
      <c r="H95" s="8">
        <v>4.6299999999999996E-3</v>
      </c>
      <c r="I95" s="9">
        <f t="shared" si="21"/>
        <v>8.2402807689005257</v>
      </c>
      <c r="J95" s="7">
        <v>4.5</v>
      </c>
      <c r="K95" s="7">
        <v>2.72</v>
      </c>
      <c r="L95" s="10">
        <f t="shared" si="22"/>
        <v>9.8754384843847944</v>
      </c>
      <c r="M95" s="12"/>
      <c r="N95" s="11">
        <f t="shared" ref="N95:N100" si="31">-(1.7*K95^2)/19.62</f>
        <v>-0.64104383282364941</v>
      </c>
    </row>
    <row r="96" spans="1:14" x14ac:dyDescent="0.3">
      <c r="A96">
        <v>0.6</v>
      </c>
      <c r="B96">
        <v>30</v>
      </c>
      <c r="C96">
        <v>2</v>
      </c>
      <c r="D96" s="3">
        <v>9.9</v>
      </c>
      <c r="E96" s="1">
        <v>15.228</v>
      </c>
      <c r="F96" s="6">
        <f t="shared" si="30"/>
        <v>6.501182033096927</v>
      </c>
      <c r="G96" s="7">
        <v>2.82</v>
      </c>
      <c r="H96" s="8">
        <v>4.6299999999999996E-3</v>
      </c>
      <c r="I96" s="9">
        <f t="shared" si="21"/>
        <v>12.36042115335079</v>
      </c>
      <c r="J96" s="7">
        <v>4.5</v>
      </c>
      <c r="K96" s="7">
        <v>6.99</v>
      </c>
      <c r="L96" s="10">
        <f t="shared" si="22"/>
        <v>2.7214089433586772</v>
      </c>
      <c r="M96" s="12"/>
      <c r="N96" s="11">
        <f t="shared" si="31"/>
        <v>-4.2335458715596337</v>
      </c>
    </row>
    <row r="97" spans="1:14" x14ac:dyDescent="0.3">
      <c r="A97">
        <v>0.6</v>
      </c>
      <c r="B97">
        <v>30</v>
      </c>
      <c r="C97">
        <v>2</v>
      </c>
      <c r="D97" s="3">
        <v>13.2</v>
      </c>
      <c r="E97" s="1">
        <v>15.228</v>
      </c>
      <c r="F97" s="6">
        <f t="shared" si="30"/>
        <v>8.6682427107959015</v>
      </c>
      <c r="G97" s="7">
        <v>2.82</v>
      </c>
      <c r="H97" s="8">
        <v>4.6299999999999996E-3</v>
      </c>
      <c r="I97" s="9">
        <f t="shared" si="21"/>
        <v>16.480561537801051</v>
      </c>
      <c r="J97" s="7">
        <v>4.5</v>
      </c>
      <c r="K97" s="7">
        <v>11.98</v>
      </c>
      <c r="L97" s="10">
        <f t="shared" si="22"/>
        <v>-0.61088791668396736</v>
      </c>
      <c r="M97" s="12"/>
      <c r="N97" s="11">
        <f t="shared" si="31"/>
        <v>-12.435508664627932</v>
      </c>
    </row>
    <row r="98" spans="1:14" x14ac:dyDescent="0.3">
      <c r="A98">
        <v>0.6</v>
      </c>
      <c r="B98">
        <v>30</v>
      </c>
      <c r="C98">
        <v>2</v>
      </c>
      <c r="D98" s="3">
        <v>16.5</v>
      </c>
      <c r="E98" s="1">
        <v>15.228</v>
      </c>
      <c r="F98" s="6">
        <f t="shared" si="30"/>
        <v>10.835303388494877</v>
      </c>
      <c r="G98" s="7">
        <v>2.82</v>
      </c>
      <c r="H98" s="8">
        <v>4.6299999999999996E-3</v>
      </c>
      <c r="I98" s="9">
        <f t="shared" si="21"/>
        <v>20.600701922251314</v>
      </c>
      <c r="J98" s="7">
        <v>4.5</v>
      </c>
      <c r="K98" s="7">
        <v>16.48</v>
      </c>
      <c r="L98" s="10">
        <f t="shared" si="22"/>
        <v>-2.2454142121137717</v>
      </c>
      <c r="M98" s="12"/>
      <c r="N98" s="11">
        <f t="shared" si="31"/>
        <v>-23.532297655453615</v>
      </c>
    </row>
    <row r="99" spans="1:14" x14ac:dyDescent="0.3">
      <c r="A99">
        <v>0.6</v>
      </c>
      <c r="B99">
        <v>30</v>
      </c>
      <c r="C99">
        <v>2</v>
      </c>
      <c r="D99" s="3">
        <v>19.8</v>
      </c>
      <c r="E99" s="1">
        <v>15.228</v>
      </c>
      <c r="F99" s="6">
        <f t="shared" si="30"/>
        <v>13.002364066193854</v>
      </c>
      <c r="G99" s="7">
        <v>2.82</v>
      </c>
      <c r="H99" s="8">
        <v>4.6299999999999996E-3</v>
      </c>
      <c r="I99" s="9">
        <f t="shared" si="21"/>
        <v>24.720842306701581</v>
      </c>
      <c r="J99" s="7">
        <v>4.5</v>
      </c>
      <c r="K99" s="7">
        <v>21.46</v>
      </c>
      <c r="L99" s="10">
        <f t="shared" si="22"/>
        <v>-3.4592163162247935</v>
      </c>
      <c r="M99" s="12"/>
      <c r="N99" s="11">
        <f t="shared" si="31"/>
        <v>-39.903349643221205</v>
      </c>
    </row>
    <row r="100" spans="1:14" x14ac:dyDescent="0.3">
      <c r="A100">
        <v>0.6</v>
      </c>
      <c r="B100">
        <v>30</v>
      </c>
      <c r="C100">
        <v>2</v>
      </c>
      <c r="D100" s="7">
        <v>23.6</v>
      </c>
      <c r="E100" s="1">
        <v>15.228</v>
      </c>
      <c r="F100" s="6">
        <f t="shared" si="30"/>
        <v>15.497767270816917</v>
      </c>
      <c r="G100" s="7">
        <v>2.82</v>
      </c>
      <c r="H100" s="8">
        <v>4.6299999999999996E-3</v>
      </c>
      <c r="I100" s="9">
        <f t="shared" si="21"/>
        <v>29.465246385765521</v>
      </c>
      <c r="J100" s="7">
        <v>4.5</v>
      </c>
      <c r="K100" s="7">
        <v>24.39</v>
      </c>
      <c r="L100" s="10">
        <f t="shared" si="22"/>
        <v>-3.3857788906100117</v>
      </c>
      <c r="M100" s="12"/>
      <c r="N100" s="11">
        <f t="shared" si="31"/>
        <v>-51.543454128440366</v>
      </c>
    </row>
    <row r="101" spans="1:14" x14ac:dyDescent="0.3">
      <c r="A101">
        <v>0.6</v>
      </c>
      <c r="B101">
        <v>30</v>
      </c>
      <c r="C101">
        <v>4</v>
      </c>
      <c r="D101" s="3">
        <v>3.3</v>
      </c>
      <c r="E101" s="1">
        <v>15.228</v>
      </c>
      <c r="F101" s="6">
        <f>(D101*10^-3)/(E101*10^-4)</f>
        <v>2.1670606776989754</v>
      </c>
      <c r="G101" s="7">
        <v>2.82</v>
      </c>
      <c r="H101" s="8">
        <v>2.3149999999999998E-3</v>
      </c>
      <c r="I101" s="9">
        <f t="shared" si="21"/>
        <v>4.1201403844502629</v>
      </c>
      <c r="J101" s="7">
        <v>3</v>
      </c>
      <c r="K101" s="7">
        <v>0</v>
      </c>
      <c r="L101" s="10">
        <f t="shared" si="22"/>
        <v>42.179963682739846</v>
      </c>
      <c r="M101" s="12"/>
      <c r="N101" s="11">
        <f>-(1.7*K101^2)/19.62</f>
        <v>0</v>
      </c>
    </row>
    <row r="102" spans="1:14" x14ac:dyDescent="0.3">
      <c r="A102">
        <v>0.6</v>
      </c>
      <c r="B102">
        <v>30</v>
      </c>
      <c r="C102">
        <v>4</v>
      </c>
      <c r="D102" s="3">
        <v>6.6</v>
      </c>
      <c r="E102" s="1">
        <v>15.228</v>
      </c>
      <c r="F102" s="6">
        <f t="shared" ref="F102:F107" si="32">(D102*10^-3)/(E102*10^-4)</f>
        <v>4.3341213553979507</v>
      </c>
      <c r="G102" s="7">
        <v>2.82</v>
      </c>
      <c r="H102" s="8">
        <v>2.3149999999999998E-3</v>
      </c>
      <c r="I102" s="9">
        <f t="shared" si="21"/>
        <v>8.2402807689005257</v>
      </c>
      <c r="J102" s="7">
        <v>4.5</v>
      </c>
      <c r="K102" s="7">
        <v>2.78</v>
      </c>
      <c r="L102" s="10">
        <f t="shared" si="22"/>
        <v>9.8455736076575224</v>
      </c>
      <c r="M102" s="12"/>
      <c r="N102" s="11">
        <f t="shared" ref="N102:N107" si="33">-(1.7*K102^2)/19.62</f>
        <v>-0.66963710499490303</v>
      </c>
    </row>
    <row r="103" spans="1:14" x14ac:dyDescent="0.3">
      <c r="A103">
        <v>0.6</v>
      </c>
      <c r="B103">
        <v>30</v>
      </c>
      <c r="C103">
        <v>4</v>
      </c>
      <c r="D103" s="3">
        <v>9.9</v>
      </c>
      <c r="E103" s="1">
        <v>15.228</v>
      </c>
      <c r="F103" s="6">
        <f t="shared" si="32"/>
        <v>6.501182033096927</v>
      </c>
      <c r="G103" s="7">
        <v>2.82</v>
      </c>
      <c r="H103" s="8">
        <v>2.3149999999999998E-3</v>
      </c>
      <c r="I103" s="9">
        <f t="shared" si="21"/>
        <v>12.36042115335079</v>
      </c>
      <c r="J103" s="7">
        <v>4.5</v>
      </c>
      <c r="K103" s="7">
        <v>6.04</v>
      </c>
      <c r="L103" s="10">
        <f t="shared" si="22"/>
        <v>3.2192976660099171</v>
      </c>
      <c r="M103" s="12"/>
      <c r="N103" s="11">
        <f t="shared" si="33"/>
        <v>-3.1609949031600406</v>
      </c>
    </row>
    <row r="104" spans="1:14" x14ac:dyDescent="0.3">
      <c r="A104">
        <v>0.6</v>
      </c>
      <c r="B104">
        <v>30</v>
      </c>
      <c r="C104">
        <v>4</v>
      </c>
      <c r="D104" s="3">
        <v>13.2</v>
      </c>
      <c r="E104" s="1">
        <v>15.228</v>
      </c>
      <c r="F104" s="6">
        <f t="shared" si="32"/>
        <v>8.6682427107959015</v>
      </c>
      <c r="G104" s="7">
        <v>2.82</v>
      </c>
      <c r="H104" s="8">
        <v>2.3149999999999998E-3</v>
      </c>
      <c r="I104" s="9">
        <f t="shared" si="21"/>
        <v>16.480561537801051</v>
      </c>
      <c r="J104" s="7">
        <v>4.5</v>
      </c>
      <c r="K104" s="7">
        <v>9.23</v>
      </c>
      <c r="L104" s="10">
        <f t="shared" si="22"/>
        <v>0.70876632370239689</v>
      </c>
      <c r="M104" s="12"/>
      <c r="N104" s="11">
        <f t="shared" si="33"/>
        <v>-7.3816478083588173</v>
      </c>
    </row>
    <row r="105" spans="1:14" x14ac:dyDescent="0.3">
      <c r="A105">
        <v>0.6</v>
      </c>
      <c r="B105">
        <v>30</v>
      </c>
      <c r="C105">
        <v>4</v>
      </c>
      <c r="D105" s="3">
        <v>16.5</v>
      </c>
      <c r="E105" s="1">
        <v>15.228</v>
      </c>
      <c r="F105" s="6">
        <f t="shared" si="32"/>
        <v>10.835303388494877</v>
      </c>
      <c r="G105" s="7">
        <v>2.82</v>
      </c>
      <c r="H105" s="8">
        <v>2.3149999999999998E-3</v>
      </c>
      <c r="I105" s="9">
        <f t="shared" si="21"/>
        <v>20.600701922251314</v>
      </c>
      <c r="J105" s="7">
        <v>4.5</v>
      </c>
      <c r="K105" s="7">
        <v>11.73</v>
      </c>
      <c r="L105" s="10">
        <f t="shared" si="22"/>
        <v>-0.30513842095608601</v>
      </c>
      <c r="M105" s="12"/>
      <c r="N105" s="11">
        <f t="shared" si="33"/>
        <v>-11.921912844036697</v>
      </c>
    </row>
    <row r="106" spans="1:14" x14ac:dyDescent="0.3">
      <c r="A106">
        <v>0.6</v>
      </c>
      <c r="B106">
        <v>30</v>
      </c>
      <c r="C106">
        <v>4</v>
      </c>
      <c r="D106" s="3">
        <v>19.8</v>
      </c>
      <c r="E106" s="1">
        <v>15.228</v>
      </c>
      <c r="F106" s="6">
        <f t="shared" si="32"/>
        <v>13.002364066193854</v>
      </c>
      <c r="G106" s="7">
        <v>2.82</v>
      </c>
      <c r="H106" s="8">
        <v>2.3149999999999998E-3</v>
      </c>
      <c r="I106" s="9">
        <f t="shared" si="21"/>
        <v>24.720842306701581</v>
      </c>
      <c r="J106" s="7">
        <v>4.5</v>
      </c>
      <c r="K106" s="7">
        <v>15.48</v>
      </c>
      <c r="L106" s="10">
        <f t="shared" si="22"/>
        <v>-1.237941196054215</v>
      </c>
      <c r="M106" s="12"/>
      <c r="N106" s="11">
        <f t="shared" si="33"/>
        <v>-20.763082568807341</v>
      </c>
    </row>
    <row r="107" spans="1:14" x14ac:dyDescent="0.3">
      <c r="A107">
        <v>0.6</v>
      </c>
      <c r="B107">
        <v>30</v>
      </c>
      <c r="C107">
        <v>4</v>
      </c>
      <c r="D107" s="7">
        <v>23.7</v>
      </c>
      <c r="E107" s="1">
        <v>15.228</v>
      </c>
      <c r="F107" s="6">
        <f t="shared" si="32"/>
        <v>15.563435776201731</v>
      </c>
      <c r="G107" s="7">
        <v>2.82</v>
      </c>
      <c r="H107" s="8">
        <v>2.3149999999999998E-3</v>
      </c>
      <c r="I107" s="9">
        <f t="shared" si="21"/>
        <v>29.590099124688248</v>
      </c>
      <c r="J107" s="7">
        <v>4.5</v>
      </c>
      <c r="K107" s="7">
        <v>19.559999999999999</v>
      </c>
      <c r="L107" s="10">
        <f t="shared" si="22"/>
        <v>-1.8674122878810444</v>
      </c>
      <c r="M107" s="12"/>
      <c r="N107" s="11">
        <f t="shared" si="33"/>
        <v>-33.15031192660549</v>
      </c>
    </row>
    <row r="108" spans="1:14" x14ac:dyDescent="0.3">
      <c r="A108">
        <v>0.6</v>
      </c>
      <c r="B108">
        <v>30</v>
      </c>
      <c r="C108">
        <v>6</v>
      </c>
      <c r="D108" s="3">
        <v>3.3</v>
      </c>
      <c r="E108" s="1">
        <v>15.228</v>
      </c>
      <c r="F108" s="6">
        <f>(D108*10^-3)/(E108*10^-4)</f>
        <v>2.1670606776989754</v>
      </c>
      <c r="G108" s="7">
        <v>2.82</v>
      </c>
      <c r="H108" s="8">
        <v>1.5433300000000001E-3</v>
      </c>
      <c r="I108" s="9">
        <f t="shared" si="21"/>
        <v>4.1201403844502629</v>
      </c>
      <c r="J108" s="7">
        <v>3</v>
      </c>
      <c r="K108" s="7">
        <v>0</v>
      </c>
      <c r="L108" s="10">
        <f t="shared" si="22"/>
        <v>42.179963682739846</v>
      </c>
      <c r="M108" s="12"/>
      <c r="N108" s="11">
        <f>-(1.7*K108^2)/19.62</f>
        <v>0</v>
      </c>
    </row>
    <row r="109" spans="1:14" x14ac:dyDescent="0.3">
      <c r="A109">
        <v>0.6</v>
      </c>
      <c r="B109">
        <v>30</v>
      </c>
      <c r="C109">
        <v>6</v>
      </c>
      <c r="D109" s="3">
        <v>6.6</v>
      </c>
      <c r="E109" s="1">
        <v>15.228</v>
      </c>
      <c r="F109" s="6">
        <f t="shared" ref="F109:F114" si="34">(D109*10^-3)/(E109*10^-4)</f>
        <v>4.3341213553979507</v>
      </c>
      <c r="G109" s="7">
        <v>2.82</v>
      </c>
      <c r="H109" s="8">
        <v>1.5433300000000001E-3</v>
      </c>
      <c r="I109" s="9">
        <f t="shared" si="21"/>
        <v>8.2402807689005257</v>
      </c>
      <c r="J109" s="7">
        <v>4.5</v>
      </c>
      <c r="K109" s="7">
        <v>1.68</v>
      </c>
      <c r="L109" s="10">
        <f t="shared" si="22"/>
        <v>10.289564775002978</v>
      </c>
      <c r="M109" s="12"/>
      <c r="N109" s="11">
        <f t="shared" ref="N109:N114" si="35">-(1.7*K109^2)/19.62</f>
        <v>-0.24455045871559625</v>
      </c>
    </row>
    <row r="110" spans="1:14" x14ac:dyDescent="0.3">
      <c r="A110">
        <v>0.6</v>
      </c>
      <c r="B110">
        <v>30</v>
      </c>
      <c r="C110">
        <v>6</v>
      </c>
      <c r="D110" s="3">
        <v>9.9</v>
      </c>
      <c r="E110" s="1">
        <v>15.228</v>
      </c>
      <c r="F110" s="6">
        <f t="shared" si="34"/>
        <v>6.501182033096927</v>
      </c>
      <c r="G110" s="7">
        <v>2.82</v>
      </c>
      <c r="H110" s="8">
        <v>1.5433300000000001E-3</v>
      </c>
      <c r="I110" s="9">
        <f t="shared" si="21"/>
        <v>12.36042115335079</v>
      </c>
      <c r="J110" s="7">
        <v>4.5</v>
      </c>
      <c r="K110" s="7">
        <v>4.12</v>
      </c>
      <c r="L110" s="10">
        <f t="shared" si="22"/>
        <v>4.0039173606823137</v>
      </c>
      <c r="M110" s="12"/>
      <c r="N110" s="11">
        <f t="shared" si="35"/>
        <v>-1.4707686034658509</v>
      </c>
    </row>
    <row r="111" spans="1:14" x14ac:dyDescent="0.3">
      <c r="A111">
        <v>0.6</v>
      </c>
      <c r="B111">
        <v>30</v>
      </c>
      <c r="C111">
        <v>6</v>
      </c>
      <c r="D111" s="3">
        <v>13.2</v>
      </c>
      <c r="E111" s="1">
        <v>15.228</v>
      </c>
      <c r="F111" s="6">
        <f t="shared" si="34"/>
        <v>8.6682427107959015</v>
      </c>
      <c r="G111" s="7">
        <v>2.82</v>
      </c>
      <c r="H111" s="8">
        <v>1.5433300000000001E-3</v>
      </c>
      <c r="I111" s="9">
        <f t="shared" si="21"/>
        <v>16.480561537801051</v>
      </c>
      <c r="J111" s="7">
        <v>4.5</v>
      </c>
      <c r="K111" s="7">
        <v>7.63</v>
      </c>
      <c r="L111" s="10">
        <f t="shared" si="22"/>
        <v>1.3190958044561161</v>
      </c>
      <c r="M111" s="12"/>
      <c r="N111" s="11">
        <f t="shared" si="35"/>
        <v>-5.0442777777777774</v>
      </c>
    </row>
    <row r="112" spans="1:14" x14ac:dyDescent="0.3">
      <c r="A112">
        <v>0.6</v>
      </c>
      <c r="B112">
        <v>30</v>
      </c>
      <c r="C112">
        <v>6</v>
      </c>
      <c r="D112" s="3">
        <v>16.5</v>
      </c>
      <c r="E112" s="1">
        <v>15.228</v>
      </c>
      <c r="F112" s="6">
        <f t="shared" si="34"/>
        <v>10.835303388494877</v>
      </c>
      <c r="G112" s="7">
        <v>2.82</v>
      </c>
      <c r="H112" s="8">
        <v>1.5433300000000001E-3</v>
      </c>
      <c r="I112" s="9">
        <f t="shared" si="21"/>
        <v>20.600701922251314</v>
      </c>
      <c r="J112" s="7">
        <v>4.5</v>
      </c>
      <c r="K112" s="7">
        <v>9.85</v>
      </c>
      <c r="L112" s="10">
        <f t="shared" si="22"/>
        <v>0.2823185462081062</v>
      </c>
      <c r="M112" s="12"/>
      <c r="N112" s="11">
        <f t="shared" si="35"/>
        <v>-8.4066386340468888</v>
      </c>
    </row>
    <row r="113" spans="1:14" x14ac:dyDescent="0.3">
      <c r="A113">
        <v>0.6</v>
      </c>
      <c r="B113">
        <v>30</v>
      </c>
      <c r="C113">
        <v>6</v>
      </c>
      <c r="D113" s="3">
        <v>19.8</v>
      </c>
      <c r="E113" s="1">
        <v>15.228</v>
      </c>
      <c r="F113" s="6">
        <f t="shared" si="34"/>
        <v>13.002364066193854</v>
      </c>
      <c r="G113" s="7">
        <v>2.82</v>
      </c>
      <c r="H113" s="8">
        <v>1.5433300000000001E-3</v>
      </c>
      <c r="I113" s="9">
        <f t="shared" si="21"/>
        <v>24.720842306701581</v>
      </c>
      <c r="J113" s="7">
        <v>4.5</v>
      </c>
      <c r="K113" s="7">
        <v>11.28</v>
      </c>
      <c r="L113" s="10">
        <f t="shared" si="22"/>
        <v>-0.10778186099305764</v>
      </c>
      <c r="M113" s="12"/>
      <c r="N113" s="11">
        <f t="shared" si="35"/>
        <v>-11.024733944954127</v>
      </c>
    </row>
    <row r="114" spans="1:14" x14ac:dyDescent="0.3">
      <c r="A114">
        <v>0.6</v>
      </c>
      <c r="B114">
        <v>30</v>
      </c>
      <c r="C114">
        <v>6</v>
      </c>
      <c r="D114" s="7">
        <v>23.3</v>
      </c>
      <c r="E114" s="1">
        <v>15.228</v>
      </c>
      <c r="F114" s="6">
        <f t="shared" si="34"/>
        <v>15.300761754662464</v>
      </c>
      <c r="G114" s="7">
        <v>2.82</v>
      </c>
      <c r="H114" s="8">
        <v>1.5433300000000001E-3</v>
      </c>
      <c r="I114" s="9">
        <f t="shared" si="21"/>
        <v>29.090688168997314</v>
      </c>
      <c r="J114" s="7">
        <v>4.5</v>
      </c>
      <c r="K114" s="7">
        <v>13.4</v>
      </c>
      <c r="L114" s="10">
        <f t="shared" si="22"/>
        <v>-0.45776329365920027</v>
      </c>
      <c r="M114" s="12"/>
      <c r="N114" s="11">
        <f t="shared" si="35"/>
        <v>-15.558205912334353</v>
      </c>
    </row>
    <row r="115" spans="1:14" x14ac:dyDescent="0.3">
      <c r="A115">
        <v>0.6</v>
      </c>
      <c r="B115">
        <v>40</v>
      </c>
      <c r="C115">
        <v>1</v>
      </c>
      <c r="D115" s="3">
        <v>3.9</v>
      </c>
      <c r="E115" s="1">
        <v>20.303999999999998</v>
      </c>
      <c r="F115" s="6">
        <f>(D115*10^-3)/(E115*10^-4)</f>
        <v>1.9208037825059101</v>
      </c>
      <c r="G115" s="7">
        <v>3.76</v>
      </c>
      <c r="H115" s="8">
        <v>9.2599999999999991E-3</v>
      </c>
      <c r="I115" s="9">
        <f t="shared" si="21"/>
        <v>3.1626750764452809</v>
      </c>
      <c r="J115" s="7">
        <v>3</v>
      </c>
      <c r="K115" s="7">
        <v>0</v>
      </c>
      <c r="L115" s="10">
        <f t="shared" si="22"/>
        <v>53.688632274677403</v>
      </c>
      <c r="M115" s="12"/>
      <c r="N115" s="11">
        <f>-(1.7*K115^2)/19.62</f>
        <v>0</v>
      </c>
    </row>
    <row r="116" spans="1:14" x14ac:dyDescent="0.3">
      <c r="A116">
        <v>0.6</v>
      </c>
      <c r="B116">
        <v>40</v>
      </c>
      <c r="C116">
        <v>1</v>
      </c>
      <c r="D116" s="3">
        <v>7.8</v>
      </c>
      <c r="E116" s="1">
        <v>20.303999999999998</v>
      </c>
      <c r="F116" s="6">
        <f t="shared" ref="F116:F121" si="36">(D116*10^-3)/(E116*10^-4)</f>
        <v>3.8416075650118202</v>
      </c>
      <c r="G116" s="7">
        <v>3.76</v>
      </c>
      <c r="H116" s="8">
        <v>9.2599999999999991E-3</v>
      </c>
      <c r="I116" s="9">
        <f t="shared" si="21"/>
        <v>6.3253501528905618</v>
      </c>
      <c r="J116" s="7">
        <v>3</v>
      </c>
      <c r="K116" s="7">
        <v>1.34</v>
      </c>
      <c r="L116" s="10">
        <f t="shared" si="22"/>
        <v>13.215319024473374</v>
      </c>
      <c r="M116" s="12"/>
      <c r="N116" s="11">
        <f t="shared" ref="N116:N121" si="37">-(1.7*K116^2)/19.62</f>
        <v>-0.15558205912334352</v>
      </c>
    </row>
    <row r="117" spans="1:14" x14ac:dyDescent="0.3">
      <c r="A117">
        <v>0.6</v>
      </c>
      <c r="B117">
        <v>40</v>
      </c>
      <c r="C117">
        <v>1</v>
      </c>
      <c r="D117" s="3">
        <v>11.7</v>
      </c>
      <c r="E117" s="1">
        <v>20.303999999999998</v>
      </c>
      <c r="F117" s="6">
        <f t="shared" si="36"/>
        <v>5.7624113475177312</v>
      </c>
      <c r="G117" s="7">
        <v>3.76</v>
      </c>
      <c r="H117" s="8">
        <v>9.2599999999999991E-3</v>
      </c>
      <c r="I117" s="9">
        <f t="shared" si="21"/>
        <v>9.4880252293358431</v>
      </c>
      <c r="J117" s="7">
        <v>4.5</v>
      </c>
      <c r="K117" s="7">
        <v>2.67</v>
      </c>
      <c r="L117" s="10">
        <f t="shared" si="22"/>
        <v>5.6004287433315971</v>
      </c>
      <c r="M117" s="12"/>
      <c r="N117" s="11">
        <f t="shared" si="37"/>
        <v>-0.61769266055045868</v>
      </c>
    </row>
    <row r="118" spans="1:14" x14ac:dyDescent="0.3">
      <c r="A118">
        <v>0.6</v>
      </c>
      <c r="B118">
        <v>40</v>
      </c>
      <c r="C118">
        <v>1</v>
      </c>
      <c r="D118" s="3">
        <v>15.6</v>
      </c>
      <c r="E118" s="1">
        <v>20.303999999999998</v>
      </c>
      <c r="F118" s="6">
        <f t="shared" si="36"/>
        <v>7.6832151300236404</v>
      </c>
      <c r="G118" s="7">
        <v>3.76</v>
      </c>
      <c r="H118" s="8">
        <v>9.2599999999999991E-3</v>
      </c>
      <c r="I118" s="9">
        <f t="shared" si="21"/>
        <v>12.650700305781124</v>
      </c>
      <c r="J118" s="7">
        <v>4.5</v>
      </c>
      <c r="K118" s="7">
        <v>4.29</v>
      </c>
      <c r="L118" s="10">
        <f t="shared" si="22"/>
        <v>2.8255375048473375</v>
      </c>
      <c r="M118" s="12"/>
      <c r="N118" s="11">
        <f t="shared" si="37"/>
        <v>-1.5946467889908256</v>
      </c>
    </row>
    <row r="119" spans="1:14" x14ac:dyDescent="0.3">
      <c r="A119">
        <v>0.6</v>
      </c>
      <c r="B119">
        <v>40</v>
      </c>
      <c r="C119">
        <v>1</v>
      </c>
      <c r="D119" s="3">
        <v>19.5</v>
      </c>
      <c r="E119" s="1">
        <v>20.303999999999998</v>
      </c>
      <c r="F119" s="6">
        <f t="shared" si="36"/>
        <v>9.6040189125295505</v>
      </c>
      <c r="G119" s="7">
        <v>3.76</v>
      </c>
      <c r="H119" s="8">
        <v>9.2599999999999991E-3</v>
      </c>
      <c r="I119" s="9">
        <f t="shared" si="21"/>
        <v>15.813375382226404</v>
      </c>
      <c r="J119" s="7">
        <v>4.5</v>
      </c>
      <c r="K119" s="7">
        <v>5.98</v>
      </c>
      <c r="L119" s="10">
        <f t="shared" si="22"/>
        <v>1.4884544506158961</v>
      </c>
      <c r="M119" s="12"/>
      <c r="N119" s="11">
        <f t="shared" si="37"/>
        <v>-3.0985056065239553</v>
      </c>
    </row>
    <row r="120" spans="1:14" x14ac:dyDescent="0.3">
      <c r="A120">
        <v>0.6</v>
      </c>
      <c r="B120">
        <v>40</v>
      </c>
      <c r="C120">
        <v>1</v>
      </c>
      <c r="D120" s="3">
        <v>23.4</v>
      </c>
      <c r="E120" s="1">
        <v>20.303999999999998</v>
      </c>
      <c r="F120" s="6">
        <f t="shared" si="36"/>
        <v>11.524822695035462</v>
      </c>
      <c r="G120" s="7">
        <v>3.76</v>
      </c>
      <c r="H120" s="8">
        <v>9.2599999999999991E-3</v>
      </c>
      <c r="I120" s="9">
        <f t="shared" si="21"/>
        <v>18.976050458671686</v>
      </c>
      <c r="J120" s="7">
        <v>4.5</v>
      </c>
      <c r="K120" s="7">
        <v>9.31</v>
      </c>
      <c r="L120" s="10">
        <f t="shared" si="22"/>
        <v>0.38197231191479297</v>
      </c>
      <c r="M120" s="12"/>
      <c r="N120" s="11">
        <f t="shared" si="37"/>
        <v>-7.5101615698267068</v>
      </c>
    </row>
    <row r="121" spans="1:14" x14ac:dyDescent="0.3">
      <c r="A121">
        <v>0.6</v>
      </c>
      <c r="B121">
        <v>40</v>
      </c>
      <c r="C121">
        <v>1</v>
      </c>
      <c r="D121" s="7">
        <v>27.7</v>
      </c>
      <c r="E121" s="1">
        <v>20.303999999999998</v>
      </c>
      <c r="F121" s="6">
        <f t="shared" si="36"/>
        <v>13.642631993695824</v>
      </c>
      <c r="G121" s="7">
        <v>3.76</v>
      </c>
      <c r="H121" s="8">
        <v>9.2599999999999991E-3</v>
      </c>
      <c r="I121" s="9">
        <f t="shared" si="21"/>
        <v>22.463102466034432</v>
      </c>
      <c r="J121" s="7">
        <v>4.5</v>
      </c>
      <c r="K121" s="7">
        <v>12.31</v>
      </c>
      <c r="L121" s="10">
        <f t="shared" si="22"/>
        <v>-0.31983343953114995</v>
      </c>
      <c r="M121" s="12"/>
      <c r="N121" s="11">
        <f t="shared" si="37"/>
        <v>-13.130039245667687</v>
      </c>
    </row>
    <row r="122" spans="1:14" x14ac:dyDescent="0.3">
      <c r="A122">
        <v>0.6</v>
      </c>
      <c r="B122">
        <v>40</v>
      </c>
      <c r="C122">
        <v>2</v>
      </c>
      <c r="D122" s="3">
        <v>3.9</v>
      </c>
      <c r="E122" s="1">
        <v>20.303999999999998</v>
      </c>
      <c r="F122" s="6">
        <f>(D122*10^-3)/(E122*10^-4)</f>
        <v>1.9208037825059101</v>
      </c>
      <c r="G122" s="7">
        <v>3.76</v>
      </c>
      <c r="H122" s="8">
        <v>4.6299999999999996E-3</v>
      </c>
      <c r="I122" s="9">
        <f t="shared" si="21"/>
        <v>3.1626750764452809</v>
      </c>
      <c r="J122" s="7">
        <v>3</v>
      </c>
      <c r="K122" s="7">
        <v>0</v>
      </c>
      <c r="L122" s="10">
        <f t="shared" si="22"/>
        <v>53.688632274677403</v>
      </c>
      <c r="M122" s="12"/>
      <c r="N122" s="11">
        <f>-(1.7*K122^2)/19.62</f>
        <v>0</v>
      </c>
    </row>
    <row r="123" spans="1:14" x14ac:dyDescent="0.3">
      <c r="A123">
        <v>0.6</v>
      </c>
      <c r="B123">
        <v>40</v>
      </c>
      <c r="C123">
        <v>2</v>
      </c>
      <c r="D123" s="3">
        <v>7.8</v>
      </c>
      <c r="E123" s="1">
        <v>20.303999999999998</v>
      </c>
      <c r="F123" s="6">
        <f t="shared" ref="F123:F128" si="38">(D123*10^-3)/(E123*10^-4)</f>
        <v>3.8416075650118202</v>
      </c>
      <c r="G123" s="7">
        <v>3.76</v>
      </c>
      <c r="H123" s="8">
        <v>4.6299999999999996E-3</v>
      </c>
      <c r="I123" s="9">
        <f t="shared" si="21"/>
        <v>6.3253501528905618</v>
      </c>
      <c r="J123" s="7">
        <v>4.5</v>
      </c>
      <c r="K123" s="7">
        <v>1.68</v>
      </c>
      <c r="L123" s="10">
        <f t="shared" si="22"/>
        <v>13.097039713613256</v>
      </c>
      <c r="M123" s="12"/>
      <c r="N123" s="11">
        <f t="shared" ref="N123:N128" si="39">-(1.7*K123^2)/19.62</f>
        <v>-0.24455045871559625</v>
      </c>
    </row>
    <row r="124" spans="1:14" x14ac:dyDescent="0.3">
      <c r="A124">
        <v>0.6</v>
      </c>
      <c r="B124">
        <v>40</v>
      </c>
      <c r="C124">
        <v>2</v>
      </c>
      <c r="D124" s="3">
        <v>11.7</v>
      </c>
      <c r="E124" s="1">
        <v>20.303999999999998</v>
      </c>
      <c r="F124" s="6">
        <f t="shared" si="38"/>
        <v>5.7624113475177312</v>
      </c>
      <c r="G124" s="7">
        <v>3.76</v>
      </c>
      <c r="H124" s="8">
        <v>4.6299999999999996E-3</v>
      </c>
      <c r="I124" s="9">
        <f t="shared" si="21"/>
        <v>9.4880252293358431</v>
      </c>
      <c r="J124" s="7">
        <v>4.5</v>
      </c>
      <c r="K124" s="7">
        <v>3.22</v>
      </c>
      <c r="L124" s="10">
        <f t="shared" si="22"/>
        <v>5.4345776298262711</v>
      </c>
      <c r="M124" s="12"/>
      <c r="N124" s="11">
        <f t="shared" si="39"/>
        <v>-0.89838328236493381</v>
      </c>
    </row>
    <row r="125" spans="1:14" x14ac:dyDescent="0.3">
      <c r="A125">
        <v>0.6</v>
      </c>
      <c r="B125">
        <v>40</v>
      </c>
      <c r="C125">
        <v>2</v>
      </c>
      <c r="D125" s="3">
        <v>15.6</v>
      </c>
      <c r="E125" s="1">
        <v>20.303999999999998</v>
      </c>
      <c r="F125" s="6">
        <f t="shared" si="38"/>
        <v>7.6832151300236404</v>
      </c>
      <c r="G125" s="7">
        <v>3.76</v>
      </c>
      <c r="H125" s="8">
        <v>4.6299999999999996E-3</v>
      </c>
      <c r="I125" s="9">
        <f t="shared" si="21"/>
        <v>12.650700305781124</v>
      </c>
      <c r="J125" s="7">
        <v>4.5</v>
      </c>
      <c r="K125" s="7">
        <v>5.97</v>
      </c>
      <c r="L125" s="10">
        <f t="shared" si="22"/>
        <v>2.3291514448956216</v>
      </c>
      <c r="M125" s="12"/>
      <c r="N125" s="11">
        <f t="shared" si="39"/>
        <v>-3.0881513761467883</v>
      </c>
    </row>
    <row r="126" spans="1:14" x14ac:dyDescent="0.3">
      <c r="A126">
        <v>0.6</v>
      </c>
      <c r="B126">
        <v>40</v>
      </c>
      <c r="C126">
        <v>2</v>
      </c>
      <c r="D126" s="3">
        <v>19.5</v>
      </c>
      <c r="E126" s="1">
        <v>20.303999999999998</v>
      </c>
      <c r="F126" s="6">
        <f t="shared" si="38"/>
        <v>9.6040189125295505</v>
      </c>
      <c r="G126" s="7">
        <v>3.76</v>
      </c>
      <c r="H126" s="8">
        <v>4.6299999999999996E-3</v>
      </c>
      <c r="I126" s="9">
        <f t="shared" si="21"/>
        <v>15.813375382226404</v>
      </c>
      <c r="J126" s="7">
        <v>4.5</v>
      </c>
      <c r="K126" s="7">
        <v>9.34</v>
      </c>
      <c r="L126" s="10">
        <f t="shared" si="22"/>
        <v>0.53972812690934957</v>
      </c>
      <c r="M126" s="12"/>
      <c r="N126" s="11">
        <f t="shared" si="39"/>
        <v>-7.5586401630988771</v>
      </c>
    </row>
    <row r="127" spans="1:14" x14ac:dyDescent="0.3">
      <c r="A127">
        <v>0.6</v>
      </c>
      <c r="B127">
        <v>40</v>
      </c>
      <c r="C127">
        <v>2</v>
      </c>
      <c r="D127" s="3">
        <v>23.4</v>
      </c>
      <c r="E127" s="1">
        <v>20.303999999999998</v>
      </c>
      <c r="F127" s="6">
        <f t="shared" si="38"/>
        <v>11.524822695035462</v>
      </c>
      <c r="G127" s="7">
        <v>3.76</v>
      </c>
      <c r="H127" s="8">
        <v>4.6299999999999996E-3</v>
      </c>
      <c r="I127" s="9">
        <f t="shared" si="21"/>
        <v>18.976050458671686</v>
      </c>
      <c r="J127" s="7">
        <v>4.5</v>
      </c>
      <c r="K127" s="7">
        <v>12.61</v>
      </c>
      <c r="L127" s="10">
        <f t="shared" si="22"/>
        <v>-0.54386548300118309</v>
      </c>
      <c r="M127" s="12"/>
      <c r="N127" s="11">
        <f t="shared" si="39"/>
        <v>-13.777806829765543</v>
      </c>
    </row>
    <row r="128" spans="1:14" x14ac:dyDescent="0.3">
      <c r="A128">
        <v>0.6</v>
      </c>
      <c r="B128">
        <v>40</v>
      </c>
      <c r="C128">
        <v>2</v>
      </c>
      <c r="D128" s="7">
        <v>27.5</v>
      </c>
      <c r="E128" s="1">
        <v>20.303999999999998</v>
      </c>
      <c r="F128" s="6">
        <f t="shared" si="38"/>
        <v>13.544129235618598</v>
      </c>
      <c r="G128" s="7">
        <v>3.76</v>
      </c>
      <c r="H128" s="8">
        <v>4.6299999999999996E-3</v>
      </c>
      <c r="I128" s="9">
        <f t="shared" si="21"/>
        <v>22.300914000575702</v>
      </c>
      <c r="J128" s="7">
        <v>4.5</v>
      </c>
      <c r="K128" s="13">
        <v>15.67</v>
      </c>
      <c r="L128" s="10">
        <f t="shared" si="22"/>
        <v>-1.1957343030896892</v>
      </c>
      <c r="M128" s="12"/>
      <c r="N128" s="11">
        <f t="shared" si="39"/>
        <v>-21.27589857288481</v>
      </c>
    </row>
    <row r="129" spans="1:14" x14ac:dyDescent="0.3">
      <c r="A129">
        <v>0.6</v>
      </c>
      <c r="B129">
        <v>40</v>
      </c>
      <c r="C129">
        <v>4</v>
      </c>
      <c r="D129" s="3">
        <v>3.9</v>
      </c>
      <c r="E129" s="1">
        <v>20.303999999999998</v>
      </c>
      <c r="F129" s="6">
        <f>(D129*10^-3)/(E129*10^-4)</f>
        <v>1.9208037825059101</v>
      </c>
      <c r="G129" s="7">
        <v>3.76</v>
      </c>
      <c r="H129" s="8">
        <v>2.3149999999999998E-3</v>
      </c>
      <c r="I129" s="9">
        <f t="shared" si="21"/>
        <v>3.1626750764452809</v>
      </c>
      <c r="J129" s="7">
        <v>3</v>
      </c>
      <c r="K129" s="7">
        <v>0</v>
      </c>
      <c r="L129" s="10">
        <f t="shared" si="22"/>
        <v>53.688632274677403</v>
      </c>
      <c r="M129" s="12"/>
      <c r="N129" s="11">
        <f>-(1.7*K129^2)/19.62</f>
        <v>0</v>
      </c>
    </row>
    <row r="130" spans="1:14" x14ac:dyDescent="0.3">
      <c r="A130">
        <v>0.6</v>
      </c>
      <c r="B130">
        <v>40</v>
      </c>
      <c r="C130">
        <v>4</v>
      </c>
      <c r="D130" s="3">
        <v>7.8</v>
      </c>
      <c r="E130" s="1">
        <v>20.303999999999998</v>
      </c>
      <c r="F130" s="6">
        <f t="shared" ref="F130:F135" si="40">(D130*10^-3)/(E130*10^-4)</f>
        <v>3.8416075650118202</v>
      </c>
      <c r="G130" s="7">
        <v>3.76</v>
      </c>
      <c r="H130" s="8">
        <v>2.3149999999999998E-3</v>
      </c>
      <c r="I130" s="9">
        <f t="shared" si="21"/>
        <v>6.3253501528905618</v>
      </c>
      <c r="J130" s="7">
        <v>4.5</v>
      </c>
      <c r="K130" s="7">
        <v>1.75</v>
      </c>
      <c r="L130" s="10">
        <f t="shared" si="22"/>
        <v>13.069382075769942</v>
      </c>
      <c r="M130" s="12"/>
      <c r="N130" s="11">
        <f t="shared" ref="N130:N135" si="41">-(1.7*K130^2)/19.62</f>
        <v>-0.26535423037716616</v>
      </c>
    </row>
    <row r="131" spans="1:14" x14ac:dyDescent="0.3">
      <c r="A131">
        <v>0.6</v>
      </c>
      <c r="B131">
        <v>40</v>
      </c>
      <c r="C131">
        <v>4</v>
      </c>
      <c r="D131" s="3">
        <v>11.7</v>
      </c>
      <c r="E131" s="1">
        <v>20.303999999999998</v>
      </c>
      <c r="F131" s="6">
        <f t="shared" si="40"/>
        <v>5.7624113475177312</v>
      </c>
      <c r="G131" s="7">
        <v>3.76</v>
      </c>
      <c r="H131" s="8">
        <v>2.3149999999999998E-3</v>
      </c>
      <c r="I131" s="9">
        <f t="shared" ref="I131:I194" si="42">(F131)/((9.81*G131*10^-2))^(1/2)</f>
        <v>9.4880252293358431</v>
      </c>
      <c r="J131" s="7">
        <v>4.5</v>
      </c>
      <c r="K131" s="7">
        <v>3.55</v>
      </c>
      <c r="L131" s="10">
        <f t="shared" ref="L131:L194" si="43">(10.33+N131-0.234)/((F131^2)/19.62)</f>
        <v>5.3201994934835506</v>
      </c>
      <c r="M131" s="12"/>
      <c r="N131" s="11">
        <f t="shared" si="41"/>
        <v>-1.091959734964322</v>
      </c>
    </row>
    <row r="132" spans="1:14" x14ac:dyDescent="0.3">
      <c r="A132">
        <v>0.6</v>
      </c>
      <c r="B132">
        <v>40</v>
      </c>
      <c r="C132">
        <v>4</v>
      </c>
      <c r="D132" s="3">
        <v>15.6</v>
      </c>
      <c r="E132" s="1">
        <v>20.303999999999998</v>
      </c>
      <c r="F132" s="6">
        <f t="shared" si="40"/>
        <v>7.6832151300236404</v>
      </c>
      <c r="G132" s="7">
        <v>3.76</v>
      </c>
      <c r="H132" s="8">
        <v>2.3149999999999998E-3</v>
      </c>
      <c r="I132" s="9">
        <f t="shared" si="42"/>
        <v>12.650700305781124</v>
      </c>
      <c r="J132" s="7">
        <v>4.5</v>
      </c>
      <c r="K132" s="7">
        <v>5.82</v>
      </c>
      <c r="L132" s="10">
        <f t="shared" si="43"/>
        <v>2.3800807790542016</v>
      </c>
      <c r="M132" s="12"/>
      <c r="N132" s="11">
        <f t="shared" si="41"/>
        <v>-2.9349174311926607</v>
      </c>
    </row>
    <row r="133" spans="1:14" x14ac:dyDescent="0.3">
      <c r="A133">
        <v>0.6</v>
      </c>
      <c r="B133">
        <v>40</v>
      </c>
      <c r="C133">
        <v>4</v>
      </c>
      <c r="D133" s="3">
        <v>19.5</v>
      </c>
      <c r="E133" s="1">
        <v>20.303999999999998</v>
      </c>
      <c r="F133" s="6">
        <f t="shared" si="40"/>
        <v>9.6040189125295505</v>
      </c>
      <c r="G133" s="7">
        <v>3.76</v>
      </c>
      <c r="H133" s="8">
        <v>2.3149999999999998E-3</v>
      </c>
      <c r="I133" s="9">
        <f t="shared" si="42"/>
        <v>15.813375382226404</v>
      </c>
      <c r="J133" s="7">
        <v>4.5</v>
      </c>
      <c r="K133" s="7">
        <v>9.27</v>
      </c>
      <c r="L133" s="10">
        <f t="shared" si="43"/>
        <v>0.56373785939980148</v>
      </c>
      <c r="M133" s="12"/>
      <c r="N133" s="11">
        <f t="shared" si="41"/>
        <v>-7.4457660550458709</v>
      </c>
    </row>
    <row r="134" spans="1:14" x14ac:dyDescent="0.3">
      <c r="A134">
        <v>0.6</v>
      </c>
      <c r="B134">
        <v>40</v>
      </c>
      <c r="C134">
        <v>4</v>
      </c>
      <c r="D134" s="3">
        <v>23.4</v>
      </c>
      <c r="E134" s="1">
        <v>20.303999999999998</v>
      </c>
      <c r="F134" s="6">
        <f t="shared" si="40"/>
        <v>11.524822695035462</v>
      </c>
      <c r="G134" s="7">
        <v>3.76</v>
      </c>
      <c r="H134" s="8">
        <v>2.3149999999999998E-3</v>
      </c>
      <c r="I134" s="9">
        <f t="shared" si="42"/>
        <v>18.976050458671686</v>
      </c>
      <c r="J134" s="7">
        <v>4.5</v>
      </c>
      <c r="K134" s="7">
        <v>12.36</v>
      </c>
      <c r="L134" s="10">
        <f t="shared" si="43"/>
        <v>-0.4639669202556212</v>
      </c>
      <c r="M134" s="12"/>
      <c r="N134" s="11">
        <f t="shared" si="41"/>
        <v>-13.23691743119266</v>
      </c>
    </row>
    <row r="135" spans="1:14" x14ac:dyDescent="0.3">
      <c r="A135">
        <v>0.6</v>
      </c>
      <c r="B135">
        <v>40</v>
      </c>
      <c r="C135">
        <v>4</v>
      </c>
      <c r="D135" s="7">
        <v>27.6</v>
      </c>
      <c r="E135" s="1">
        <v>20.303999999999998</v>
      </c>
      <c r="F135" s="6">
        <f t="shared" si="40"/>
        <v>13.593380614657212</v>
      </c>
      <c r="G135" s="7">
        <v>3.76</v>
      </c>
      <c r="H135" s="8">
        <v>2.3149999999999998E-3</v>
      </c>
      <c r="I135" s="9">
        <f t="shared" si="42"/>
        <v>22.382008233305069</v>
      </c>
      <c r="J135" s="7">
        <v>4.5</v>
      </c>
      <c r="K135" s="7">
        <v>14.57</v>
      </c>
      <c r="L135" s="10">
        <f t="shared" si="43"/>
        <v>-0.88105213255168235</v>
      </c>
      <c r="M135" s="12"/>
      <c r="N135" s="11">
        <f t="shared" si="41"/>
        <v>-18.393696738022427</v>
      </c>
    </row>
    <row r="136" spans="1:14" x14ac:dyDescent="0.3">
      <c r="A136">
        <v>0.6</v>
      </c>
      <c r="B136">
        <v>40</v>
      </c>
      <c r="C136">
        <v>6</v>
      </c>
      <c r="D136" s="3">
        <v>3.9</v>
      </c>
      <c r="E136" s="1">
        <v>20.303999999999998</v>
      </c>
      <c r="F136" s="6">
        <f>(D136*10^-3)/(E136*10^-4)</f>
        <v>1.9208037825059101</v>
      </c>
      <c r="G136" s="7">
        <v>3.76</v>
      </c>
      <c r="H136" s="8">
        <v>1.5433300000000001E-3</v>
      </c>
      <c r="I136" s="9">
        <f t="shared" si="42"/>
        <v>3.1626750764452809</v>
      </c>
      <c r="J136" s="7">
        <v>3</v>
      </c>
      <c r="K136" s="7">
        <v>0</v>
      </c>
      <c r="L136" s="10">
        <f t="shared" si="43"/>
        <v>53.688632274677403</v>
      </c>
      <c r="M136" s="12"/>
      <c r="N136" s="11">
        <f>-(1.7*K136^2)/19.62</f>
        <v>0</v>
      </c>
    </row>
    <row r="137" spans="1:14" x14ac:dyDescent="0.3">
      <c r="A137">
        <v>0.6</v>
      </c>
      <c r="B137">
        <v>40</v>
      </c>
      <c r="C137">
        <v>6</v>
      </c>
      <c r="D137" s="3">
        <v>7.8</v>
      </c>
      <c r="E137" s="1">
        <v>20.303999999999998</v>
      </c>
      <c r="F137" s="6">
        <f t="shared" ref="F137:F142" si="44">(D137*10^-3)/(E137*10^-4)</f>
        <v>3.8416075650118202</v>
      </c>
      <c r="G137" s="7">
        <v>3.76</v>
      </c>
      <c r="H137" s="8">
        <v>1.5433300000000001E-3</v>
      </c>
      <c r="I137" s="9">
        <f t="shared" si="42"/>
        <v>6.3253501528905618</v>
      </c>
      <c r="J137" s="7">
        <v>4.5</v>
      </c>
      <c r="K137" s="7">
        <v>1.3</v>
      </c>
      <c r="L137" s="10">
        <f t="shared" si="43"/>
        <v>13.22748331666935</v>
      </c>
      <c r="M137" s="12"/>
      <c r="N137" s="11">
        <f t="shared" ref="N137:N142" si="45">-(1.7*K137^2)/19.62</f>
        <v>-0.14643221202854231</v>
      </c>
    </row>
    <row r="138" spans="1:14" x14ac:dyDescent="0.3">
      <c r="A138">
        <v>0.6</v>
      </c>
      <c r="B138">
        <v>40</v>
      </c>
      <c r="C138">
        <v>6</v>
      </c>
      <c r="D138" s="3">
        <v>11.7</v>
      </c>
      <c r="E138" s="1">
        <v>20.303999999999998</v>
      </c>
      <c r="F138" s="6">
        <f t="shared" si="44"/>
        <v>5.7624113475177312</v>
      </c>
      <c r="G138" s="7">
        <v>3.76</v>
      </c>
      <c r="H138" s="8">
        <v>1.5433300000000001E-3</v>
      </c>
      <c r="I138" s="9">
        <f t="shared" si="42"/>
        <v>9.4880252293358431</v>
      </c>
      <c r="J138" s="7">
        <v>4.5</v>
      </c>
      <c r="K138" s="7">
        <v>2.94</v>
      </c>
      <c r="L138" s="10">
        <f t="shared" si="43"/>
        <v>5.5228813805822483</v>
      </c>
      <c r="M138" s="12"/>
      <c r="N138" s="11">
        <f t="shared" si="45"/>
        <v>-0.7489357798165136</v>
      </c>
    </row>
    <row r="139" spans="1:14" x14ac:dyDescent="0.3">
      <c r="A139">
        <v>0.6</v>
      </c>
      <c r="B139">
        <v>40</v>
      </c>
      <c r="C139">
        <v>6</v>
      </c>
      <c r="D139" s="3">
        <v>15.6</v>
      </c>
      <c r="E139" s="1">
        <v>20.303999999999998</v>
      </c>
      <c r="F139" s="6">
        <f t="shared" si="44"/>
        <v>7.6832151300236404</v>
      </c>
      <c r="G139" s="7">
        <v>3.76</v>
      </c>
      <c r="H139" s="8">
        <v>1.5433300000000001E-3</v>
      </c>
      <c r="I139" s="9">
        <f t="shared" si="42"/>
        <v>12.650700305781124</v>
      </c>
      <c r="J139" s="7">
        <v>4.5</v>
      </c>
      <c r="K139" s="7">
        <v>5.19</v>
      </c>
      <c r="L139" s="10">
        <f t="shared" si="43"/>
        <v>2.5798326255479291</v>
      </c>
      <c r="M139" s="12"/>
      <c r="N139" s="11">
        <f t="shared" si="45"/>
        <v>-2.3339128440366976</v>
      </c>
    </row>
    <row r="140" spans="1:14" x14ac:dyDescent="0.3">
      <c r="A140">
        <v>0.6</v>
      </c>
      <c r="B140">
        <v>40</v>
      </c>
      <c r="C140">
        <v>6</v>
      </c>
      <c r="D140" s="3">
        <v>19.5</v>
      </c>
      <c r="E140" s="1">
        <v>20.303999999999998</v>
      </c>
      <c r="F140" s="6">
        <f t="shared" si="44"/>
        <v>9.6040189125295505</v>
      </c>
      <c r="G140" s="7">
        <v>3.76</v>
      </c>
      <c r="H140" s="8">
        <v>1.5433300000000001E-3</v>
      </c>
      <c r="I140" s="9">
        <f t="shared" si="42"/>
        <v>15.813375382226404</v>
      </c>
      <c r="J140" s="7">
        <v>4.5</v>
      </c>
      <c r="K140" s="7">
        <v>6.8</v>
      </c>
      <c r="L140" s="10">
        <f t="shared" si="43"/>
        <v>1.295307607438694</v>
      </c>
      <c r="M140" s="12"/>
      <c r="N140" s="11">
        <f t="shared" si="45"/>
        <v>-4.0065239551478076</v>
      </c>
    </row>
    <row r="141" spans="1:14" x14ac:dyDescent="0.3">
      <c r="A141">
        <v>0.6</v>
      </c>
      <c r="B141">
        <v>40</v>
      </c>
      <c r="C141">
        <v>6</v>
      </c>
      <c r="D141" s="3">
        <v>23.4</v>
      </c>
      <c r="E141" s="1">
        <v>20.303999999999998</v>
      </c>
      <c r="F141" s="6">
        <f t="shared" si="44"/>
        <v>11.524822695035462</v>
      </c>
      <c r="G141" s="7">
        <v>3.76</v>
      </c>
      <c r="H141" s="8">
        <v>1.5433300000000001E-3</v>
      </c>
      <c r="I141" s="9">
        <f t="shared" si="42"/>
        <v>18.976050458671686</v>
      </c>
      <c r="J141" s="7">
        <v>4.5</v>
      </c>
      <c r="K141" s="7">
        <v>7.08</v>
      </c>
      <c r="L141" s="10">
        <f t="shared" si="43"/>
        <v>0.84977663690982241</v>
      </c>
      <c r="M141" s="12"/>
      <c r="N141" s="11">
        <f t="shared" si="45"/>
        <v>-4.3432660550458717</v>
      </c>
    </row>
    <row r="142" spans="1:14" x14ac:dyDescent="0.3">
      <c r="A142">
        <v>0.6</v>
      </c>
      <c r="B142">
        <v>40</v>
      </c>
      <c r="C142">
        <v>6</v>
      </c>
      <c r="D142" s="7">
        <v>27.2</v>
      </c>
      <c r="E142" s="1">
        <v>20.303999999999998</v>
      </c>
      <c r="F142" s="6">
        <f t="shared" si="44"/>
        <v>13.396375098502759</v>
      </c>
      <c r="G142" s="7">
        <v>3.76</v>
      </c>
      <c r="H142" s="8">
        <v>1.5433300000000001E-3</v>
      </c>
      <c r="I142" s="9">
        <f t="shared" si="42"/>
        <v>22.057631302387602</v>
      </c>
      <c r="J142" s="7">
        <v>4.5</v>
      </c>
      <c r="K142" s="7">
        <v>9.0500000000000007</v>
      </c>
      <c r="L142" s="10">
        <f t="shared" si="43"/>
        <v>0.32791892486667806</v>
      </c>
      <c r="M142" s="12"/>
      <c r="N142" s="11">
        <f t="shared" si="45"/>
        <v>-7.0965468909276259</v>
      </c>
    </row>
    <row r="143" spans="1:14" x14ac:dyDescent="0.3">
      <c r="A143">
        <v>0.6</v>
      </c>
      <c r="B143">
        <v>60</v>
      </c>
      <c r="C143">
        <v>1</v>
      </c>
      <c r="D143" s="3">
        <v>4.5999999999999996</v>
      </c>
      <c r="E143" s="1">
        <v>30.456</v>
      </c>
      <c r="F143" s="6">
        <f>(D143*10^-3)/(E143*10^-4)</f>
        <v>1.510375623850801</v>
      </c>
      <c r="G143" s="7">
        <v>5.64</v>
      </c>
      <c r="H143" s="8">
        <v>1.379E-2</v>
      </c>
      <c r="I143" s="9">
        <f t="shared" si="42"/>
        <v>2.0305370218655328</v>
      </c>
      <c r="J143" s="7">
        <v>3</v>
      </c>
      <c r="K143" s="7">
        <v>0</v>
      </c>
      <c r="L143" s="10">
        <f t="shared" si="43"/>
        <v>86.83172107845688</v>
      </c>
      <c r="M143" s="12"/>
      <c r="N143" s="11">
        <f>-(1.7*K143^2)/19.62</f>
        <v>0</v>
      </c>
    </row>
    <row r="144" spans="1:14" x14ac:dyDescent="0.3">
      <c r="A144">
        <v>0.6</v>
      </c>
      <c r="B144">
        <v>60</v>
      </c>
      <c r="C144">
        <v>1</v>
      </c>
      <c r="D144" s="3">
        <v>9.1999999999999993</v>
      </c>
      <c r="E144" s="1">
        <v>30.456</v>
      </c>
      <c r="F144" s="6">
        <f t="shared" ref="F144:F149" si="46">(D144*10^-3)/(E144*10^-4)</f>
        <v>3.0207512477016021</v>
      </c>
      <c r="G144" s="7">
        <v>5.64</v>
      </c>
      <c r="H144" s="8">
        <v>1.379E-2</v>
      </c>
      <c r="I144" s="9">
        <f t="shared" si="42"/>
        <v>4.0610740437310655</v>
      </c>
      <c r="J144" s="7">
        <v>4.5</v>
      </c>
      <c r="K144" s="7">
        <v>0.77</v>
      </c>
      <c r="L144" s="10">
        <f t="shared" si="43"/>
        <v>21.597471438124085</v>
      </c>
      <c r="M144" s="12"/>
      <c r="N144" s="11">
        <f t="shared" ref="N144:N149" si="47">-(1.7*K144^2)/19.62</f>
        <v>-5.1372579001019367E-2</v>
      </c>
    </row>
    <row r="145" spans="1:14" x14ac:dyDescent="0.3">
      <c r="A145">
        <v>0.6</v>
      </c>
      <c r="B145">
        <v>60</v>
      </c>
      <c r="C145">
        <v>1</v>
      </c>
      <c r="D145" s="3">
        <v>13.8</v>
      </c>
      <c r="E145" s="1">
        <v>30.456</v>
      </c>
      <c r="F145" s="6">
        <f t="shared" si="46"/>
        <v>4.5311268715524031</v>
      </c>
      <c r="G145" s="7">
        <v>5.64</v>
      </c>
      <c r="H145" s="8">
        <v>1.379E-2</v>
      </c>
      <c r="I145" s="9">
        <f t="shared" si="42"/>
        <v>6.0916110655965987</v>
      </c>
      <c r="J145" s="7">
        <v>4.5</v>
      </c>
      <c r="K145" s="7">
        <v>2.2400000000000002</v>
      </c>
      <c r="L145" s="10">
        <f t="shared" si="43"/>
        <v>9.2325058555644652</v>
      </c>
      <c r="M145" s="12"/>
      <c r="N145" s="11">
        <f t="shared" si="47"/>
        <v>-0.43475637104994902</v>
      </c>
    </row>
    <row r="146" spans="1:14" x14ac:dyDescent="0.3">
      <c r="A146">
        <v>0.6</v>
      </c>
      <c r="B146">
        <v>60</v>
      </c>
      <c r="C146">
        <v>1</v>
      </c>
      <c r="D146" s="3">
        <v>18.399999999999999</v>
      </c>
      <c r="E146" s="1">
        <v>30.456</v>
      </c>
      <c r="F146" s="6">
        <f t="shared" si="46"/>
        <v>6.0415024954032042</v>
      </c>
      <c r="G146" s="7">
        <v>5.64</v>
      </c>
      <c r="H146" s="8">
        <v>1.379E-2</v>
      </c>
      <c r="I146" s="9">
        <f t="shared" si="42"/>
        <v>8.122148087462131</v>
      </c>
      <c r="J146" s="7">
        <v>4.5</v>
      </c>
      <c r="K146" s="7">
        <v>3.98</v>
      </c>
      <c r="L146" s="10">
        <f t="shared" si="43"/>
        <v>4.6892055078925532</v>
      </c>
      <c r="M146" s="12"/>
      <c r="N146" s="11">
        <f t="shared" si="47"/>
        <v>-1.3725117227319061</v>
      </c>
    </row>
    <row r="147" spans="1:14" x14ac:dyDescent="0.3">
      <c r="A147">
        <v>0.6</v>
      </c>
      <c r="B147">
        <v>60</v>
      </c>
      <c r="C147">
        <v>1</v>
      </c>
      <c r="D147" s="3">
        <v>23</v>
      </c>
      <c r="E147" s="1">
        <v>30.456</v>
      </c>
      <c r="F147" s="6">
        <f t="shared" si="46"/>
        <v>7.5518781192540052</v>
      </c>
      <c r="G147" s="7">
        <v>5.64</v>
      </c>
      <c r="H147" s="8">
        <v>1.379E-2</v>
      </c>
      <c r="I147" s="9">
        <f t="shared" si="42"/>
        <v>10.152685109327665</v>
      </c>
      <c r="J147" s="7">
        <v>4.5</v>
      </c>
      <c r="K147" s="7">
        <v>6.13</v>
      </c>
      <c r="L147" s="10">
        <f t="shared" si="43"/>
        <v>2.3531607736435061</v>
      </c>
      <c r="M147" s="12"/>
      <c r="N147" s="11">
        <f t="shared" si="47"/>
        <v>-3.2558985728848113</v>
      </c>
    </row>
    <row r="148" spans="1:14" x14ac:dyDescent="0.3">
      <c r="A148">
        <v>0.6</v>
      </c>
      <c r="B148">
        <v>60</v>
      </c>
      <c r="C148">
        <v>1</v>
      </c>
      <c r="D148" s="3">
        <v>27.6</v>
      </c>
      <c r="E148" s="1">
        <v>30.456</v>
      </c>
      <c r="F148" s="6">
        <f t="shared" si="46"/>
        <v>9.0622537431048062</v>
      </c>
      <c r="G148" s="7">
        <v>5.64</v>
      </c>
      <c r="H148" s="8">
        <v>1.379E-2</v>
      </c>
      <c r="I148" s="9">
        <f t="shared" si="42"/>
        <v>12.183222131193197</v>
      </c>
      <c r="J148" s="7">
        <v>4.5</v>
      </c>
      <c r="K148" s="7">
        <v>6.8</v>
      </c>
      <c r="L148" s="10">
        <f t="shared" si="43"/>
        <v>1.454810721079169</v>
      </c>
      <c r="M148" s="12"/>
      <c r="N148" s="11">
        <f t="shared" si="47"/>
        <v>-4.0065239551478076</v>
      </c>
    </row>
    <row r="149" spans="1:14" x14ac:dyDescent="0.3">
      <c r="A149">
        <v>0.6</v>
      </c>
      <c r="B149">
        <v>60</v>
      </c>
      <c r="C149">
        <v>1</v>
      </c>
      <c r="D149" s="7">
        <v>32</v>
      </c>
      <c r="E149" s="1">
        <v>30.456</v>
      </c>
      <c r="F149" s="6">
        <f t="shared" si="46"/>
        <v>10.506960861570789</v>
      </c>
      <c r="G149" s="7">
        <v>5.64</v>
      </c>
      <c r="H149" s="8">
        <v>1.379E-2</v>
      </c>
      <c r="I149" s="9">
        <f t="shared" si="42"/>
        <v>14.125474934716749</v>
      </c>
      <c r="J149" s="7">
        <v>4.5</v>
      </c>
      <c r="K149" s="7">
        <v>8.44</v>
      </c>
      <c r="L149" s="10">
        <f t="shared" si="43"/>
        <v>0.69736441550850048</v>
      </c>
      <c r="M149" s="12"/>
      <c r="N149" s="11">
        <f t="shared" si="47"/>
        <v>-6.1721264016309876</v>
      </c>
    </row>
    <row r="150" spans="1:14" x14ac:dyDescent="0.3">
      <c r="A150">
        <v>0.6</v>
      </c>
      <c r="B150">
        <v>60</v>
      </c>
      <c r="C150">
        <v>2</v>
      </c>
      <c r="D150" s="3">
        <v>4.5999999999999996</v>
      </c>
      <c r="E150" s="1">
        <v>30.456</v>
      </c>
      <c r="F150" s="6">
        <f>(D150*10^-3)/(E150*10^-4)</f>
        <v>1.510375623850801</v>
      </c>
      <c r="G150" s="7">
        <v>5.64</v>
      </c>
      <c r="H150" s="8">
        <v>6.8950000000000001E-3</v>
      </c>
      <c r="I150" s="9">
        <f t="shared" si="42"/>
        <v>2.0305370218655328</v>
      </c>
      <c r="J150" s="7">
        <v>3</v>
      </c>
      <c r="K150" s="7">
        <v>0</v>
      </c>
      <c r="L150" s="10">
        <f t="shared" si="43"/>
        <v>86.83172107845688</v>
      </c>
      <c r="M150" s="12"/>
      <c r="N150" s="11">
        <f>-(1.7*K150^2)/19.62</f>
        <v>0</v>
      </c>
    </row>
    <row r="151" spans="1:14" x14ac:dyDescent="0.3">
      <c r="A151">
        <v>0.6</v>
      </c>
      <c r="B151">
        <v>60</v>
      </c>
      <c r="C151">
        <v>2</v>
      </c>
      <c r="D151" s="3">
        <v>9.1999999999999993</v>
      </c>
      <c r="E151" s="1">
        <v>30.456</v>
      </c>
      <c r="F151" s="6">
        <f t="shared" ref="F151:F156" si="48">(D151*10^-3)/(E151*10^-4)</f>
        <v>3.0207512477016021</v>
      </c>
      <c r="G151" s="7">
        <v>5.64</v>
      </c>
      <c r="H151" s="8">
        <v>6.8950000000000001E-3</v>
      </c>
      <c r="I151" s="9">
        <f t="shared" si="42"/>
        <v>4.0610740437310655</v>
      </c>
      <c r="J151" s="7">
        <v>4.5</v>
      </c>
      <c r="K151" s="7">
        <v>0.99</v>
      </c>
      <c r="L151" s="10">
        <f t="shared" si="43"/>
        <v>21.525335058375429</v>
      </c>
      <c r="M151" s="12"/>
      <c r="N151" s="11">
        <f t="shared" ref="N151:N156" si="49">-(1.7*K151^2)/19.62</f>
        <v>-8.492201834862384E-2</v>
      </c>
    </row>
    <row r="152" spans="1:14" x14ac:dyDescent="0.3">
      <c r="A152">
        <v>0.6</v>
      </c>
      <c r="B152">
        <v>60</v>
      </c>
      <c r="C152">
        <v>2</v>
      </c>
      <c r="D152" s="3">
        <v>13.8</v>
      </c>
      <c r="E152" s="1">
        <v>30.456</v>
      </c>
      <c r="F152" s="6">
        <f t="shared" si="48"/>
        <v>4.5311268715524031</v>
      </c>
      <c r="G152" s="7">
        <v>5.64</v>
      </c>
      <c r="H152" s="8">
        <v>6.8950000000000001E-3</v>
      </c>
      <c r="I152" s="9">
        <f t="shared" si="42"/>
        <v>6.0916110655965987</v>
      </c>
      <c r="J152" s="7">
        <v>4.5</v>
      </c>
      <c r="K152" s="7">
        <v>2.52</v>
      </c>
      <c r="L152" s="10">
        <f t="shared" si="43"/>
        <v>9.1221484555082082</v>
      </c>
      <c r="M152" s="12"/>
      <c r="N152" s="11">
        <f t="shared" si="49"/>
        <v>-0.55023853211009177</v>
      </c>
    </row>
    <row r="153" spans="1:14" x14ac:dyDescent="0.3">
      <c r="A153">
        <v>0.6</v>
      </c>
      <c r="B153">
        <v>60</v>
      </c>
      <c r="C153">
        <v>2</v>
      </c>
      <c r="D153" s="3">
        <v>18.399999999999999</v>
      </c>
      <c r="E153" s="1">
        <v>30.456</v>
      </c>
      <c r="F153" s="6">
        <f t="shared" si="48"/>
        <v>6.0415024954032042</v>
      </c>
      <c r="G153" s="7">
        <v>5.64</v>
      </c>
      <c r="H153" s="8">
        <v>6.8950000000000001E-3</v>
      </c>
      <c r="I153" s="9">
        <f t="shared" si="42"/>
        <v>8.122148087462131</v>
      </c>
      <c r="J153" s="7">
        <v>4.5</v>
      </c>
      <c r="K153" s="7">
        <v>4.54</v>
      </c>
      <c r="L153" s="10">
        <f t="shared" si="43"/>
        <v>4.4669837264767489</v>
      </c>
      <c r="M153" s="12"/>
      <c r="N153" s="11">
        <f t="shared" si="49"/>
        <v>-1.785918450560652</v>
      </c>
    </row>
    <row r="154" spans="1:14" x14ac:dyDescent="0.3">
      <c r="A154">
        <v>0.6</v>
      </c>
      <c r="B154">
        <v>60</v>
      </c>
      <c r="C154">
        <v>2</v>
      </c>
      <c r="D154" s="3">
        <v>23</v>
      </c>
      <c r="E154" s="1">
        <v>30.456</v>
      </c>
      <c r="F154" s="6">
        <f t="shared" si="48"/>
        <v>7.5518781192540052</v>
      </c>
      <c r="G154" s="7">
        <v>5.64</v>
      </c>
      <c r="H154" s="8">
        <v>6.8950000000000001E-3</v>
      </c>
      <c r="I154" s="9">
        <f t="shared" si="42"/>
        <v>10.152685109327665</v>
      </c>
      <c r="J154" s="7">
        <v>4.5</v>
      </c>
      <c r="K154" s="7">
        <v>6.52</v>
      </c>
      <c r="L154" s="10">
        <f t="shared" si="43"/>
        <v>2.2061009267468101</v>
      </c>
      <c r="M154" s="12"/>
      <c r="N154" s="11">
        <f t="shared" si="49"/>
        <v>-3.6833679918450559</v>
      </c>
    </row>
    <row r="155" spans="1:14" x14ac:dyDescent="0.3">
      <c r="A155">
        <v>0.6</v>
      </c>
      <c r="B155">
        <v>60</v>
      </c>
      <c r="C155">
        <v>2</v>
      </c>
      <c r="D155" s="3">
        <v>27.6</v>
      </c>
      <c r="E155" s="1">
        <v>30.456</v>
      </c>
      <c r="F155" s="6">
        <f t="shared" si="48"/>
        <v>9.0622537431048062</v>
      </c>
      <c r="G155" s="7">
        <v>5.64</v>
      </c>
      <c r="H155" s="8">
        <v>6.8950000000000001E-3</v>
      </c>
      <c r="I155" s="9">
        <f t="shared" si="42"/>
        <v>12.183222131193197</v>
      </c>
      <c r="J155" s="7">
        <v>4.5</v>
      </c>
      <c r="K155" s="7">
        <v>7.67</v>
      </c>
      <c r="L155" s="10">
        <f t="shared" si="43"/>
        <v>1.1942168072195845</v>
      </c>
      <c r="M155" s="12"/>
      <c r="N155" s="11">
        <f t="shared" si="49"/>
        <v>-5.0973053007135576</v>
      </c>
    </row>
    <row r="156" spans="1:14" x14ac:dyDescent="0.3">
      <c r="A156">
        <v>0.6</v>
      </c>
      <c r="B156">
        <v>60</v>
      </c>
      <c r="C156">
        <v>2</v>
      </c>
      <c r="D156" s="7">
        <v>32</v>
      </c>
      <c r="E156" s="1">
        <v>30.456</v>
      </c>
      <c r="F156" s="6">
        <f t="shared" si="48"/>
        <v>10.506960861570789</v>
      </c>
      <c r="G156" s="7">
        <v>5.64</v>
      </c>
      <c r="H156" s="8">
        <v>6.8950000000000001E-3</v>
      </c>
      <c r="I156" s="9">
        <f t="shared" si="42"/>
        <v>14.125474934716749</v>
      </c>
      <c r="J156" s="7">
        <v>4.5</v>
      </c>
      <c r="K156" s="7">
        <v>9.68</v>
      </c>
      <c r="L156" s="10">
        <f t="shared" si="43"/>
        <v>0.35136563280660038</v>
      </c>
      <c r="M156" s="12"/>
      <c r="N156" s="11">
        <f t="shared" si="49"/>
        <v>-8.1189643221202843</v>
      </c>
    </row>
    <row r="157" spans="1:14" x14ac:dyDescent="0.3">
      <c r="A157">
        <v>0.6</v>
      </c>
      <c r="B157">
        <v>60</v>
      </c>
      <c r="C157">
        <v>4</v>
      </c>
      <c r="D157" s="3">
        <v>4.5999999999999996</v>
      </c>
      <c r="E157" s="1">
        <v>30.456</v>
      </c>
      <c r="F157" s="6">
        <f>(D157*10^-3)/(E157*10^-4)</f>
        <v>1.510375623850801</v>
      </c>
      <c r="G157" s="7">
        <v>5.64</v>
      </c>
      <c r="H157" s="8">
        <v>3.4475E-3</v>
      </c>
      <c r="I157" s="9">
        <f t="shared" si="42"/>
        <v>2.0305370218655328</v>
      </c>
      <c r="J157" s="7">
        <v>3</v>
      </c>
      <c r="K157" s="7">
        <v>0</v>
      </c>
      <c r="L157" s="10">
        <f t="shared" si="43"/>
        <v>86.83172107845688</v>
      </c>
      <c r="M157" s="12"/>
      <c r="N157" s="11">
        <f>-(1.7*K157^2)/19.62</f>
        <v>0</v>
      </c>
    </row>
    <row r="158" spans="1:14" x14ac:dyDescent="0.3">
      <c r="A158">
        <v>0.6</v>
      </c>
      <c r="B158">
        <v>60</v>
      </c>
      <c r="C158">
        <v>4</v>
      </c>
      <c r="D158" s="3">
        <v>9.1999999999999993</v>
      </c>
      <c r="E158" s="1">
        <v>30.456</v>
      </c>
      <c r="F158" s="6">
        <f t="shared" ref="F158:F163" si="50">(D158*10^-3)/(E158*10^-4)</f>
        <v>3.0207512477016021</v>
      </c>
      <c r="G158" s="7">
        <v>5.64</v>
      </c>
      <c r="H158" s="8">
        <v>3.4475E-3</v>
      </c>
      <c r="I158" s="9">
        <f t="shared" si="42"/>
        <v>4.0610740437310655</v>
      </c>
      <c r="J158" s="7">
        <v>3</v>
      </c>
      <c r="K158" s="7">
        <v>0.4</v>
      </c>
      <c r="L158" s="10">
        <f t="shared" si="43"/>
        <v>21.678121848230475</v>
      </c>
      <c r="M158" s="12"/>
      <c r="N158" s="11">
        <f t="shared" ref="N158:N163" si="51">-(1.7*K158^2)/19.62</f>
        <v>-1.3863404689092763E-2</v>
      </c>
    </row>
    <row r="159" spans="1:14" x14ac:dyDescent="0.3">
      <c r="A159">
        <v>0.6</v>
      </c>
      <c r="B159">
        <v>60</v>
      </c>
      <c r="C159">
        <v>4</v>
      </c>
      <c r="D159" s="3">
        <v>13.8</v>
      </c>
      <c r="E159" s="1">
        <v>30.456</v>
      </c>
      <c r="F159" s="6">
        <f t="shared" si="50"/>
        <v>4.5311268715524031</v>
      </c>
      <c r="G159" s="7">
        <v>5.64</v>
      </c>
      <c r="H159" s="8">
        <v>3.4475E-3</v>
      </c>
      <c r="I159" s="9">
        <f t="shared" si="42"/>
        <v>6.0916110655965987</v>
      </c>
      <c r="J159" s="7">
        <v>4.5</v>
      </c>
      <c r="K159" s="7">
        <v>1.51</v>
      </c>
      <c r="L159" s="10">
        <f t="shared" si="43"/>
        <v>9.4591740598366769</v>
      </c>
      <c r="M159" s="12"/>
      <c r="N159" s="11">
        <f t="shared" si="51"/>
        <v>-0.19756218144750254</v>
      </c>
    </row>
    <row r="160" spans="1:14" x14ac:dyDescent="0.3">
      <c r="A160">
        <v>0.6</v>
      </c>
      <c r="B160">
        <v>60</v>
      </c>
      <c r="C160">
        <v>4</v>
      </c>
      <c r="D160" s="3">
        <v>18.399999999999999</v>
      </c>
      <c r="E160" s="1">
        <v>30.456</v>
      </c>
      <c r="F160" s="6">
        <f t="shared" si="50"/>
        <v>6.0415024954032042</v>
      </c>
      <c r="G160" s="7">
        <v>5.64</v>
      </c>
      <c r="H160" s="8">
        <v>3.4475E-3</v>
      </c>
      <c r="I160" s="9">
        <f t="shared" si="42"/>
        <v>8.122148087462131</v>
      </c>
      <c r="J160" s="7">
        <v>4.5</v>
      </c>
      <c r="K160" s="7">
        <v>1.98</v>
      </c>
      <c r="L160" s="10">
        <f t="shared" si="43"/>
        <v>5.2443873561647649</v>
      </c>
      <c r="M160" s="12"/>
      <c r="N160" s="11">
        <f t="shared" si="51"/>
        <v>-0.33968807339449536</v>
      </c>
    </row>
    <row r="161" spans="1:14" x14ac:dyDescent="0.3">
      <c r="A161">
        <v>0.6</v>
      </c>
      <c r="B161">
        <v>60</v>
      </c>
      <c r="C161">
        <v>4</v>
      </c>
      <c r="D161" s="3">
        <v>23</v>
      </c>
      <c r="E161" s="1">
        <v>30.456</v>
      </c>
      <c r="F161" s="6">
        <f t="shared" si="50"/>
        <v>7.5518781192540052</v>
      </c>
      <c r="G161" s="7">
        <v>5.64</v>
      </c>
      <c r="H161" s="8">
        <v>3.4475E-3</v>
      </c>
      <c r="I161" s="9">
        <f t="shared" si="42"/>
        <v>10.152685109327665</v>
      </c>
      <c r="J161" s="7">
        <v>4.5</v>
      </c>
      <c r="K161" s="7">
        <v>2.81</v>
      </c>
      <c r="L161" s="10">
        <f t="shared" si="43"/>
        <v>3.2378985670501028</v>
      </c>
      <c r="M161" s="12"/>
      <c r="N161" s="11">
        <f t="shared" si="51"/>
        <v>-0.6841676860346585</v>
      </c>
    </row>
    <row r="162" spans="1:14" x14ac:dyDescent="0.3">
      <c r="A162">
        <v>0.6</v>
      </c>
      <c r="B162">
        <v>60</v>
      </c>
      <c r="C162">
        <v>4</v>
      </c>
      <c r="D162" s="3">
        <v>27.6</v>
      </c>
      <c r="E162" s="1">
        <v>30.456</v>
      </c>
      <c r="F162" s="6">
        <f t="shared" si="50"/>
        <v>9.0622537431048062</v>
      </c>
      <c r="G162" s="7">
        <v>5.64</v>
      </c>
      <c r="H162" s="8">
        <v>3.4475E-3</v>
      </c>
      <c r="I162" s="9">
        <f t="shared" si="42"/>
        <v>12.183222131193197</v>
      </c>
      <c r="J162" s="7">
        <v>4.5</v>
      </c>
      <c r="K162" s="7">
        <v>3.82</v>
      </c>
      <c r="L162" s="10">
        <f t="shared" si="43"/>
        <v>2.1099253020403785</v>
      </c>
      <c r="M162" s="12"/>
      <c r="N162" s="11">
        <f t="shared" si="51"/>
        <v>-1.2643771661569825</v>
      </c>
    </row>
    <row r="163" spans="1:14" x14ac:dyDescent="0.3">
      <c r="A163">
        <v>0.6</v>
      </c>
      <c r="B163">
        <v>60</v>
      </c>
      <c r="C163">
        <v>4</v>
      </c>
      <c r="D163" s="7">
        <v>32.299999999999997</v>
      </c>
      <c r="E163" s="1">
        <v>30.456</v>
      </c>
      <c r="F163" s="6">
        <f t="shared" si="50"/>
        <v>10.605463619648015</v>
      </c>
      <c r="G163" s="7">
        <v>5.64</v>
      </c>
      <c r="H163" s="8">
        <v>3.4475E-3</v>
      </c>
      <c r="I163" s="9">
        <f t="shared" si="42"/>
        <v>14.257901262229719</v>
      </c>
      <c r="J163" s="7">
        <v>4.5</v>
      </c>
      <c r="K163" s="7">
        <v>4.5599999999999996</v>
      </c>
      <c r="L163" s="10">
        <f t="shared" si="43"/>
        <v>1.4468384775488932</v>
      </c>
      <c r="M163" s="12"/>
      <c r="N163" s="11">
        <f t="shared" si="51"/>
        <v>-1.8016880733944949</v>
      </c>
    </row>
    <row r="164" spans="1:14" x14ac:dyDescent="0.3">
      <c r="A164">
        <v>0.6</v>
      </c>
      <c r="B164">
        <v>60</v>
      </c>
      <c r="C164">
        <v>6</v>
      </c>
      <c r="D164" s="3">
        <v>4.5999999999999996</v>
      </c>
      <c r="E164" s="1">
        <v>30.456</v>
      </c>
      <c r="F164" s="6">
        <f>(D164*10^-3)/(E164*10^-4)</f>
        <v>1.510375623850801</v>
      </c>
      <c r="G164" s="7">
        <v>5.64</v>
      </c>
      <c r="H164" s="8">
        <v>2.2983299999999999E-3</v>
      </c>
      <c r="I164" s="9">
        <f t="shared" si="42"/>
        <v>2.0305370218655328</v>
      </c>
      <c r="J164" s="7">
        <v>3</v>
      </c>
      <c r="K164" s="7">
        <v>0</v>
      </c>
      <c r="L164" s="10">
        <f t="shared" si="43"/>
        <v>86.83172107845688</v>
      </c>
      <c r="M164" s="12"/>
      <c r="N164" s="11">
        <f>-(1.7*K164^2)/19.62</f>
        <v>0</v>
      </c>
    </row>
    <row r="165" spans="1:14" x14ac:dyDescent="0.3">
      <c r="A165">
        <v>0.6</v>
      </c>
      <c r="B165">
        <v>60</v>
      </c>
      <c r="C165">
        <v>6</v>
      </c>
      <c r="D165" s="3">
        <v>9.1999999999999993</v>
      </c>
      <c r="E165" s="1">
        <v>30.456</v>
      </c>
      <c r="F165" s="6">
        <f t="shared" ref="F165:F228" si="52">(D165*10^-3)/(E165*10^-4)</f>
        <v>3.0207512477016021</v>
      </c>
      <c r="G165" s="7">
        <v>5.64</v>
      </c>
      <c r="H165" s="8">
        <v>2.2983299999999999E-3</v>
      </c>
      <c r="I165" s="9">
        <f t="shared" si="42"/>
        <v>4.0610740437310655</v>
      </c>
      <c r="J165" s="7">
        <v>3</v>
      </c>
      <c r="K165" s="7">
        <v>0</v>
      </c>
      <c r="L165" s="10">
        <f t="shared" si="43"/>
        <v>21.70793026961422</v>
      </c>
      <c r="M165" s="12"/>
      <c r="N165" s="11">
        <f t="shared" ref="N165:N170" si="53">-(1.7*K165^2)/19.62</f>
        <v>0</v>
      </c>
    </row>
    <row r="166" spans="1:14" x14ac:dyDescent="0.3">
      <c r="A166">
        <v>0.6</v>
      </c>
      <c r="B166">
        <v>60</v>
      </c>
      <c r="C166">
        <v>6</v>
      </c>
      <c r="D166" s="3">
        <v>13.8</v>
      </c>
      <c r="E166" s="1">
        <v>30.456</v>
      </c>
      <c r="F166" s="6">
        <f t="shared" si="52"/>
        <v>4.5311268715524031</v>
      </c>
      <c r="G166" s="7">
        <v>5.64</v>
      </c>
      <c r="H166" s="8">
        <v>2.2983299999999999E-3</v>
      </c>
      <c r="I166" s="9">
        <f t="shared" si="42"/>
        <v>6.0916110655965987</v>
      </c>
      <c r="J166" s="7">
        <v>3</v>
      </c>
      <c r="K166" s="7">
        <v>0</v>
      </c>
      <c r="L166" s="10">
        <f t="shared" si="43"/>
        <v>9.6479690087174319</v>
      </c>
      <c r="M166" s="12"/>
      <c r="N166" s="11">
        <f t="shared" si="53"/>
        <v>0</v>
      </c>
    </row>
    <row r="167" spans="1:14" x14ac:dyDescent="0.3">
      <c r="A167">
        <v>0.6</v>
      </c>
      <c r="B167">
        <v>60</v>
      </c>
      <c r="C167">
        <v>6</v>
      </c>
      <c r="D167" s="3">
        <v>18.399999999999999</v>
      </c>
      <c r="E167" s="1">
        <v>30.456</v>
      </c>
      <c r="F167" s="6">
        <f t="shared" si="52"/>
        <v>6.0415024954032042</v>
      </c>
      <c r="G167" s="7">
        <v>5.64</v>
      </c>
      <c r="H167" s="8">
        <v>2.2983299999999999E-3</v>
      </c>
      <c r="I167" s="9">
        <f t="shared" si="42"/>
        <v>8.122148087462131</v>
      </c>
      <c r="J167" s="7">
        <v>3</v>
      </c>
      <c r="K167" s="7">
        <v>0.8</v>
      </c>
      <c r="L167" s="10">
        <f t="shared" si="43"/>
        <v>5.3971741460198119</v>
      </c>
      <c r="M167" s="12"/>
      <c r="N167" s="11">
        <f t="shared" si="53"/>
        <v>-5.5453618756371052E-2</v>
      </c>
    </row>
    <row r="168" spans="1:14" x14ac:dyDescent="0.3">
      <c r="A168">
        <v>0.6</v>
      </c>
      <c r="B168">
        <v>60</v>
      </c>
      <c r="C168">
        <v>6</v>
      </c>
      <c r="D168" s="3">
        <v>23</v>
      </c>
      <c r="E168" s="1">
        <v>30.456</v>
      </c>
      <c r="F168" s="6">
        <f t="shared" si="52"/>
        <v>7.5518781192540052</v>
      </c>
      <c r="G168" s="7">
        <v>5.64</v>
      </c>
      <c r="H168" s="8">
        <v>2.2983299999999999E-3</v>
      </c>
      <c r="I168" s="9">
        <f t="shared" si="42"/>
        <v>10.152685109327665</v>
      </c>
      <c r="J168" s="7">
        <v>3</v>
      </c>
      <c r="K168" s="7">
        <v>1.85</v>
      </c>
      <c r="L168" s="10">
        <f t="shared" si="43"/>
        <v>3.3712495209524151</v>
      </c>
      <c r="M168" s="12"/>
      <c r="N168" s="11">
        <f t="shared" si="53"/>
        <v>-0.29654689092762487</v>
      </c>
    </row>
    <row r="169" spans="1:14" x14ac:dyDescent="0.3">
      <c r="A169">
        <v>0.6</v>
      </c>
      <c r="B169">
        <v>60</v>
      </c>
      <c r="C169">
        <v>6</v>
      </c>
      <c r="D169" s="3">
        <v>27.6</v>
      </c>
      <c r="E169" s="1">
        <v>30.456</v>
      </c>
      <c r="F169" s="6">
        <f t="shared" si="52"/>
        <v>9.0622537431048062</v>
      </c>
      <c r="G169" s="7">
        <v>5.64</v>
      </c>
      <c r="H169" s="8">
        <v>2.2983299999999999E-3</v>
      </c>
      <c r="I169" s="9">
        <f t="shared" si="42"/>
        <v>12.183222131193197</v>
      </c>
      <c r="J169" s="7">
        <v>4.5</v>
      </c>
      <c r="K169" s="7">
        <v>1.2</v>
      </c>
      <c r="L169" s="10">
        <f t="shared" si="43"/>
        <v>2.3821838307956154</v>
      </c>
      <c r="M169" s="12"/>
      <c r="N169" s="11">
        <f t="shared" si="53"/>
        <v>-0.12477064220183486</v>
      </c>
    </row>
    <row r="170" spans="1:14" x14ac:dyDescent="0.3">
      <c r="A170">
        <v>0.6</v>
      </c>
      <c r="B170">
        <v>60</v>
      </c>
      <c r="C170">
        <v>6</v>
      </c>
      <c r="D170" s="7">
        <v>31.5</v>
      </c>
      <c r="E170" s="1">
        <v>30.456</v>
      </c>
      <c r="F170" s="6">
        <f t="shared" si="52"/>
        <v>10.342789598108746</v>
      </c>
      <c r="G170" s="7">
        <v>5.64</v>
      </c>
      <c r="H170" s="8">
        <v>2.2983299999999999E-3</v>
      </c>
      <c r="I170" s="9">
        <f t="shared" si="42"/>
        <v>13.904764388861802</v>
      </c>
      <c r="J170" s="7">
        <v>4.5</v>
      </c>
      <c r="K170" s="7">
        <v>1.56</v>
      </c>
      <c r="L170" s="10">
        <f t="shared" si="43"/>
        <v>1.8130356456803267</v>
      </c>
      <c r="M170" s="12"/>
      <c r="N170" s="11">
        <f t="shared" si="53"/>
        <v>-0.21086238532110094</v>
      </c>
    </row>
    <row r="171" spans="1:14" x14ac:dyDescent="0.3">
      <c r="A171">
        <f>100/60</f>
        <v>1.6666666666666667</v>
      </c>
      <c r="B171">
        <v>10</v>
      </c>
      <c r="C171">
        <v>1</v>
      </c>
      <c r="D171" s="15">
        <v>1.6</v>
      </c>
      <c r="E171" s="1">
        <v>5.0759999999999996</v>
      </c>
      <c r="F171" s="6">
        <f t="shared" si="52"/>
        <v>3.1520882584712373</v>
      </c>
      <c r="G171" s="9">
        <v>0.54</v>
      </c>
      <c r="H171" s="8">
        <v>2.5500000000000002E-3</v>
      </c>
      <c r="I171" s="9">
        <f t="shared" si="42"/>
        <v>13.695156063493128</v>
      </c>
      <c r="J171" s="16">
        <v>4.5</v>
      </c>
      <c r="K171" s="7">
        <v>0.48</v>
      </c>
      <c r="L171" s="10">
        <f t="shared" si="43"/>
        <v>19.897201822140001</v>
      </c>
      <c r="M171" s="12"/>
      <c r="N171" s="11">
        <f>-(1.7*K171^2)/19.62</f>
        <v>-1.9963302752293577E-2</v>
      </c>
    </row>
    <row r="172" spans="1:14" x14ac:dyDescent="0.3">
      <c r="A172">
        <f t="shared" ref="A172:A235" si="54">100/60</f>
        <v>1.6666666666666667</v>
      </c>
      <c r="B172">
        <v>10</v>
      </c>
      <c r="C172">
        <v>1</v>
      </c>
      <c r="D172" s="15">
        <v>3.2</v>
      </c>
      <c r="E172" s="1">
        <v>5.0759999999999996</v>
      </c>
      <c r="F172" s="6">
        <f t="shared" si="52"/>
        <v>6.3041765169424746</v>
      </c>
      <c r="G172" s="9">
        <v>0.54</v>
      </c>
      <c r="H172" s="8">
        <v>2.5500000000000002E-3</v>
      </c>
      <c r="I172" s="9">
        <f t="shared" si="42"/>
        <v>27.390312126986256</v>
      </c>
      <c r="J172" s="16">
        <v>4.5</v>
      </c>
      <c r="K172" s="7">
        <v>1.85</v>
      </c>
      <c r="L172" s="10">
        <f t="shared" si="43"/>
        <v>4.8377576947260943</v>
      </c>
      <c r="M172" s="12"/>
      <c r="N172" s="11">
        <f t="shared" ref="N172:N177" si="55">-(1.7*K172^2)/19.62</f>
        <v>-0.29654689092762487</v>
      </c>
    </row>
    <row r="173" spans="1:14" x14ac:dyDescent="0.3">
      <c r="A173">
        <f t="shared" si="54"/>
        <v>1.6666666666666667</v>
      </c>
      <c r="B173">
        <v>10</v>
      </c>
      <c r="C173">
        <v>1</v>
      </c>
      <c r="D173" s="15">
        <v>4.8</v>
      </c>
      <c r="E173" s="1">
        <v>5.0759999999999996</v>
      </c>
      <c r="F173" s="6">
        <f t="shared" si="52"/>
        <v>9.456264775413711</v>
      </c>
      <c r="G173" s="9">
        <v>0.54</v>
      </c>
      <c r="H173" s="8">
        <v>2.5500000000000002E-3</v>
      </c>
      <c r="I173" s="9">
        <f t="shared" si="42"/>
        <v>41.085468190479375</v>
      </c>
      <c r="J173" s="16">
        <v>4.5</v>
      </c>
      <c r="K173" s="7">
        <v>3.7</v>
      </c>
      <c r="L173" s="10">
        <f t="shared" si="43"/>
        <v>1.9549169708175005</v>
      </c>
      <c r="M173" s="12"/>
      <c r="N173" s="11">
        <f t="shared" si="55"/>
        <v>-1.1861875637104995</v>
      </c>
    </row>
    <row r="174" spans="1:14" x14ac:dyDescent="0.3">
      <c r="A174">
        <f t="shared" si="54"/>
        <v>1.6666666666666667</v>
      </c>
      <c r="B174">
        <v>10</v>
      </c>
      <c r="C174">
        <v>1</v>
      </c>
      <c r="D174" s="15">
        <v>6.4</v>
      </c>
      <c r="E174" s="1">
        <v>5.0759999999999996</v>
      </c>
      <c r="F174" s="6">
        <f t="shared" si="52"/>
        <v>12.608353033884949</v>
      </c>
      <c r="G174" s="9">
        <v>0.54</v>
      </c>
      <c r="H174" s="8">
        <v>2.5500000000000002E-3</v>
      </c>
      <c r="I174" s="9">
        <f t="shared" si="42"/>
        <v>54.780624253972512</v>
      </c>
      <c r="J174" s="16">
        <v>4.5</v>
      </c>
      <c r="K174" s="7">
        <v>6.62</v>
      </c>
      <c r="L174" s="10">
        <f t="shared" si="43"/>
        <v>0.77738944342359384</v>
      </c>
      <c r="M174" s="12"/>
      <c r="N174" s="11">
        <f t="shared" si="55"/>
        <v>-3.7972212028542303</v>
      </c>
    </row>
    <row r="175" spans="1:14" x14ac:dyDescent="0.3">
      <c r="A175">
        <f t="shared" si="54"/>
        <v>1.6666666666666667</v>
      </c>
      <c r="B175">
        <v>10</v>
      </c>
      <c r="C175">
        <v>1</v>
      </c>
      <c r="D175" s="15">
        <v>8</v>
      </c>
      <c r="E175" s="1">
        <v>5.0759999999999996</v>
      </c>
      <c r="F175" s="6">
        <f t="shared" si="52"/>
        <v>15.760441292356187</v>
      </c>
      <c r="G175" s="9">
        <v>0.54</v>
      </c>
      <c r="H175" s="8">
        <v>2.5500000000000002E-3</v>
      </c>
      <c r="I175" s="9">
        <f t="shared" si="42"/>
        <v>68.475780317465635</v>
      </c>
      <c r="J175" s="16">
        <v>4.5</v>
      </c>
      <c r="K175" s="7">
        <v>8.8800000000000008</v>
      </c>
      <c r="L175" s="10">
        <f t="shared" si="43"/>
        <v>0.25778272401359986</v>
      </c>
      <c r="M175" s="12"/>
      <c r="N175" s="11">
        <f t="shared" si="55"/>
        <v>-6.8324403669724783</v>
      </c>
    </row>
    <row r="176" spans="1:14" x14ac:dyDescent="0.3">
      <c r="A176">
        <f t="shared" si="54"/>
        <v>1.6666666666666667</v>
      </c>
      <c r="B176">
        <v>10</v>
      </c>
      <c r="C176">
        <v>1</v>
      </c>
      <c r="D176" s="15">
        <v>9.6</v>
      </c>
      <c r="E176" s="1">
        <v>5.0759999999999996</v>
      </c>
      <c r="F176" s="6">
        <f t="shared" si="52"/>
        <v>18.912529550827422</v>
      </c>
      <c r="G176" s="9">
        <v>0.54</v>
      </c>
      <c r="H176" s="8">
        <v>2.5500000000000002E-3</v>
      </c>
      <c r="I176" s="9">
        <f t="shared" si="42"/>
        <v>82.17093638095875</v>
      </c>
      <c r="J176" s="16">
        <v>4.5</v>
      </c>
      <c r="K176" s="7">
        <v>11.36</v>
      </c>
      <c r="L176" s="10">
        <f t="shared" si="43"/>
        <v>-5.9552044424999957E-2</v>
      </c>
      <c r="M176" s="12"/>
      <c r="N176" s="11">
        <f t="shared" si="55"/>
        <v>-11.181667686034658</v>
      </c>
    </row>
    <row r="177" spans="1:14" x14ac:dyDescent="0.3">
      <c r="A177">
        <f t="shared" si="54"/>
        <v>1.6666666666666667</v>
      </c>
      <c r="B177">
        <v>10</v>
      </c>
      <c r="C177">
        <v>1</v>
      </c>
      <c r="D177" s="16">
        <v>9.8000000000000007</v>
      </c>
      <c r="E177" s="1">
        <v>5.0759999999999996</v>
      </c>
      <c r="F177" s="6">
        <f t="shared" si="52"/>
        <v>19.306540583136332</v>
      </c>
      <c r="G177" s="9">
        <v>0.54</v>
      </c>
      <c r="H177" s="8">
        <v>2.5500000000000002E-3</v>
      </c>
      <c r="I177" s="9">
        <f t="shared" si="42"/>
        <v>83.882830888895427</v>
      </c>
      <c r="J177" s="16">
        <v>4.5</v>
      </c>
      <c r="K177" s="7">
        <v>11.66</v>
      </c>
      <c r="L177" s="10">
        <f t="shared" si="43"/>
        <v>-8.8642961767596729E-2</v>
      </c>
      <c r="M177" s="12"/>
      <c r="N177" s="11">
        <f t="shared" si="55"/>
        <v>-11.780046890927624</v>
      </c>
    </row>
    <row r="178" spans="1:14" x14ac:dyDescent="0.3">
      <c r="A178">
        <f t="shared" si="54"/>
        <v>1.6666666666666667</v>
      </c>
      <c r="B178">
        <v>10</v>
      </c>
      <c r="C178">
        <v>2</v>
      </c>
      <c r="D178" s="15">
        <v>1.6</v>
      </c>
      <c r="E178" s="1">
        <v>5.0759999999999996</v>
      </c>
      <c r="F178" s="6">
        <f t="shared" si="52"/>
        <v>3.1520882584712373</v>
      </c>
      <c r="G178" s="9">
        <v>0.54</v>
      </c>
      <c r="H178" s="8">
        <v>1.2750000000000001E-3</v>
      </c>
      <c r="I178" s="9">
        <f t="shared" si="42"/>
        <v>13.695156063493128</v>
      </c>
      <c r="J178" s="16">
        <v>4.5</v>
      </c>
      <c r="K178" s="7">
        <v>0.99</v>
      </c>
      <c r="L178" s="10">
        <f t="shared" si="43"/>
        <v>19.768927510209373</v>
      </c>
      <c r="M178" s="12"/>
      <c r="N178" s="11">
        <f>-(1.7*K178^2)/19.62</f>
        <v>-8.492201834862384E-2</v>
      </c>
    </row>
    <row r="179" spans="1:14" x14ac:dyDescent="0.3">
      <c r="A179">
        <f t="shared" si="54"/>
        <v>1.6666666666666667</v>
      </c>
      <c r="B179">
        <v>10</v>
      </c>
      <c r="C179">
        <v>2</v>
      </c>
      <c r="D179" s="15">
        <v>3.2</v>
      </c>
      <c r="E179" s="1">
        <v>5.0759999999999996</v>
      </c>
      <c r="F179" s="6">
        <f t="shared" si="52"/>
        <v>6.3041765169424746</v>
      </c>
      <c r="G179" s="9">
        <v>0.54</v>
      </c>
      <c r="H179" s="8">
        <v>1.2750000000000001E-3</v>
      </c>
      <c r="I179" s="9">
        <f t="shared" si="42"/>
        <v>27.390312126986256</v>
      </c>
      <c r="J179" s="16">
        <v>4.5</v>
      </c>
      <c r="K179" s="7">
        <v>2.75</v>
      </c>
      <c r="L179" s="10">
        <f t="shared" si="43"/>
        <v>4.6606683085073435</v>
      </c>
      <c r="M179" s="12"/>
      <c r="N179" s="11">
        <f t="shared" ref="N179:N184" si="56">-(1.7*K179^2)/19.62</f>
        <v>-0.65526248725790004</v>
      </c>
    </row>
    <row r="180" spans="1:14" x14ac:dyDescent="0.3">
      <c r="A180">
        <f t="shared" si="54"/>
        <v>1.6666666666666667</v>
      </c>
      <c r="B180">
        <v>10</v>
      </c>
      <c r="C180">
        <v>2</v>
      </c>
      <c r="D180" s="15">
        <v>4.8</v>
      </c>
      <c r="E180" s="1">
        <v>5.0759999999999996</v>
      </c>
      <c r="F180" s="6">
        <f t="shared" si="52"/>
        <v>9.456264775413711</v>
      </c>
      <c r="G180" s="9">
        <v>0.54</v>
      </c>
      <c r="H180" s="8">
        <v>1.2750000000000001E-3</v>
      </c>
      <c r="I180" s="9">
        <f t="shared" si="42"/>
        <v>41.085468190479375</v>
      </c>
      <c r="J180" s="16">
        <v>4.5</v>
      </c>
      <c r="K180" s="7">
        <v>5.29</v>
      </c>
      <c r="L180" s="10">
        <f t="shared" si="43"/>
        <v>1.6831688875593753</v>
      </c>
      <c r="M180" s="12"/>
      <c r="N180" s="11">
        <f t="shared" si="56"/>
        <v>-2.4247181447502548</v>
      </c>
    </row>
    <row r="181" spans="1:14" x14ac:dyDescent="0.3">
      <c r="A181">
        <f t="shared" si="54"/>
        <v>1.6666666666666667</v>
      </c>
      <c r="B181">
        <v>10</v>
      </c>
      <c r="C181">
        <v>2</v>
      </c>
      <c r="D181" s="15">
        <v>6.4</v>
      </c>
      <c r="E181" s="1">
        <v>5.0759999999999996</v>
      </c>
      <c r="F181" s="6">
        <f t="shared" si="52"/>
        <v>12.608353033884949</v>
      </c>
      <c r="G181" s="9">
        <v>0.54</v>
      </c>
      <c r="H181" s="8">
        <v>1.2750000000000001E-3</v>
      </c>
      <c r="I181" s="9">
        <f t="shared" si="42"/>
        <v>54.780624253972512</v>
      </c>
      <c r="J181" s="16">
        <v>4.5</v>
      </c>
      <c r="K181" s="7">
        <v>10.94</v>
      </c>
      <c r="L181" s="10">
        <f t="shared" si="43"/>
        <v>-3.3833936228905959E-2</v>
      </c>
      <c r="M181" s="12"/>
      <c r="N181" s="11">
        <f t="shared" si="56"/>
        <v>-10.370138634046889</v>
      </c>
    </row>
    <row r="182" spans="1:14" x14ac:dyDescent="0.3">
      <c r="A182">
        <f t="shared" si="54"/>
        <v>1.6666666666666667</v>
      </c>
      <c r="B182">
        <v>10</v>
      </c>
      <c r="C182">
        <v>2</v>
      </c>
      <c r="D182" s="15">
        <v>8</v>
      </c>
      <c r="E182" s="1">
        <v>5.0759999999999996</v>
      </c>
      <c r="F182" s="6">
        <f t="shared" si="52"/>
        <v>15.760441292356187</v>
      </c>
      <c r="G182" s="9">
        <v>0.54</v>
      </c>
      <c r="H182" s="8">
        <v>1.2750000000000001E-3</v>
      </c>
      <c r="I182" s="9">
        <f t="shared" si="42"/>
        <v>68.475780317465635</v>
      </c>
      <c r="J182" s="16">
        <v>4.5</v>
      </c>
      <c r="K182" s="7">
        <v>13.5</v>
      </c>
      <c r="L182" s="10">
        <f t="shared" si="43"/>
        <v>-0.44986030368569979</v>
      </c>
      <c r="M182" s="12"/>
      <c r="N182" s="11">
        <f t="shared" si="56"/>
        <v>-15.791284403669723</v>
      </c>
    </row>
    <row r="183" spans="1:14" x14ac:dyDescent="0.3">
      <c r="A183">
        <f t="shared" si="54"/>
        <v>1.6666666666666667</v>
      </c>
      <c r="B183">
        <v>10</v>
      </c>
      <c r="C183">
        <v>2</v>
      </c>
      <c r="D183" s="15">
        <v>9.6</v>
      </c>
      <c r="E183" s="1">
        <v>5.0759999999999996</v>
      </c>
      <c r="F183" s="6">
        <f t="shared" si="52"/>
        <v>18.912529550827422</v>
      </c>
      <c r="G183" s="9">
        <v>0.54</v>
      </c>
      <c r="H183" s="8">
        <v>1.2750000000000001E-3</v>
      </c>
      <c r="I183" s="9">
        <f t="shared" si="42"/>
        <v>82.17093638095875</v>
      </c>
      <c r="J183" s="16">
        <v>4.5</v>
      </c>
      <c r="K183" s="7">
        <v>17.82</v>
      </c>
      <c r="L183" s="10">
        <f t="shared" si="43"/>
        <v>-0.95546844680062548</v>
      </c>
      <c r="M183" s="12"/>
      <c r="N183" s="11">
        <f t="shared" si="56"/>
        <v>-27.514733944954131</v>
      </c>
    </row>
    <row r="184" spans="1:14" x14ac:dyDescent="0.3">
      <c r="A184">
        <f t="shared" si="54"/>
        <v>1.6666666666666667</v>
      </c>
      <c r="B184">
        <v>10</v>
      </c>
      <c r="C184">
        <v>2</v>
      </c>
      <c r="D184" s="16">
        <v>9.8000000000000007</v>
      </c>
      <c r="E184" s="1">
        <v>5.0759999999999996</v>
      </c>
      <c r="F184" s="6">
        <f t="shared" si="52"/>
        <v>19.306540583136332</v>
      </c>
      <c r="G184" s="9">
        <v>0.54</v>
      </c>
      <c r="H184" s="8">
        <v>1.2750000000000001E-3</v>
      </c>
      <c r="I184" s="9">
        <f t="shared" si="42"/>
        <v>83.882830888895427</v>
      </c>
      <c r="J184" s="16">
        <v>4.5</v>
      </c>
      <c r="K184" s="7">
        <v>18.21</v>
      </c>
      <c r="L184" s="10">
        <f t="shared" si="43"/>
        <v>-0.98095452192494748</v>
      </c>
      <c r="M184" s="12"/>
      <c r="N184" s="11">
        <f t="shared" si="56"/>
        <v>-28.732261467889909</v>
      </c>
    </row>
    <row r="185" spans="1:14" x14ac:dyDescent="0.3">
      <c r="A185">
        <f t="shared" si="54"/>
        <v>1.6666666666666667</v>
      </c>
      <c r="B185">
        <v>10</v>
      </c>
      <c r="C185">
        <v>4</v>
      </c>
      <c r="D185" s="15">
        <v>1.6</v>
      </c>
      <c r="E185" s="1">
        <v>5.0759999999999996</v>
      </c>
      <c r="F185" s="6">
        <f t="shared" si="52"/>
        <v>3.1520882584712373</v>
      </c>
      <c r="G185" s="9">
        <v>0.54</v>
      </c>
      <c r="H185" s="8">
        <v>6.3750000000000005E-4</v>
      </c>
      <c r="I185" s="9">
        <f t="shared" si="42"/>
        <v>13.695156063493128</v>
      </c>
      <c r="J185" s="16">
        <v>3</v>
      </c>
      <c r="K185" s="7">
        <v>0</v>
      </c>
      <c r="L185" s="10">
        <f t="shared" si="43"/>
        <v>19.936623459420002</v>
      </c>
      <c r="M185" s="12"/>
      <c r="N185" s="11">
        <f>-(1.7*K185^2)/19.62</f>
        <v>0</v>
      </c>
    </row>
    <row r="186" spans="1:14" x14ac:dyDescent="0.3">
      <c r="A186">
        <f t="shared" si="54"/>
        <v>1.6666666666666667</v>
      </c>
      <c r="B186">
        <v>10</v>
      </c>
      <c r="C186">
        <v>4</v>
      </c>
      <c r="D186" s="15">
        <v>3.2</v>
      </c>
      <c r="E186" s="1">
        <v>5.0759999999999996</v>
      </c>
      <c r="F186" s="6">
        <f t="shared" si="52"/>
        <v>6.3041765169424746</v>
      </c>
      <c r="G186" s="9">
        <v>0.54</v>
      </c>
      <c r="H186" s="8">
        <v>6.3750000000000005E-4</v>
      </c>
      <c r="I186" s="9">
        <f t="shared" si="42"/>
        <v>27.390312126986256</v>
      </c>
      <c r="J186" s="16">
        <v>4.5</v>
      </c>
      <c r="K186" s="7">
        <v>3.29</v>
      </c>
      <c r="L186" s="10">
        <f t="shared" si="43"/>
        <v>4.5211526703210936</v>
      </c>
      <c r="M186" s="12"/>
      <c r="N186" s="11">
        <f t="shared" ref="N186:N191" si="57">-(1.7*K186^2)/19.62</f>
        <v>-0.93786799184505587</v>
      </c>
    </row>
    <row r="187" spans="1:14" x14ac:dyDescent="0.3">
      <c r="A187">
        <f t="shared" si="54"/>
        <v>1.6666666666666667</v>
      </c>
      <c r="B187">
        <v>10</v>
      </c>
      <c r="C187">
        <v>4</v>
      </c>
      <c r="D187" s="15">
        <v>4.8</v>
      </c>
      <c r="E187" s="1">
        <v>5.0759999999999996</v>
      </c>
      <c r="F187" s="6">
        <f t="shared" si="52"/>
        <v>9.456264775413711</v>
      </c>
      <c r="G187" s="9">
        <v>0.54</v>
      </c>
      <c r="H187" s="8">
        <v>6.3750000000000005E-4</v>
      </c>
      <c r="I187" s="9">
        <f t="shared" si="42"/>
        <v>41.085468190479375</v>
      </c>
      <c r="J187" s="16">
        <v>4.5</v>
      </c>
      <c r="K187" s="7">
        <v>6.87</v>
      </c>
      <c r="L187" s="10">
        <f t="shared" si="43"/>
        <v>1.3179103841193753</v>
      </c>
      <c r="M187" s="12"/>
      <c r="N187" s="11">
        <f t="shared" si="57"/>
        <v>-4.0894357798165135</v>
      </c>
    </row>
    <row r="188" spans="1:14" x14ac:dyDescent="0.3">
      <c r="A188">
        <f t="shared" si="54"/>
        <v>1.6666666666666667</v>
      </c>
      <c r="B188">
        <v>10</v>
      </c>
      <c r="C188">
        <v>4</v>
      </c>
      <c r="D188" s="15">
        <v>6.4</v>
      </c>
      <c r="E188" s="1">
        <v>5.0759999999999996</v>
      </c>
      <c r="F188" s="6">
        <f t="shared" si="52"/>
        <v>12.608353033884949</v>
      </c>
      <c r="G188" s="9">
        <v>0.54</v>
      </c>
      <c r="H188" s="8">
        <v>6.3750000000000005E-4</v>
      </c>
      <c r="I188" s="9">
        <f t="shared" si="42"/>
        <v>54.780624253972512</v>
      </c>
      <c r="J188" s="16">
        <v>4.5</v>
      </c>
      <c r="K188" s="7">
        <v>12</v>
      </c>
      <c r="L188" s="10">
        <f t="shared" si="43"/>
        <v>-0.29386874003624974</v>
      </c>
      <c r="M188" s="12"/>
      <c r="N188" s="11">
        <f t="shared" si="57"/>
        <v>-12.477064220183484</v>
      </c>
    </row>
    <row r="189" spans="1:14" x14ac:dyDescent="0.3">
      <c r="A189">
        <f t="shared" si="54"/>
        <v>1.6666666666666667</v>
      </c>
      <c r="B189">
        <v>10</v>
      </c>
      <c r="C189">
        <v>4</v>
      </c>
      <c r="D189" s="15">
        <v>8</v>
      </c>
      <c r="E189" s="1">
        <v>5.0759999999999996</v>
      </c>
      <c r="F189" s="6">
        <f t="shared" si="52"/>
        <v>15.760441292356187</v>
      </c>
      <c r="G189" s="9">
        <v>0.54</v>
      </c>
      <c r="H189" s="8">
        <v>6.3750000000000005E-4</v>
      </c>
      <c r="I189" s="9">
        <f t="shared" si="42"/>
        <v>68.475780317465635</v>
      </c>
      <c r="J189" s="16">
        <v>4.5</v>
      </c>
      <c r="K189" s="7">
        <v>17.170000000000002</v>
      </c>
      <c r="L189" s="10">
        <f t="shared" si="43"/>
        <v>-1.2202172704280252</v>
      </c>
      <c r="M189" s="12"/>
      <c r="N189" s="11">
        <f t="shared" si="57"/>
        <v>-25.544094291539249</v>
      </c>
    </row>
    <row r="190" spans="1:14" x14ac:dyDescent="0.3">
      <c r="A190">
        <f t="shared" si="54"/>
        <v>1.6666666666666667</v>
      </c>
      <c r="B190">
        <v>10</v>
      </c>
      <c r="C190">
        <v>4</v>
      </c>
      <c r="D190" s="15">
        <v>9.6</v>
      </c>
      <c r="E190" s="1">
        <v>5.0759999999999996</v>
      </c>
      <c r="F190" s="6">
        <f t="shared" si="52"/>
        <v>18.912529550827422</v>
      </c>
      <c r="G190" s="9">
        <v>0.54</v>
      </c>
      <c r="H190" s="8">
        <v>6.3750000000000005E-4</v>
      </c>
      <c r="I190" s="9">
        <f t="shared" si="42"/>
        <v>82.17093638095875</v>
      </c>
      <c r="J190" s="16">
        <v>4.5</v>
      </c>
      <c r="K190" s="7">
        <v>25.09</v>
      </c>
      <c r="L190" s="10">
        <f t="shared" si="43"/>
        <v>-2.4381319851914065</v>
      </c>
      <c r="M190" s="12"/>
      <c r="N190" s="11">
        <f t="shared" si="57"/>
        <v>-54.544534658511715</v>
      </c>
    </row>
    <row r="191" spans="1:14" x14ac:dyDescent="0.3">
      <c r="A191">
        <f t="shared" si="54"/>
        <v>1.6666666666666667</v>
      </c>
      <c r="B191">
        <v>10</v>
      </c>
      <c r="C191">
        <v>4</v>
      </c>
      <c r="D191" s="16">
        <v>9.8000000000000007</v>
      </c>
      <c r="E191" s="1">
        <v>5.0759999999999996</v>
      </c>
      <c r="F191" s="6">
        <f t="shared" si="52"/>
        <v>19.306540583136332</v>
      </c>
      <c r="G191" s="9">
        <v>0.54</v>
      </c>
      <c r="H191" s="8">
        <v>6.3750000000000005E-4</v>
      </c>
      <c r="I191" s="9">
        <f t="shared" si="42"/>
        <v>83.882830888895427</v>
      </c>
      <c r="J191" s="16">
        <v>4.5</v>
      </c>
      <c r="K191" s="7">
        <v>25.74</v>
      </c>
      <c r="L191" s="10">
        <f t="shared" si="43"/>
        <v>-2.490318052996916</v>
      </c>
      <c r="M191" s="12"/>
      <c r="N191" s="11">
        <f t="shared" si="57"/>
        <v>-57.407284403669706</v>
      </c>
    </row>
    <row r="192" spans="1:14" x14ac:dyDescent="0.3">
      <c r="A192">
        <f t="shared" si="54"/>
        <v>1.6666666666666667</v>
      </c>
      <c r="B192">
        <v>10</v>
      </c>
      <c r="C192">
        <v>6</v>
      </c>
      <c r="D192" s="15">
        <v>1.6</v>
      </c>
      <c r="E192" s="1">
        <v>5.0759999999999996</v>
      </c>
      <c r="F192" s="6">
        <f t="shared" si="52"/>
        <v>3.1520882584712373</v>
      </c>
      <c r="G192" s="9">
        <v>0.54</v>
      </c>
      <c r="H192" s="8">
        <v>4.2499999999999998E-4</v>
      </c>
      <c r="I192" s="9">
        <f t="shared" si="42"/>
        <v>13.695156063493128</v>
      </c>
      <c r="J192" s="16">
        <v>3</v>
      </c>
      <c r="K192" s="7">
        <v>0</v>
      </c>
      <c r="L192" s="10">
        <f t="shared" si="43"/>
        <v>19.936623459420002</v>
      </c>
      <c r="M192" s="12"/>
      <c r="N192" s="11">
        <f>-(1.7*K192^2)/19.62</f>
        <v>0</v>
      </c>
    </row>
    <row r="193" spans="1:14" x14ac:dyDescent="0.3">
      <c r="A193">
        <f t="shared" si="54"/>
        <v>1.6666666666666667</v>
      </c>
      <c r="B193">
        <v>10</v>
      </c>
      <c r="C193">
        <v>6</v>
      </c>
      <c r="D193" s="15">
        <v>3.2</v>
      </c>
      <c r="E193" s="1">
        <v>5.0759999999999996</v>
      </c>
      <c r="F193" s="6">
        <f t="shared" si="52"/>
        <v>6.3041765169424746</v>
      </c>
      <c r="G193" s="9">
        <v>0.54</v>
      </c>
      <c r="H193" s="8">
        <v>4.2499999999999998E-4</v>
      </c>
      <c r="I193" s="9">
        <f t="shared" si="42"/>
        <v>27.390312126986256</v>
      </c>
      <c r="J193" s="16">
        <v>4.5</v>
      </c>
      <c r="K193" s="7">
        <v>2.65</v>
      </c>
      <c r="L193" s="10">
        <f t="shared" si="43"/>
        <v>4.6837669241010937</v>
      </c>
      <c r="M193" s="12"/>
      <c r="N193" s="11">
        <f t="shared" ref="N193:N198" si="58">-(1.7*K193^2)/19.62</f>
        <v>-0.60847349643221205</v>
      </c>
    </row>
    <row r="194" spans="1:14" x14ac:dyDescent="0.3">
      <c r="A194">
        <f t="shared" si="54"/>
        <v>1.6666666666666667</v>
      </c>
      <c r="B194">
        <v>10</v>
      </c>
      <c r="C194">
        <v>6</v>
      </c>
      <c r="D194" s="15">
        <v>4.8</v>
      </c>
      <c r="E194" s="1">
        <v>5.0759999999999996</v>
      </c>
      <c r="F194" s="6">
        <f t="shared" si="52"/>
        <v>9.456264775413711</v>
      </c>
      <c r="G194" s="9">
        <v>0.54</v>
      </c>
      <c r="H194" s="8">
        <v>4.2499999999999998E-4</v>
      </c>
      <c r="I194" s="9">
        <f t="shared" si="42"/>
        <v>41.085468190479375</v>
      </c>
      <c r="J194" s="16">
        <v>4.5</v>
      </c>
      <c r="K194" s="7">
        <v>6.23</v>
      </c>
      <c r="L194" s="10">
        <f t="shared" si="43"/>
        <v>1.4773003373193752</v>
      </c>
      <c r="M194" s="12"/>
      <c r="N194" s="11">
        <f t="shared" si="58"/>
        <v>-3.3629933741080533</v>
      </c>
    </row>
    <row r="195" spans="1:14" x14ac:dyDescent="0.3">
      <c r="A195">
        <f t="shared" si="54"/>
        <v>1.6666666666666667</v>
      </c>
      <c r="B195">
        <v>10</v>
      </c>
      <c r="C195">
        <v>6</v>
      </c>
      <c r="D195" s="15">
        <v>6.4</v>
      </c>
      <c r="E195" s="1">
        <v>5.0759999999999996</v>
      </c>
      <c r="F195" s="6">
        <f t="shared" si="52"/>
        <v>12.608353033884949</v>
      </c>
      <c r="G195" s="9">
        <v>0.54</v>
      </c>
      <c r="H195" s="8">
        <v>4.2499999999999998E-4</v>
      </c>
      <c r="I195" s="9">
        <f t="shared" ref="I195:I258" si="59">(F195)/((9.81*G195*10^-2))^(1/2)</f>
        <v>54.780624253972512</v>
      </c>
      <c r="J195" s="16">
        <v>4.5</v>
      </c>
      <c r="K195" s="7">
        <v>11.34</v>
      </c>
      <c r="L195" s="10">
        <f t="shared" ref="L195:L258" si="60">(10.33+N195-0.234)/((F195^2)/19.62)</f>
        <v>-0.12913711316015614</v>
      </c>
      <c r="M195" s="12"/>
      <c r="N195" s="11">
        <f t="shared" si="58"/>
        <v>-11.142330275229357</v>
      </c>
    </row>
    <row r="196" spans="1:14" x14ac:dyDescent="0.3">
      <c r="A196">
        <f t="shared" si="54"/>
        <v>1.6666666666666667</v>
      </c>
      <c r="B196">
        <v>10</v>
      </c>
      <c r="C196">
        <v>6</v>
      </c>
      <c r="D196" s="15">
        <v>8</v>
      </c>
      <c r="E196" s="1">
        <v>5.0759999999999996</v>
      </c>
      <c r="F196" s="6">
        <f t="shared" si="52"/>
        <v>15.760441292356187</v>
      </c>
      <c r="G196" s="9">
        <v>0.54</v>
      </c>
      <c r="H196" s="8">
        <v>4.2499999999999998E-4</v>
      </c>
      <c r="I196" s="9">
        <f t="shared" si="59"/>
        <v>68.475780317465635</v>
      </c>
      <c r="J196" s="16">
        <v>4.5</v>
      </c>
      <c r="K196" s="7">
        <v>17.48</v>
      </c>
      <c r="L196" s="10">
        <f t="shared" si="60"/>
        <v>-1.2937324643243999</v>
      </c>
      <c r="M196" s="12"/>
      <c r="N196" s="11">
        <f t="shared" si="58"/>
        <v>-26.474805300713559</v>
      </c>
    </row>
    <row r="197" spans="1:14" x14ac:dyDescent="0.3">
      <c r="A197">
        <f t="shared" si="54"/>
        <v>1.6666666666666667</v>
      </c>
      <c r="B197">
        <v>10</v>
      </c>
      <c r="C197">
        <v>6</v>
      </c>
      <c r="D197" s="15">
        <v>9.6</v>
      </c>
      <c r="E197" s="1">
        <v>5.0759999999999996</v>
      </c>
      <c r="F197" s="6">
        <f t="shared" si="52"/>
        <v>18.912529550827422</v>
      </c>
      <c r="G197" s="9">
        <v>0.54</v>
      </c>
      <c r="H197" s="8">
        <v>4.2499999999999998E-4</v>
      </c>
      <c r="I197" s="9">
        <f t="shared" si="59"/>
        <v>82.17093638095875</v>
      </c>
      <c r="J197" s="16">
        <v>4.5</v>
      </c>
      <c r="K197" s="7">
        <v>23.78</v>
      </c>
      <c r="L197" s="10">
        <f t="shared" si="60"/>
        <v>-2.133859055000626</v>
      </c>
      <c r="M197" s="12"/>
      <c r="N197" s="11">
        <f t="shared" si="58"/>
        <v>-48.997465851172279</v>
      </c>
    </row>
    <row r="198" spans="1:14" x14ac:dyDescent="0.3">
      <c r="A198">
        <f t="shared" si="54"/>
        <v>1.6666666666666667</v>
      </c>
      <c r="B198">
        <v>10</v>
      </c>
      <c r="C198">
        <v>6</v>
      </c>
      <c r="D198" s="16">
        <v>9.8000000000000007</v>
      </c>
      <c r="E198" s="1">
        <v>5.0759999999999996</v>
      </c>
      <c r="F198" s="6">
        <f t="shared" si="52"/>
        <v>19.306540583136332</v>
      </c>
      <c r="G198" s="9">
        <v>0.54</v>
      </c>
      <c r="H198" s="8">
        <v>4.2499999999999998E-4</v>
      </c>
      <c r="I198" s="9">
        <f t="shared" si="59"/>
        <v>83.882830888895427</v>
      </c>
      <c r="J198" s="16">
        <v>4.5</v>
      </c>
      <c r="K198" s="7">
        <v>24.2</v>
      </c>
      <c r="L198" s="10">
        <f t="shared" si="60"/>
        <v>-2.1395587037355757</v>
      </c>
      <c r="M198" s="12"/>
      <c r="N198" s="11">
        <f t="shared" si="58"/>
        <v>-50.743527013251779</v>
      </c>
    </row>
    <row r="199" spans="1:14" x14ac:dyDescent="0.3">
      <c r="A199">
        <f t="shared" si="54"/>
        <v>1.6666666666666667</v>
      </c>
      <c r="B199">
        <v>15</v>
      </c>
      <c r="C199">
        <v>1</v>
      </c>
      <c r="D199" s="15">
        <v>1.9</v>
      </c>
      <c r="E199" s="1">
        <v>7.6139999999999999</v>
      </c>
      <c r="F199" s="6">
        <f t="shared" si="52"/>
        <v>2.4954032046230625</v>
      </c>
      <c r="G199" s="9">
        <v>0.81</v>
      </c>
      <c r="H199" s="8">
        <v>3.7299999999999998E-3</v>
      </c>
      <c r="I199" s="9">
        <f t="shared" si="59"/>
        <v>8.8524547467150541</v>
      </c>
      <c r="J199" s="16">
        <v>3</v>
      </c>
      <c r="K199" s="7">
        <v>0</v>
      </c>
      <c r="L199" s="10">
        <f t="shared" si="60"/>
        <v>31.810235769046876</v>
      </c>
      <c r="M199" s="12"/>
      <c r="N199" s="11">
        <f>-(1.7*K199^2)/19.62</f>
        <v>0</v>
      </c>
    </row>
    <row r="200" spans="1:14" x14ac:dyDescent="0.3">
      <c r="A200">
        <f t="shared" si="54"/>
        <v>1.6666666666666667</v>
      </c>
      <c r="B200">
        <v>15</v>
      </c>
      <c r="C200">
        <v>1</v>
      </c>
      <c r="D200" s="15">
        <v>3.8</v>
      </c>
      <c r="E200" s="1">
        <v>7.6139999999999999</v>
      </c>
      <c r="F200" s="6">
        <f t="shared" si="52"/>
        <v>4.9908064092461251</v>
      </c>
      <c r="G200" s="9">
        <v>0.81</v>
      </c>
      <c r="H200" s="8">
        <v>3.7299999999999998E-3</v>
      </c>
      <c r="I200" s="9">
        <f t="shared" si="59"/>
        <v>17.704909493430108</v>
      </c>
      <c r="J200" s="16">
        <v>4.5</v>
      </c>
      <c r="K200" s="7">
        <v>1.77</v>
      </c>
      <c r="L200" s="10">
        <f t="shared" si="60"/>
        <v>7.7387361454568167</v>
      </c>
      <c r="M200" s="12"/>
      <c r="N200" s="11">
        <f t="shared" ref="N200:N205" si="61">-(1.7*K200^2)/19.62</f>
        <v>-0.27145412844036698</v>
      </c>
    </row>
    <row r="201" spans="1:14" x14ac:dyDescent="0.3">
      <c r="A201">
        <f t="shared" si="54"/>
        <v>1.6666666666666667</v>
      </c>
      <c r="B201">
        <v>15</v>
      </c>
      <c r="C201">
        <v>1</v>
      </c>
      <c r="D201" s="15">
        <v>5.7</v>
      </c>
      <c r="E201" s="1">
        <v>7.6139999999999999</v>
      </c>
      <c r="F201" s="6">
        <f t="shared" si="52"/>
        <v>7.486209613869188</v>
      </c>
      <c r="G201" s="9">
        <v>0.81</v>
      </c>
      <c r="H201" s="8">
        <v>3.7299999999999998E-3</v>
      </c>
      <c r="I201" s="9">
        <f t="shared" si="59"/>
        <v>26.557364240145162</v>
      </c>
      <c r="J201" s="16">
        <v>4.5</v>
      </c>
      <c r="K201" s="7">
        <v>3.18</v>
      </c>
      <c r="L201" s="10">
        <f t="shared" si="60"/>
        <v>3.2277244384580617</v>
      </c>
      <c r="M201" s="12"/>
      <c r="N201" s="11">
        <f t="shared" si="61"/>
        <v>-0.87620183486238523</v>
      </c>
    </row>
    <row r="202" spans="1:14" x14ac:dyDescent="0.3">
      <c r="A202">
        <f t="shared" si="54"/>
        <v>1.6666666666666667</v>
      </c>
      <c r="B202">
        <v>15</v>
      </c>
      <c r="C202">
        <v>1</v>
      </c>
      <c r="D202" s="15">
        <v>7.6</v>
      </c>
      <c r="E202" s="1">
        <v>7.6139999999999999</v>
      </c>
      <c r="F202" s="6">
        <f t="shared" si="52"/>
        <v>9.9816128184922501</v>
      </c>
      <c r="G202" s="9">
        <v>0.81</v>
      </c>
      <c r="H202" s="8">
        <v>3.7299999999999998E-3</v>
      </c>
      <c r="I202" s="9">
        <f t="shared" si="59"/>
        <v>35.409818986860216</v>
      </c>
      <c r="J202" s="16">
        <v>4.5</v>
      </c>
      <c r="K202" s="7">
        <v>5.32</v>
      </c>
      <c r="L202" s="10">
        <f t="shared" si="60"/>
        <v>1.5052246788854298</v>
      </c>
      <c r="M202" s="12"/>
      <c r="N202" s="11">
        <f t="shared" si="61"/>
        <v>-2.4522976554536187</v>
      </c>
    </row>
    <row r="203" spans="1:14" x14ac:dyDescent="0.3">
      <c r="A203">
        <f t="shared" si="54"/>
        <v>1.6666666666666667</v>
      </c>
      <c r="B203">
        <v>15</v>
      </c>
      <c r="C203">
        <v>1</v>
      </c>
      <c r="D203" s="15">
        <v>9.5</v>
      </c>
      <c r="E203" s="1">
        <v>7.6139999999999999</v>
      </c>
      <c r="F203" s="6">
        <f t="shared" si="52"/>
        <v>12.477016023115313</v>
      </c>
      <c r="G203" s="9">
        <v>0.81</v>
      </c>
      <c r="H203" s="8">
        <v>3.7299999999999998E-3</v>
      </c>
      <c r="I203" s="9">
        <f t="shared" si="59"/>
        <v>44.26227373357527</v>
      </c>
      <c r="J203" s="16">
        <v>4.5</v>
      </c>
      <c r="K203" s="7">
        <v>8.3800000000000008</v>
      </c>
      <c r="L203" s="10">
        <f t="shared" si="60"/>
        <v>0.50555047646668594</v>
      </c>
      <c r="M203" s="12"/>
      <c r="N203" s="11">
        <f t="shared" si="61"/>
        <v>-6.0846829765545367</v>
      </c>
    </row>
    <row r="204" spans="1:14" x14ac:dyDescent="0.3">
      <c r="A204">
        <f t="shared" si="54"/>
        <v>1.6666666666666667</v>
      </c>
      <c r="B204">
        <v>15</v>
      </c>
      <c r="C204">
        <v>1</v>
      </c>
      <c r="D204" s="15">
        <v>11.4</v>
      </c>
      <c r="E204" s="1">
        <v>7.6139999999999999</v>
      </c>
      <c r="F204" s="6">
        <f t="shared" si="52"/>
        <v>14.972419227738376</v>
      </c>
      <c r="G204" s="9">
        <v>0.81</v>
      </c>
      <c r="H204" s="8">
        <v>3.7299999999999998E-3</v>
      </c>
      <c r="I204" s="9">
        <f t="shared" si="59"/>
        <v>53.114728480290324</v>
      </c>
      <c r="J204" s="16">
        <v>4.5</v>
      </c>
      <c r="K204" s="7">
        <v>10.76</v>
      </c>
      <c r="L204" s="10">
        <f t="shared" si="60"/>
        <v>5.6277879157895722E-3</v>
      </c>
      <c r="M204" s="12"/>
      <c r="N204" s="11">
        <f t="shared" si="61"/>
        <v>-10.031698267074413</v>
      </c>
    </row>
    <row r="205" spans="1:14" x14ac:dyDescent="0.3">
      <c r="A205">
        <f t="shared" si="54"/>
        <v>1.6666666666666667</v>
      </c>
      <c r="B205">
        <v>15</v>
      </c>
      <c r="C205">
        <v>1</v>
      </c>
      <c r="D205" s="16">
        <v>13.3</v>
      </c>
      <c r="E205" s="1">
        <v>7.6139999999999999</v>
      </c>
      <c r="F205" s="6">
        <f t="shared" si="52"/>
        <v>17.467822432361441</v>
      </c>
      <c r="G205" s="9">
        <v>0.81</v>
      </c>
      <c r="H205" s="8">
        <v>3.7299999999999998E-3</v>
      </c>
      <c r="I205" s="9">
        <f t="shared" si="59"/>
        <v>61.967183227005386</v>
      </c>
      <c r="J205" s="16">
        <v>4.5</v>
      </c>
      <c r="K205" s="7">
        <v>13.22</v>
      </c>
      <c r="L205" s="10">
        <f t="shared" si="60"/>
        <v>-0.32453197294301311</v>
      </c>
      <c r="M205" s="12"/>
      <c r="N205" s="11">
        <f t="shared" si="61"/>
        <v>-15.143031600407747</v>
      </c>
    </row>
    <row r="206" spans="1:14" x14ac:dyDescent="0.3">
      <c r="A206">
        <f t="shared" si="54"/>
        <v>1.6666666666666667</v>
      </c>
      <c r="B206">
        <v>15</v>
      </c>
      <c r="C206">
        <v>2</v>
      </c>
      <c r="D206" s="15">
        <v>1.9</v>
      </c>
      <c r="E206" s="1">
        <v>7.6139999999999999</v>
      </c>
      <c r="F206" s="6">
        <f t="shared" si="52"/>
        <v>2.4954032046230625</v>
      </c>
      <c r="G206" s="9">
        <v>0.81</v>
      </c>
      <c r="H206" s="8">
        <v>1.8649999999999999E-3</v>
      </c>
      <c r="I206" s="9">
        <f t="shared" si="59"/>
        <v>8.8524547467150541</v>
      </c>
      <c r="J206" s="16">
        <v>3</v>
      </c>
      <c r="K206" s="7">
        <v>0</v>
      </c>
      <c r="L206" s="10">
        <f t="shared" si="60"/>
        <v>31.810235769046876</v>
      </c>
      <c r="M206" s="12"/>
      <c r="N206" s="11">
        <f>-(1.7*K206^2)/19.62</f>
        <v>0</v>
      </c>
    </row>
    <row r="207" spans="1:14" x14ac:dyDescent="0.3">
      <c r="A207">
        <f t="shared" si="54"/>
        <v>1.6666666666666667</v>
      </c>
      <c r="B207">
        <v>15</v>
      </c>
      <c r="C207">
        <v>2</v>
      </c>
      <c r="D207" s="15">
        <v>3.8</v>
      </c>
      <c r="E207" s="1">
        <v>7.6139999999999999</v>
      </c>
      <c r="F207" s="6">
        <f t="shared" si="52"/>
        <v>4.9908064092461251</v>
      </c>
      <c r="G207" s="9">
        <v>0.81</v>
      </c>
      <c r="H207" s="8">
        <v>1.8649999999999999E-3</v>
      </c>
      <c r="I207" s="9">
        <f t="shared" si="59"/>
        <v>17.704909493430108</v>
      </c>
      <c r="J207" s="16">
        <v>4.5</v>
      </c>
      <c r="K207" s="7">
        <v>3.18</v>
      </c>
      <c r="L207" s="10">
        <f t="shared" si="60"/>
        <v>7.2623799865306387</v>
      </c>
      <c r="M207" s="12"/>
      <c r="N207" s="11">
        <f t="shared" ref="N207:N212" si="62">-(1.7*K207^2)/19.62</f>
        <v>-0.87620183486238523</v>
      </c>
    </row>
    <row r="208" spans="1:14" x14ac:dyDescent="0.3">
      <c r="A208">
        <f t="shared" si="54"/>
        <v>1.6666666666666667</v>
      </c>
      <c r="B208">
        <v>15</v>
      </c>
      <c r="C208">
        <v>2</v>
      </c>
      <c r="D208" s="15">
        <v>5.7</v>
      </c>
      <c r="E208" s="1">
        <v>7.6139999999999999</v>
      </c>
      <c r="F208" s="6">
        <f t="shared" si="52"/>
        <v>7.486209613869188</v>
      </c>
      <c r="G208" s="9">
        <v>0.81</v>
      </c>
      <c r="H208" s="8">
        <v>1.8649999999999999E-3</v>
      </c>
      <c r="I208" s="9">
        <f t="shared" si="59"/>
        <v>26.557364240145162</v>
      </c>
      <c r="J208" s="16">
        <v>4.5</v>
      </c>
      <c r="K208" s="7">
        <v>7.63</v>
      </c>
      <c r="L208" s="10">
        <f t="shared" si="60"/>
        <v>1.7685384192708038</v>
      </c>
      <c r="M208" s="12"/>
      <c r="N208" s="11">
        <f t="shared" si="62"/>
        <v>-5.0442777777777774</v>
      </c>
    </row>
    <row r="209" spans="1:14" x14ac:dyDescent="0.3">
      <c r="A209">
        <f t="shared" si="54"/>
        <v>1.6666666666666667</v>
      </c>
      <c r="B209">
        <v>15</v>
      </c>
      <c r="C209">
        <v>2</v>
      </c>
      <c r="D209" s="15">
        <v>7.6</v>
      </c>
      <c r="E209" s="1">
        <v>7.6139999999999999</v>
      </c>
      <c r="F209" s="6">
        <f t="shared" si="52"/>
        <v>9.9816128184922501</v>
      </c>
      <c r="G209" s="9">
        <v>0.81</v>
      </c>
      <c r="H209" s="8">
        <v>1.8649999999999999E-3</v>
      </c>
      <c r="I209" s="9">
        <f t="shared" si="59"/>
        <v>35.409818986860216</v>
      </c>
      <c r="J209" s="16">
        <v>4.5</v>
      </c>
      <c r="K209" s="7">
        <v>10.89</v>
      </c>
      <c r="L209" s="10">
        <f t="shared" si="60"/>
        <v>-3.5360416128428065E-2</v>
      </c>
      <c r="M209" s="12"/>
      <c r="N209" s="11">
        <f t="shared" si="62"/>
        <v>-10.275564220183487</v>
      </c>
    </row>
    <row r="210" spans="1:14" x14ac:dyDescent="0.3">
      <c r="A210">
        <f t="shared" si="54"/>
        <v>1.6666666666666667</v>
      </c>
      <c r="B210">
        <v>15</v>
      </c>
      <c r="C210">
        <v>2</v>
      </c>
      <c r="D210" s="15">
        <v>9.5</v>
      </c>
      <c r="E210" s="1">
        <v>7.6139999999999999</v>
      </c>
      <c r="F210" s="6">
        <f t="shared" si="52"/>
        <v>12.477016023115313</v>
      </c>
      <c r="G210" s="9">
        <v>0.81</v>
      </c>
      <c r="H210" s="8">
        <v>1.8649999999999999E-3</v>
      </c>
      <c r="I210" s="9">
        <f t="shared" si="59"/>
        <v>44.26227373357527</v>
      </c>
      <c r="J210" s="16">
        <v>4.5</v>
      </c>
      <c r="K210" s="7">
        <v>14.58</v>
      </c>
      <c r="L210" s="10">
        <f t="shared" si="60"/>
        <v>-1.0489506066586771</v>
      </c>
      <c r="M210" s="12"/>
      <c r="N210" s="11">
        <f t="shared" si="62"/>
        <v>-18.418954128440365</v>
      </c>
    </row>
    <row r="211" spans="1:14" x14ac:dyDescent="0.3">
      <c r="A211">
        <f t="shared" si="54"/>
        <v>1.6666666666666667</v>
      </c>
      <c r="B211">
        <v>15</v>
      </c>
      <c r="C211">
        <v>2</v>
      </c>
      <c r="D211" s="15">
        <v>11.4</v>
      </c>
      <c r="E211" s="1">
        <v>7.6139999999999999</v>
      </c>
      <c r="F211" s="6">
        <f t="shared" si="52"/>
        <v>14.972419227738376</v>
      </c>
      <c r="G211" s="9">
        <v>0.81</v>
      </c>
      <c r="H211" s="8">
        <v>1.8649999999999999E-3</v>
      </c>
      <c r="I211" s="9">
        <f t="shared" si="59"/>
        <v>53.114728480290324</v>
      </c>
      <c r="J211" s="16">
        <v>4.5</v>
      </c>
      <c r="K211" s="7">
        <v>18.63</v>
      </c>
      <c r="L211" s="10">
        <f t="shared" si="60"/>
        <v>-1.7484113602293909</v>
      </c>
      <c r="M211" s="12"/>
      <c r="N211" s="11">
        <f t="shared" si="62"/>
        <v>-30.072922018348621</v>
      </c>
    </row>
    <row r="212" spans="1:14" x14ac:dyDescent="0.3">
      <c r="A212">
        <f t="shared" si="54"/>
        <v>1.6666666666666667</v>
      </c>
      <c r="B212">
        <v>15</v>
      </c>
      <c r="C212">
        <v>2</v>
      </c>
      <c r="D212" s="16">
        <v>13.3</v>
      </c>
      <c r="E212" s="1">
        <v>7.6139999999999999</v>
      </c>
      <c r="F212" s="6">
        <f t="shared" si="52"/>
        <v>17.467822432361441</v>
      </c>
      <c r="G212" s="9">
        <v>0.81</v>
      </c>
      <c r="H212" s="8">
        <v>1.8649999999999999E-3</v>
      </c>
      <c r="I212" s="9">
        <f t="shared" si="59"/>
        <v>61.967183227005386</v>
      </c>
      <c r="J212" s="16">
        <v>4.5</v>
      </c>
      <c r="K212" s="7">
        <v>22.89</v>
      </c>
      <c r="L212" s="10">
        <f t="shared" si="60"/>
        <v>-2.2700055957436702</v>
      </c>
      <c r="M212" s="12"/>
      <c r="N212" s="11">
        <f t="shared" si="62"/>
        <v>-45.398499999999991</v>
      </c>
    </row>
    <row r="213" spans="1:14" x14ac:dyDescent="0.3">
      <c r="A213">
        <f t="shared" si="54"/>
        <v>1.6666666666666667</v>
      </c>
      <c r="B213">
        <v>15</v>
      </c>
      <c r="C213">
        <v>4</v>
      </c>
      <c r="D213" s="15">
        <v>1.9</v>
      </c>
      <c r="E213" s="1">
        <v>7.6139999999999999</v>
      </c>
      <c r="F213" s="6">
        <f t="shared" si="52"/>
        <v>2.4954032046230625</v>
      </c>
      <c r="G213" s="9">
        <v>0.81</v>
      </c>
      <c r="H213" s="8">
        <v>9.3249999999999995E-4</v>
      </c>
      <c r="I213" s="9">
        <f t="shared" si="59"/>
        <v>8.8524547467150541</v>
      </c>
      <c r="J213" s="16">
        <v>3</v>
      </c>
      <c r="K213" s="7">
        <v>0</v>
      </c>
      <c r="L213" s="10">
        <f t="shared" si="60"/>
        <v>31.810235769046876</v>
      </c>
      <c r="M213" s="12"/>
      <c r="N213" s="11">
        <f>-(1.7*K213^2)/19.62</f>
        <v>0</v>
      </c>
    </row>
    <row r="214" spans="1:14" x14ac:dyDescent="0.3">
      <c r="A214">
        <f t="shared" si="54"/>
        <v>1.6666666666666667</v>
      </c>
      <c r="B214">
        <v>15</v>
      </c>
      <c r="C214">
        <v>4</v>
      </c>
      <c r="D214" s="15">
        <v>3.8</v>
      </c>
      <c r="E214" s="1">
        <v>7.6139999999999999</v>
      </c>
      <c r="F214" s="6">
        <f t="shared" si="52"/>
        <v>4.9908064092461251</v>
      </c>
      <c r="G214" s="9">
        <v>0.81</v>
      </c>
      <c r="H214" s="8">
        <v>9.3249999999999995E-4</v>
      </c>
      <c r="I214" s="9">
        <f t="shared" si="59"/>
        <v>17.704909493430108</v>
      </c>
      <c r="J214" s="16">
        <v>4.5</v>
      </c>
      <c r="K214" s="7">
        <v>2.96</v>
      </c>
      <c r="L214" s="10">
        <f t="shared" si="60"/>
        <v>7.3545731091722999</v>
      </c>
      <c r="M214" s="12"/>
      <c r="N214" s="11">
        <f t="shared" ref="N214:N219" si="63">-(1.7*K214^2)/19.62</f>
        <v>-0.75916004077471966</v>
      </c>
    </row>
    <row r="215" spans="1:14" x14ac:dyDescent="0.3">
      <c r="A215">
        <f t="shared" si="54"/>
        <v>1.6666666666666667</v>
      </c>
      <c r="B215">
        <v>15</v>
      </c>
      <c r="C215">
        <v>4</v>
      </c>
      <c r="D215" s="15">
        <v>5.7</v>
      </c>
      <c r="E215" s="1">
        <v>7.6139999999999999</v>
      </c>
      <c r="F215" s="6">
        <f t="shared" si="52"/>
        <v>7.486209613869188</v>
      </c>
      <c r="G215" s="9">
        <v>0.81</v>
      </c>
      <c r="H215" s="8">
        <v>9.3249999999999995E-4</v>
      </c>
      <c r="I215" s="9">
        <f t="shared" si="59"/>
        <v>26.557364240145162</v>
      </c>
      <c r="J215" s="16">
        <v>4.5</v>
      </c>
      <c r="K215" s="7">
        <v>7.65</v>
      </c>
      <c r="L215" s="10">
        <f t="shared" si="60"/>
        <v>1.7592684497780613</v>
      </c>
      <c r="M215" s="12"/>
      <c r="N215" s="11">
        <f t="shared" si="63"/>
        <v>-5.0707568807339447</v>
      </c>
    </row>
    <row r="216" spans="1:14" x14ac:dyDescent="0.3">
      <c r="A216">
        <f t="shared" si="54"/>
        <v>1.6666666666666667</v>
      </c>
      <c r="B216">
        <v>15</v>
      </c>
      <c r="C216">
        <v>4</v>
      </c>
      <c r="D216" s="15">
        <v>7.6</v>
      </c>
      <c r="E216" s="1">
        <v>7.6139999999999999</v>
      </c>
      <c r="F216" s="6">
        <f t="shared" si="52"/>
        <v>9.9816128184922501</v>
      </c>
      <c r="G216" s="9">
        <v>0.81</v>
      </c>
      <c r="H216" s="8">
        <v>9.3249999999999995E-4</v>
      </c>
      <c r="I216" s="9">
        <f t="shared" si="59"/>
        <v>35.409818986860216</v>
      </c>
      <c r="J216" s="16">
        <v>4.5</v>
      </c>
      <c r="K216" s="7">
        <v>13.18</v>
      </c>
      <c r="L216" s="10">
        <f t="shared" si="60"/>
        <v>-0.97586096727315796</v>
      </c>
      <c r="M216" s="12"/>
      <c r="N216" s="11">
        <f t="shared" si="63"/>
        <v>-15.051533129459735</v>
      </c>
    </row>
    <row r="217" spans="1:14" x14ac:dyDescent="0.3">
      <c r="A217">
        <f t="shared" si="54"/>
        <v>1.6666666666666667</v>
      </c>
      <c r="B217">
        <v>15</v>
      </c>
      <c r="C217">
        <v>4</v>
      </c>
      <c r="D217" s="15">
        <v>9.5</v>
      </c>
      <c r="E217" s="1">
        <v>7.6139999999999999</v>
      </c>
      <c r="F217" s="6">
        <f t="shared" si="52"/>
        <v>12.477016023115313</v>
      </c>
      <c r="G217" s="9">
        <v>0.81</v>
      </c>
      <c r="H217" s="8">
        <v>9.3249999999999995E-4</v>
      </c>
      <c r="I217" s="9">
        <f t="shared" si="59"/>
        <v>44.26227373357527</v>
      </c>
      <c r="J217" s="16">
        <v>4.5</v>
      </c>
      <c r="K217" s="7">
        <v>18.64</v>
      </c>
      <c r="L217" s="10">
        <f t="shared" si="60"/>
        <v>-2.5217822878755469</v>
      </c>
      <c r="M217" s="12"/>
      <c r="N217" s="11">
        <f t="shared" si="63"/>
        <v>-30.105215086646282</v>
      </c>
    </row>
    <row r="218" spans="1:14" x14ac:dyDescent="0.3">
      <c r="A218">
        <f t="shared" si="54"/>
        <v>1.6666666666666667</v>
      </c>
      <c r="B218">
        <v>15</v>
      </c>
      <c r="C218">
        <v>4</v>
      </c>
      <c r="D218" s="15">
        <v>11.4</v>
      </c>
      <c r="E218" s="1">
        <v>7.6139999999999999</v>
      </c>
      <c r="F218" s="6">
        <f t="shared" si="52"/>
        <v>14.972419227738376</v>
      </c>
      <c r="G218" s="9">
        <v>0.81</v>
      </c>
      <c r="H218" s="8">
        <v>9.3249999999999995E-4</v>
      </c>
      <c r="I218" s="9">
        <f t="shared" si="59"/>
        <v>53.114728480290324</v>
      </c>
      <c r="J218" s="16">
        <v>4.5</v>
      </c>
      <c r="K218" s="7">
        <v>22.16</v>
      </c>
      <c r="L218" s="10">
        <f t="shared" si="60"/>
        <v>-2.8403377806315797</v>
      </c>
      <c r="M218" s="12"/>
      <c r="N218" s="11">
        <f t="shared" si="63"/>
        <v>-42.549007135575941</v>
      </c>
    </row>
    <row r="219" spans="1:14" x14ac:dyDescent="0.3">
      <c r="A219">
        <f t="shared" si="54"/>
        <v>1.6666666666666667</v>
      </c>
      <c r="B219">
        <v>15</v>
      </c>
      <c r="C219">
        <v>4</v>
      </c>
      <c r="D219" s="16">
        <v>13.3</v>
      </c>
      <c r="E219" s="1">
        <v>7.6139999999999999</v>
      </c>
      <c r="F219" s="6">
        <f t="shared" si="52"/>
        <v>17.467822432361441</v>
      </c>
      <c r="G219" s="9">
        <v>0.81</v>
      </c>
      <c r="H219" s="8">
        <v>9.3249999999999995E-4</v>
      </c>
      <c r="I219" s="9">
        <f t="shared" si="59"/>
        <v>61.967183227005386</v>
      </c>
      <c r="J219" s="16">
        <v>4.5</v>
      </c>
      <c r="K219" s="7">
        <v>27.65</v>
      </c>
      <c r="L219" s="10">
        <f t="shared" si="60"/>
        <v>-3.61034126326367</v>
      </c>
      <c r="M219" s="12"/>
      <c r="N219" s="11">
        <f t="shared" si="63"/>
        <v>-66.243030071355747</v>
      </c>
    </row>
    <row r="220" spans="1:14" x14ac:dyDescent="0.3">
      <c r="A220">
        <f t="shared" si="54"/>
        <v>1.6666666666666667</v>
      </c>
      <c r="B220">
        <v>15</v>
      </c>
      <c r="C220">
        <v>6</v>
      </c>
      <c r="D220" s="15">
        <v>1.9</v>
      </c>
      <c r="E220" s="1">
        <v>7.6139999999999999</v>
      </c>
      <c r="F220" s="6">
        <f t="shared" si="52"/>
        <v>2.4954032046230625</v>
      </c>
      <c r="G220" s="9">
        <v>0.81</v>
      </c>
      <c r="H220" s="8">
        <v>6.2166999999999995E-4</v>
      </c>
      <c r="I220" s="9">
        <f t="shared" si="59"/>
        <v>8.8524547467150541</v>
      </c>
      <c r="J220" s="16">
        <v>3</v>
      </c>
      <c r="K220" s="7">
        <v>0</v>
      </c>
      <c r="L220" s="10">
        <f t="shared" si="60"/>
        <v>31.810235769046876</v>
      </c>
      <c r="M220" s="12"/>
      <c r="N220" s="11">
        <f>-(1.7*K220^2)/19.62</f>
        <v>0</v>
      </c>
    </row>
    <row r="221" spans="1:14" x14ac:dyDescent="0.3">
      <c r="A221">
        <f t="shared" si="54"/>
        <v>1.6666666666666667</v>
      </c>
      <c r="B221">
        <v>15</v>
      </c>
      <c r="C221">
        <v>6</v>
      </c>
      <c r="D221" s="15">
        <v>3.8</v>
      </c>
      <c r="E221" s="1">
        <v>7.6139999999999999</v>
      </c>
      <c r="F221" s="6">
        <f t="shared" si="52"/>
        <v>4.9908064092461251</v>
      </c>
      <c r="G221" s="9">
        <v>0.81</v>
      </c>
      <c r="H221" s="8">
        <v>6.2166999999999995E-4</v>
      </c>
      <c r="I221" s="9">
        <f t="shared" si="59"/>
        <v>17.704909493430108</v>
      </c>
      <c r="J221" s="16">
        <v>4.5</v>
      </c>
      <c r="K221" s="7">
        <v>2.85</v>
      </c>
      <c r="L221" s="10">
        <f t="shared" si="60"/>
        <v>7.3981921680117191</v>
      </c>
      <c r="M221" s="12"/>
      <c r="N221" s="11">
        <f t="shared" ref="N221:N226" si="64">-(1.7*K221^2)/19.62</f>
        <v>-0.70378440366972483</v>
      </c>
    </row>
    <row r="222" spans="1:14" x14ac:dyDescent="0.3">
      <c r="A222">
        <f t="shared" si="54"/>
        <v>1.6666666666666667</v>
      </c>
      <c r="B222">
        <v>15</v>
      </c>
      <c r="C222">
        <v>6</v>
      </c>
      <c r="D222" s="15">
        <v>5.7</v>
      </c>
      <c r="E222" s="1">
        <v>7.6139999999999999</v>
      </c>
      <c r="F222" s="6">
        <f t="shared" si="52"/>
        <v>7.486209613869188</v>
      </c>
      <c r="G222" s="9">
        <v>0.81</v>
      </c>
      <c r="H222" s="8">
        <v>6.2166999999999995E-4</v>
      </c>
      <c r="I222" s="9">
        <f t="shared" si="59"/>
        <v>26.557364240145162</v>
      </c>
      <c r="J222" s="16">
        <v>4.5</v>
      </c>
      <c r="K222" s="7">
        <v>5.65</v>
      </c>
      <c r="L222" s="10">
        <f t="shared" si="60"/>
        <v>2.5661440666201667</v>
      </c>
      <c r="M222" s="12"/>
      <c r="N222" s="11">
        <f t="shared" si="64"/>
        <v>-2.7659658511722731</v>
      </c>
    </row>
    <row r="223" spans="1:14" x14ac:dyDescent="0.3">
      <c r="A223">
        <f t="shared" si="54"/>
        <v>1.6666666666666667</v>
      </c>
      <c r="B223">
        <v>15</v>
      </c>
      <c r="C223">
        <v>6</v>
      </c>
      <c r="D223" s="15">
        <v>7.6</v>
      </c>
      <c r="E223" s="1">
        <v>7.6139999999999999</v>
      </c>
      <c r="F223" s="6">
        <f t="shared" si="52"/>
        <v>9.9816128184922501</v>
      </c>
      <c r="G223" s="9">
        <v>0.81</v>
      </c>
      <c r="H223" s="8">
        <v>6.2166999999999995E-4</v>
      </c>
      <c r="I223" s="9">
        <f t="shared" si="59"/>
        <v>35.409818986860216</v>
      </c>
      <c r="J223" s="16">
        <v>4.5</v>
      </c>
      <c r="K223" s="7">
        <v>11.68</v>
      </c>
      <c r="L223" s="10">
        <f t="shared" si="60"/>
        <v>-0.33959328454670346</v>
      </c>
      <c r="M223" s="12"/>
      <c r="N223" s="11">
        <f t="shared" si="64"/>
        <v>-11.820493374108052</v>
      </c>
    </row>
    <row r="224" spans="1:14" x14ac:dyDescent="0.3">
      <c r="A224">
        <f t="shared" si="54"/>
        <v>1.6666666666666667</v>
      </c>
      <c r="B224">
        <v>15</v>
      </c>
      <c r="C224">
        <v>6</v>
      </c>
      <c r="D224" s="15">
        <v>9.5</v>
      </c>
      <c r="E224" s="1">
        <v>7.6139999999999999</v>
      </c>
      <c r="F224" s="6">
        <f t="shared" si="52"/>
        <v>12.477016023115313</v>
      </c>
      <c r="G224" s="9">
        <v>0.81</v>
      </c>
      <c r="H224" s="8">
        <v>6.2166999999999995E-4</v>
      </c>
      <c r="I224" s="9">
        <f t="shared" si="59"/>
        <v>44.26227373357527</v>
      </c>
      <c r="J224" s="16">
        <v>4.5</v>
      </c>
      <c r="K224" s="7">
        <v>16.54</v>
      </c>
      <c r="L224" s="10">
        <f t="shared" si="60"/>
        <v>-1.7150255790190803</v>
      </c>
      <c r="M224" s="12"/>
      <c r="N224" s="11">
        <f t="shared" si="64"/>
        <v>-23.703961264016307</v>
      </c>
    </row>
    <row r="225" spans="1:14" x14ac:dyDescent="0.3">
      <c r="A225">
        <f t="shared" si="54"/>
        <v>1.6666666666666667</v>
      </c>
      <c r="B225">
        <v>15</v>
      </c>
      <c r="C225">
        <v>6</v>
      </c>
      <c r="D225" s="15">
        <v>11.4</v>
      </c>
      <c r="E225" s="1">
        <v>7.6139999999999999</v>
      </c>
      <c r="F225" s="6">
        <f t="shared" si="52"/>
        <v>14.972419227738376</v>
      </c>
      <c r="G225" s="9">
        <v>0.81</v>
      </c>
      <c r="H225" s="8">
        <v>6.2166999999999995E-4</v>
      </c>
      <c r="I225" s="9">
        <f t="shared" si="59"/>
        <v>53.114728480290324</v>
      </c>
      <c r="J225" s="16">
        <v>4.5</v>
      </c>
      <c r="K225" s="7">
        <v>21.14</v>
      </c>
      <c r="L225" s="10">
        <f t="shared" si="60"/>
        <v>-2.5054085654675906</v>
      </c>
      <c r="M225" s="12"/>
      <c r="N225" s="11">
        <f t="shared" si="64"/>
        <v>-38.722187563710499</v>
      </c>
    </row>
    <row r="226" spans="1:14" x14ac:dyDescent="0.3">
      <c r="A226">
        <f t="shared" si="54"/>
        <v>1.6666666666666667</v>
      </c>
      <c r="B226">
        <v>15</v>
      </c>
      <c r="C226">
        <v>6</v>
      </c>
      <c r="D226" s="16">
        <v>13.3</v>
      </c>
      <c r="E226" s="1">
        <v>7.6139999999999999</v>
      </c>
      <c r="F226" s="6">
        <f t="shared" si="52"/>
        <v>17.467822432361441</v>
      </c>
      <c r="G226" s="9">
        <v>0.81</v>
      </c>
      <c r="H226" s="8">
        <v>6.2166999999999995E-4</v>
      </c>
      <c r="I226" s="9">
        <f t="shared" si="59"/>
        <v>61.967183227005386</v>
      </c>
      <c r="J226" s="16">
        <v>4.5</v>
      </c>
      <c r="K226" s="7">
        <v>26.58</v>
      </c>
      <c r="L226" s="10">
        <f t="shared" si="60"/>
        <v>-3.2870494057571671</v>
      </c>
      <c r="M226" s="12"/>
      <c r="N226" s="11">
        <f t="shared" si="64"/>
        <v>-61.215284403669706</v>
      </c>
    </row>
    <row r="227" spans="1:14" x14ac:dyDescent="0.3">
      <c r="A227">
        <f t="shared" si="54"/>
        <v>1.6666666666666667</v>
      </c>
      <c r="B227">
        <v>20</v>
      </c>
      <c r="C227">
        <v>1</v>
      </c>
      <c r="D227" s="15">
        <v>2.2999999999999998</v>
      </c>
      <c r="E227" s="1">
        <v>10.151999999999999</v>
      </c>
      <c r="F227" s="6">
        <f t="shared" si="52"/>
        <v>2.265563435776202</v>
      </c>
      <c r="G227" s="9">
        <v>1.08</v>
      </c>
      <c r="H227" s="8">
        <v>4.8399999999999997E-3</v>
      </c>
      <c r="I227" s="9">
        <f t="shared" si="59"/>
        <v>6.960330237618539</v>
      </c>
      <c r="J227" s="16">
        <v>3</v>
      </c>
      <c r="K227" s="7">
        <v>0</v>
      </c>
      <c r="L227" s="10">
        <f t="shared" si="60"/>
        <v>38.591876034869706</v>
      </c>
      <c r="M227" s="12"/>
      <c r="N227" s="11">
        <f>-(1.7*K227^2)/19.62</f>
        <v>0</v>
      </c>
    </row>
    <row r="228" spans="1:14" x14ac:dyDescent="0.3">
      <c r="A228">
        <f t="shared" si="54"/>
        <v>1.6666666666666667</v>
      </c>
      <c r="B228">
        <v>20</v>
      </c>
      <c r="C228">
        <v>1</v>
      </c>
      <c r="D228" s="15">
        <v>4.5999999999999996</v>
      </c>
      <c r="E228" s="1">
        <v>10.151999999999999</v>
      </c>
      <c r="F228" s="6">
        <f t="shared" si="52"/>
        <v>4.531126871552404</v>
      </c>
      <c r="G228" s="9">
        <v>1.08</v>
      </c>
      <c r="H228" s="8">
        <v>4.8399999999999997E-3</v>
      </c>
      <c r="I228" s="9">
        <f t="shared" si="59"/>
        <v>13.920660475237078</v>
      </c>
      <c r="J228" s="16">
        <v>4.5</v>
      </c>
      <c r="K228" s="7">
        <v>1.33</v>
      </c>
      <c r="L228" s="10">
        <f t="shared" si="60"/>
        <v>9.5015020182015864</v>
      </c>
      <c r="M228" s="12"/>
      <c r="N228" s="11">
        <f t="shared" ref="N228:N233" si="65">-(1.7*K228^2)/19.62</f>
        <v>-0.15326860346585117</v>
      </c>
    </row>
    <row r="229" spans="1:14" x14ac:dyDescent="0.3">
      <c r="A229">
        <f t="shared" si="54"/>
        <v>1.6666666666666667</v>
      </c>
      <c r="B229">
        <v>20</v>
      </c>
      <c r="C229">
        <v>1</v>
      </c>
      <c r="D229" s="15">
        <v>6.9</v>
      </c>
      <c r="E229" s="1">
        <v>10.151999999999999</v>
      </c>
      <c r="F229" s="6">
        <f t="shared" ref="F229:F292" si="66">(D229*10^-3)/(E229*10^-4)</f>
        <v>6.796690307328606</v>
      </c>
      <c r="G229" s="9">
        <v>1.08</v>
      </c>
      <c r="H229" s="8">
        <v>4.8399999999999997E-3</v>
      </c>
      <c r="I229" s="9">
        <f t="shared" si="59"/>
        <v>20.880990712855617</v>
      </c>
      <c r="J229" s="16">
        <v>4.5</v>
      </c>
      <c r="K229" s="7">
        <v>2.67</v>
      </c>
      <c r="L229" s="10">
        <f t="shared" si="60"/>
        <v>4.0256389974514928</v>
      </c>
      <c r="M229" s="12"/>
      <c r="N229" s="11">
        <f t="shared" si="65"/>
        <v>-0.61769266055045868</v>
      </c>
    </row>
    <row r="230" spans="1:14" x14ac:dyDescent="0.3">
      <c r="A230">
        <f t="shared" si="54"/>
        <v>1.6666666666666667</v>
      </c>
      <c r="B230">
        <v>20</v>
      </c>
      <c r="C230">
        <v>1</v>
      </c>
      <c r="D230" s="15">
        <v>9.1999999999999993</v>
      </c>
      <c r="E230" s="1">
        <v>10.151999999999999</v>
      </c>
      <c r="F230" s="6">
        <f t="shared" si="66"/>
        <v>9.062253743104808</v>
      </c>
      <c r="G230" s="9">
        <v>1.08</v>
      </c>
      <c r="H230" s="8">
        <v>4.8399999999999997E-3</v>
      </c>
      <c r="I230" s="9">
        <f t="shared" si="59"/>
        <v>27.841320950474156</v>
      </c>
      <c r="J230" s="16">
        <v>4.5</v>
      </c>
      <c r="K230" s="7">
        <v>4.37</v>
      </c>
      <c r="L230" s="10">
        <f t="shared" si="60"/>
        <v>2.0166808338993563</v>
      </c>
      <c r="M230" s="12"/>
      <c r="N230" s="11">
        <f t="shared" si="65"/>
        <v>-1.6546753312945974</v>
      </c>
    </row>
    <row r="231" spans="1:14" x14ac:dyDescent="0.3">
      <c r="A231">
        <f t="shared" si="54"/>
        <v>1.6666666666666667</v>
      </c>
      <c r="B231">
        <v>20</v>
      </c>
      <c r="C231">
        <v>1</v>
      </c>
      <c r="D231" s="15">
        <v>11.5</v>
      </c>
      <c r="E231" s="1">
        <v>10.151999999999999</v>
      </c>
      <c r="F231" s="6">
        <f t="shared" si="66"/>
        <v>11.327817178881009</v>
      </c>
      <c r="G231" s="9">
        <v>1.08</v>
      </c>
      <c r="H231" s="8">
        <v>4.8399999999999997E-3</v>
      </c>
      <c r="I231" s="9">
        <f t="shared" si="59"/>
        <v>34.801651188092691</v>
      </c>
      <c r="J231" s="16">
        <v>4.5</v>
      </c>
      <c r="K231" s="7">
        <v>6.61</v>
      </c>
      <c r="L231" s="10">
        <f t="shared" si="60"/>
        <v>0.96483391786561834</v>
      </c>
      <c r="M231" s="12"/>
      <c r="N231" s="11">
        <f t="shared" si="65"/>
        <v>-3.7857579001019368</v>
      </c>
    </row>
    <row r="232" spans="1:14" x14ac:dyDescent="0.3">
      <c r="A232">
        <f t="shared" si="54"/>
        <v>1.6666666666666667</v>
      </c>
      <c r="B232">
        <v>20</v>
      </c>
      <c r="C232">
        <v>1</v>
      </c>
      <c r="D232" s="15">
        <v>13.8</v>
      </c>
      <c r="E232" s="1">
        <v>10.151999999999999</v>
      </c>
      <c r="F232" s="6">
        <f t="shared" si="66"/>
        <v>13.593380614657212</v>
      </c>
      <c r="G232" s="9">
        <v>1.08</v>
      </c>
      <c r="H232" s="8">
        <v>4.8399999999999997E-3</v>
      </c>
      <c r="I232" s="9">
        <f t="shared" si="59"/>
        <v>41.761981425711234</v>
      </c>
      <c r="J232" s="16">
        <v>4.5</v>
      </c>
      <c r="K232" s="7">
        <v>9.68</v>
      </c>
      <c r="L232" s="10">
        <f t="shared" si="60"/>
        <v>0.20992228989822315</v>
      </c>
      <c r="M232" s="12"/>
      <c r="N232" s="11">
        <f t="shared" si="65"/>
        <v>-8.1189643221202843</v>
      </c>
    </row>
    <row r="233" spans="1:14" x14ac:dyDescent="0.3">
      <c r="A233">
        <f t="shared" si="54"/>
        <v>1.6666666666666667</v>
      </c>
      <c r="B233">
        <v>20</v>
      </c>
      <c r="C233">
        <v>1</v>
      </c>
      <c r="D233" s="16">
        <v>17.3</v>
      </c>
      <c r="E233" s="1">
        <v>10.151999999999999</v>
      </c>
      <c r="F233" s="6">
        <f t="shared" si="66"/>
        <v>17.040977147360127</v>
      </c>
      <c r="G233" s="9">
        <v>1.08</v>
      </c>
      <c r="H233" s="8">
        <v>4.8399999999999997E-3</v>
      </c>
      <c r="I233" s="9">
        <f t="shared" si="59"/>
        <v>52.353788309043793</v>
      </c>
      <c r="J233" s="16">
        <v>4.5</v>
      </c>
      <c r="K233" s="7">
        <v>15.86</v>
      </c>
      <c r="L233" s="10">
        <f t="shared" si="60"/>
        <v>-0.79041952290137274</v>
      </c>
      <c r="M233" s="12"/>
      <c r="N233" s="11">
        <f t="shared" si="65"/>
        <v>-21.794970438328232</v>
      </c>
    </row>
    <row r="234" spans="1:14" x14ac:dyDescent="0.3">
      <c r="A234">
        <f t="shared" si="54"/>
        <v>1.6666666666666667</v>
      </c>
      <c r="B234">
        <v>20</v>
      </c>
      <c r="C234">
        <v>2</v>
      </c>
      <c r="D234" s="15">
        <v>2.2999999999999998</v>
      </c>
      <c r="E234" s="1">
        <v>10.151999999999999</v>
      </c>
      <c r="F234" s="6">
        <f t="shared" si="66"/>
        <v>2.265563435776202</v>
      </c>
      <c r="G234" s="9">
        <v>1.08</v>
      </c>
      <c r="H234" s="8">
        <v>2.4199999999999998E-3</v>
      </c>
      <c r="I234" s="9">
        <f t="shared" si="59"/>
        <v>6.960330237618539</v>
      </c>
      <c r="J234" s="16">
        <v>4.5</v>
      </c>
      <c r="K234" s="7">
        <v>0.56999999999999995</v>
      </c>
      <c r="L234" s="10">
        <f t="shared" si="60"/>
        <v>38.484267633674392</v>
      </c>
      <c r="M234" s="12"/>
      <c r="N234" s="11">
        <f>-(1.7*K234^2)/19.62</f>
        <v>-2.8151376146788983E-2</v>
      </c>
    </row>
    <row r="235" spans="1:14" x14ac:dyDescent="0.3">
      <c r="A235">
        <f t="shared" si="54"/>
        <v>1.6666666666666667</v>
      </c>
      <c r="B235">
        <v>20</v>
      </c>
      <c r="C235">
        <v>2</v>
      </c>
      <c r="D235" s="15">
        <v>4.5999999999999996</v>
      </c>
      <c r="E235" s="1">
        <v>10.151999999999999</v>
      </c>
      <c r="F235" s="6">
        <f t="shared" si="66"/>
        <v>4.531126871552404</v>
      </c>
      <c r="G235" s="9">
        <v>1.08</v>
      </c>
      <c r="H235" s="8">
        <v>2.4199999999999998E-3</v>
      </c>
      <c r="I235" s="9">
        <f t="shared" si="59"/>
        <v>13.920660475237078</v>
      </c>
      <c r="J235" s="16">
        <v>4.5</v>
      </c>
      <c r="K235" s="7">
        <v>2.23</v>
      </c>
      <c r="L235" s="10">
        <f t="shared" si="60"/>
        <v>9.2362070678862747</v>
      </c>
      <c r="M235" s="12"/>
      <c r="N235" s="11">
        <f t="shared" ref="N235:N240" si="67">-(1.7*K235^2)/19.62</f>
        <v>-0.43088328236493373</v>
      </c>
    </row>
    <row r="236" spans="1:14" x14ac:dyDescent="0.3">
      <c r="A236">
        <f t="shared" ref="A236:A299" si="68">100/60</f>
        <v>1.6666666666666667</v>
      </c>
      <c r="B236">
        <v>20</v>
      </c>
      <c r="C236">
        <v>2</v>
      </c>
      <c r="D236" s="15">
        <v>6.9</v>
      </c>
      <c r="E236" s="1">
        <v>10.151999999999999</v>
      </c>
      <c r="F236" s="6">
        <f t="shared" si="66"/>
        <v>6.796690307328606</v>
      </c>
      <c r="G236" s="9">
        <v>1.08</v>
      </c>
      <c r="H236" s="8">
        <v>2.4199999999999998E-3</v>
      </c>
      <c r="I236" s="9">
        <f t="shared" si="59"/>
        <v>20.880990712855617</v>
      </c>
      <c r="J236" s="16">
        <v>4.5</v>
      </c>
      <c r="K236" s="7">
        <v>5.15</v>
      </c>
      <c r="L236" s="10">
        <f t="shared" si="60"/>
        <v>3.3119444283801882</v>
      </c>
      <c r="M236" s="12"/>
      <c r="N236" s="11">
        <f t="shared" si="67"/>
        <v>-2.2980759429153927</v>
      </c>
    </row>
    <row r="237" spans="1:14" x14ac:dyDescent="0.3">
      <c r="A237">
        <f t="shared" si="68"/>
        <v>1.6666666666666667</v>
      </c>
      <c r="B237">
        <v>20</v>
      </c>
      <c r="C237">
        <v>2</v>
      </c>
      <c r="D237" s="15">
        <v>9.1999999999999993</v>
      </c>
      <c r="E237" s="1">
        <v>10.151999999999999</v>
      </c>
      <c r="F237" s="6">
        <f t="shared" si="66"/>
        <v>9.062253743104808</v>
      </c>
      <c r="G237" s="9">
        <v>1.08</v>
      </c>
      <c r="H237" s="8">
        <v>2.4199999999999998E-3</v>
      </c>
      <c r="I237" s="9">
        <f t="shared" si="59"/>
        <v>27.841320950474156</v>
      </c>
      <c r="J237" s="16">
        <v>4.5</v>
      </c>
      <c r="K237" s="7">
        <v>8.35</v>
      </c>
      <c r="L237" s="10">
        <f t="shared" si="60"/>
        <v>0.96871609945156889</v>
      </c>
      <c r="M237" s="12"/>
      <c r="N237" s="11">
        <f t="shared" si="67"/>
        <v>-6.0411952089704375</v>
      </c>
    </row>
    <row r="238" spans="1:14" x14ac:dyDescent="0.3">
      <c r="A238">
        <f t="shared" si="68"/>
        <v>1.6666666666666667</v>
      </c>
      <c r="B238">
        <v>20</v>
      </c>
      <c r="C238">
        <v>2</v>
      </c>
      <c r="D238" s="15">
        <v>11.5</v>
      </c>
      <c r="E238" s="1">
        <v>10.151999999999999</v>
      </c>
      <c r="F238" s="6">
        <f t="shared" si="66"/>
        <v>11.327817178881009</v>
      </c>
      <c r="G238" s="9">
        <v>1.08</v>
      </c>
      <c r="H238" s="8">
        <v>2.4199999999999998E-3</v>
      </c>
      <c r="I238" s="9">
        <f t="shared" si="59"/>
        <v>34.801651188092691</v>
      </c>
      <c r="J238" s="16">
        <v>4.5</v>
      </c>
      <c r="K238" s="7">
        <v>15.68</v>
      </c>
      <c r="L238" s="10">
        <f t="shared" si="60"/>
        <v>-1.7135560793244793</v>
      </c>
      <c r="M238" s="12"/>
      <c r="N238" s="11">
        <f t="shared" si="67"/>
        <v>-21.303062181447501</v>
      </c>
    </row>
    <row r="239" spans="1:14" x14ac:dyDescent="0.3">
      <c r="A239">
        <f t="shared" si="68"/>
        <v>1.6666666666666667</v>
      </c>
      <c r="B239">
        <v>20</v>
      </c>
      <c r="C239">
        <v>2</v>
      </c>
      <c r="D239" s="15">
        <v>13.8</v>
      </c>
      <c r="E239" s="1">
        <v>10.151999999999999</v>
      </c>
      <c r="F239" s="6">
        <f t="shared" si="66"/>
        <v>13.593380614657212</v>
      </c>
      <c r="G239" s="9">
        <v>1.08</v>
      </c>
      <c r="H239" s="8">
        <v>2.4199999999999998E-3</v>
      </c>
      <c r="I239" s="9">
        <f t="shared" si="59"/>
        <v>41.761981425711234</v>
      </c>
      <c r="J239" s="16">
        <v>4.5</v>
      </c>
      <c r="K239" s="7">
        <v>21.51</v>
      </c>
      <c r="L239" s="10">
        <f t="shared" si="60"/>
        <v>-3.184720538127789</v>
      </c>
      <c r="M239" s="12"/>
      <c r="N239" s="11">
        <f t="shared" si="67"/>
        <v>-40.089509174311935</v>
      </c>
    </row>
    <row r="240" spans="1:14" x14ac:dyDescent="0.3">
      <c r="A240">
        <f t="shared" si="68"/>
        <v>1.6666666666666667</v>
      </c>
      <c r="B240">
        <v>20</v>
      </c>
      <c r="C240">
        <v>2</v>
      </c>
      <c r="D240" s="16">
        <v>17.399999999999999</v>
      </c>
      <c r="E240" s="1">
        <v>10.151999999999999</v>
      </c>
      <c r="F240" s="6">
        <f t="shared" si="66"/>
        <v>17.139479905437351</v>
      </c>
      <c r="G240" s="9">
        <v>1.08</v>
      </c>
      <c r="H240" s="8">
        <v>2.4199999999999998E-3</v>
      </c>
      <c r="I240" s="9">
        <f t="shared" si="59"/>
        <v>52.656411362853284</v>
      </c>
      <c r="J240" s="16">
        <v>4.5</v>
      </c>
      <c r="K240" s="7">
        <v>29.7</v>
      </c>
      <c r="L240" s="10">
        <f t="shared" si="60"/>
        <v>-4.4303568625335545</v>
      </c>
      <c r="M240" s="12"/>
      <c r="N240" s="11">
        <f t="shared" si="67"/>
        <v>-76.429816513761452</v>
      </c>
    </row>
    <row r="241" spans="1:14" x14ac:dyDescent="0.3">
      <c r="A241">
        <f t="shared" si="68"/>
        <v>1.6666666666666667</v>
      </c>
      <c r="B241">
        <v>20</v>
      </c>
      <c r="C241">
        <v>4</v>
      </c>
      <c r="D241" s="15">
        <v>2.2999999999999998</v>
      </c>
      <c r="E241" s="1">
        <v>10.151999999999999</v>
      </c>
      <c r="F241" s="6">
        <f t="shared" si="66"/>
        <v>2.265563435776202</v>
      </c>
      <c r="G241" s="9">
        <v>1.08</v>
      </c>
      <c r="H241" s="8">
        <v>1.2099999999999999E-3</v>
      </c>
      <c r="I241" s="9">
        <f t="shared" si="59"/>
        <v>6.960330237618539</v>
      </c>
      <c r="J241" s="16">
        <v>4.5</v>
      </c>
      <c r="K241" s="7">
        <v>0.75</v>
      </c>
      <c r="L241" s="10">
        <f t="shared" si="60"/>
        <v>38.405573401221311</v>
      </c>
      <c r="M241" s="12"/>
      <c r="N241" s="11">
        <f>-(1.7*K241^2)/19.62</f>
        <v>-4.8738532110091735E-2</v>
      </c>
    </row>
    <row r="242" spans="1:14" x14ac:dyDescent="0.3">
      <c r="A242">
        <f t="shared" si="68"/>
        <v>1.6666666666666667</v>
      </c>
      <c r="B242">
        <v>20</v>
      </c>
      <c r="C242">
        <v>4</v>
      </c>
      <c r="D242" s="15">
        <v>4.5999999999999996</v>
      </c>
      <c r="E242" s="1">
        <v>10.151999999999999</v>
      </c>
      <c r="F242" s="6">
        <f t="shared" si="66"/>
        <v>4.531126871552404</v>
      </c>
      <c r="G242" s="9">
        <v>1.08</v>
      </c>
      <c r="H242" s="8">
        <v>1.2099999999999999E-3</v>
      </c>
      <c r="I242" s="9">
        <f t="shared" si="59"/>
        <v>13.920660475237078</v>
      </c>
      <c r="J242" s="16">
        <v>4.5</v>
      </c>
      <c r="K242" s="7">
        <v>2.76</v>
      </c>
      <c r="L242" s="10">
        <f t="shared" si="60"/>
        <v>9.0172228122374261</v>
      </c>
      <c r="M242" s="12"/>
      <c r="N242" s="11">
        <f t="shared" ref="N242:N247" si="69">-(1.7*K242^2)/19.62</f>
        <v>-0.66003669724770619</v>
      </c>
    </row>
    <row r="243" spans="1:14" x14ac:dyDescent="0.3">
      <c r="A243">
        <f t="shared" si="68"/>
        <v>1.6666666666666667</v>
      </c>
      <c r="B243">
        <v>20</v>
      </c>
      <c r="C243">
        <v>4</v>
      </c>
      <c r="D243" s="15">
        <v>6.9</v>
      </c>
      <c r="E243" s="1">
        <v>10.151999999999999</v>
      </c>
      <c r="F243" s="6">
        <f t="shared" si="66"/>
        <v>6.796690307328606</v>
      </c>
      <c r="G243" s="9">
        <v>1.08</v>
      </c>
      <c r="H243" s="8">
        <v>1.2099999999999999E-3</v>
      </c>
      <c r="I243" s="9">
        <f t="shared" si="59"/>
        <v>20.880990712855617</v>
      </c>
      <c r="J243" s="16">
        <v>4.5</v>
      </c>
      <c r="K243" s="7">
        <v>5.72</v>
      </c>
      <c r="L243" s="10">
        <f t="shared" si="60"/>
        <v>3.0839320851066914</v>
      </c>
      <c r="M243" s="12"/>
      <c r="N243" s="11">
        <f t="shared" si="69"/>
        <v>-2.8349276248725785</v>
      </c>
    </row>
    <row r="244" spans="1:14" x14ac:dyDescent="0.3">
      <c r="A244">
        <f t="shared" si="68"/>
        <v>1.6666666666666667</v>
      </c>
      <c r="B244">
        <v>20</v>
      </c>
      <c r="C244">
        <v>4</v>
      </c>
      <c r="D244" s="15">
        <v>9.1999999999999993</v>
      </c>
      <c r="E244" s="1">
        <v>10.151999999999999</v>
      </c>
      <c r="F244" s="6">
        <f t="shared" si="66"/>
        <v>9.062253743104808</v>
      </c>
      <c r="G244" s="9">
        <v>1.08</v>
      </c>
      <c r="H244" s="8">
        <v>1.2099999999999999E-3</v>
      </c>
      <c r="I244" s="9">
        <f t="shared" si="59"/>
        <v>27.841320950474156</v>
      </c>
      <c r="J244" s="16">
        <v>4.5</v>
      </c>
      <c r="K244" s="7">
        <v>10.71</v>
      </c>
      <c r="L244" s="10">
        <f t="shared" si="60"/>
        <v>3.7583816593950603E-2</v>
      </c>
      <c r="M244" s="12"/>
      <c r="N244" s="11">
        <f t="shared" si="69"/>
        <v>-9.9386834862385331</v>
      </c>
    </row>
    <row r="245" spans="1:14" x14ac:dyDescent="0.3">
      <c r="A245">
        <f t="shared" si="68"/>
        <v>1.6666666666666667</v>
      </c>
      <c r="B245">
        <v>20</v>
      </c>
      <c r="C245">
        <v>4</v>
      </c>
      <c r="D245" s="15">
        <v>11.5</v>
      </c>
      <c r="E245" s="1">
        <v>10.151999999999999</v>
      </c>
      <c r="F245" s="6">
        <f t="shared" si="66"/>
        <v>11.327817178881009</v>
      </c>
      <c r="G245" s="9">
        <v>1.08</v>
      </c>
      <c r="H245" s="8">
        <v>1.2099999999999999E-3</v>
      </c>
      <c r="I245" s="9">
        <f t="shared" si="59"/>
        <v>34.801651188092691</v>
      </c>
      <c r="J245" s="16">
        <v>4.5</v>
      </c>
      <c r="K245" s="7">
        <v>17.829999999999998</v>
      </c>
      <c r="L245" s="10">
        <f t="shared" si="60"/>
        <v>-2.6680416043128496</v>
      </c>
      <c r="M245" s="12"/>
      <c r="N245" s="11">
        <f t="shared" si="69"/>
        <v>-27.545623343527009</v>
      </c>
    </row>
    <row r="246" spans="1:14" x14ac:dyDescent="0.3">
      <c r="A246">
        <f t="shared" si="68"/>
        <v>1.6666666666666667</v>
      </c>
      <c r="B246">
        <v>20</v>
      </c>
      <c r="C246">
        <v>4</v>
      </c>
      <c r="D246" s="15">
        <v>13.8</v>
      </c>
      <c r="E246" s="1">
        <v>10.151999999999999</v>
      </c>
      <c r="F246" s="6">
        <f t="shared" si="66"/>
        <v>13.593380614657212</v>
      </c>
      <c r="G246" s="9">
        <v>1.08</v>
      </c>
      <c r="H246" s="8">
        <v>1.2099999999999999E-3</v>
      </c>
      <c r="I246" s="9">
        <f t="shared" si="59"/>
        <v>41.761981425711234</v>
      </c>
      <c r="J246" s="16">
        <v>4.5</v>
      </c>
      <c r="K246" s="7">
        <v>22.7</v>
      </c>
      <c r="L246" s="10">
        <f t="shared" si="60"/>
        <v>-3.6687384603983353</v>
      </c>
      <c r="M246" s="12"/>
      <c r="N246" s="11">
        <f t="shared" si="69"/>
        <v>-44.647961264016303</v>
      </c>
    </row>
    <row r="247" spans="1:14" x14ac:dyDescent="0.3">
      <c r="A247">
        <f t="shared" si="68"/>
        <v>1.6666666666666667</v>
      </c>
      <c r="B247">
        <v>20</v>
      </c>
      <c r="C247">
        <v>4</v>
      </c>
      <c r="D247" s="16">
        <v>17</v>
      </c>
      <c r="E247" s="1">
        <v>10.151999999999999</v>
      </c>
      <c r="F247" s="6">
        <f t="shared" si="66"/>
        <v>16.745468873128448</v>
      </c>
      <c r="G247" s="9">
        <v>1.08</v>
      </c>
      <c r="H247" s="8">
        <v>1.2099999999999999E-3</v>
      </c>
      <c r="I247" s="9">
        <f t="shared" si="59"/>
        <v>51.445919147615285</v>
      </c>
      <c r="J247" s="16">
        <v>4.5</v>
      </c>
      <c r="K247" s="7">
        <v>27.99</v>
      </c>
      <c r="L247" s="10">
        <f t="shared" si="60"/>
        <v>-4.0432285133035828</v>
      </c>
      <c r="M247" s="12"/>
      <c r="N247" s="11">
        <f t="shared" si="69"/>
        <v>-67.88216972477062</v>
      </c>
    </row>
    <row r="248" spans="1:14" x14ac:dyDescent="0.3">
      <c r="A248">
        <f t="shared" si="68"/>
        <v>1.6666666666666667</v>
      </c>
      <c r="B248">
        <v>20</v>
      </c>
      <c r="C248">
        <v>6</v>
      </c>
      <c r="D248" s="15">
        <v>2.2999999999999998</v>
      </c>
      <c r="E248" s="1">
        <v>10.151999999999999</v>
      </c>
      <c r="F248" s="6">
        <f t="shared" si="66"/>
        <v>2.265563435776202</v>
      </c>
      <c r="G248" s="9">
        <v>1.08</v>
      </c>
      <c r="H248" s="8">
        <v>8.0667E-4</v>
      </c>
      <c r="I248" s="9">
        <f t="shared" si="59"/>
        <v>6.960330237618539</v>
      </c>
      <c r="J248" s="16">
        <v>3</v>
      </c>
      <c r="K248" s="7">
        <v>0</v>
      </c>
      <c r="L248" s="10">
        <f t="shared" si="60"/>
        <v>38.591876034869706</v>
      </c>
      <c r="M248" s="12"/>
      <c r="N248" s="11">
        <f>-(1.7*K248^2)/19.62</f>
        <v>0</v>
      </c>
    </row>
    <row r="249" spans="1:14" x14ac:dyDescent="0.3">
      <c r="A249">
        <f t="shared" si="68"/>
        <v>1.6666666666666667</v>
      </c>
      <c r="B249">
        <v>20</v>
      </c>
      <c r="C249">
        <v>6</v>
      </c>
      <c r="D249" s="15">
        <v>4.5999999999999996</v>
      </c>
      <c r="E249" s="1">
        <v>10.151999999999999</v>
      </c>
      <c r="F249" s="6">
        <f t="shared" si="66"/>
        <v>4.531126871552404</v>
      </c>
      <c r="G249" s="9">
        <v>1.08</v>
      </c>
      <c r="H249" s="8">
        <v>8.0667E-4</v>
      </c>
      <c r="I249" s="9">
        <f t="shared" si="59"/>
        <v>13.920660475237078</v>
      </c>
      <c r="J249" s="16">
        <v>4.5</v>
      </c>
      <c r="K249" s="7">
        <v>2.48</v>
      </c>
      <c r="L249" s="10">
        <f t="shared" si="60"/>
        <v>9.1387086896102812</v>
      </c>
      <c r="M249" s="12"/>
      <c r="N249" s="11">
        <f t="shared" ref="N249:N254" si="70">-(1.7*K249^2)/19.62</f>
        <v>-0.53290927624872586</v>
      </c>
    </row>
    <row r="250" spans="1:14" x14ac:dyDescent="0.3">
      <c r="A250">
        <f t="shared" si="68"/>
        <v>1.6666666666666667</v>
      </c>
      <c r="B250">
        <v>20</v>
      </c>
      <c r="C250">
        <v>6</v>
      </c>
      <c r="D250" s="15">
        <v>6.9</v>
      </c>
      <c r="E250" s="1">
        <v>10.151999999999999</v>
      </c>
      <c r="F250" s="6">
        <f t="shared" si="66"/>
        <v>6.796690307328606</v>
      </c>
      <c r="G250" s="9">
        <v>1.08</v>
      </c>
      <c r="H250" s="8">
        <v>8.0667E-4</v>
      </c>
      <c r="I250" s="9">
        <f t="shared" si="59"/>
        <v>20.880990712855617</v>
      </c>
      <c r="J250" s="16">
        <v>4.5</v>
      </c>
      <c r="K250" s="7">
        <v>5.2</v>
      </c>
      <c r="L250" s="10">
        <f t="shared" si="60"/>
        <v>3.2929001591627971</v>
      </c>
      <c r="M250" s="12"/>
      <c r="N250" s="11">
        <f t="shared" si="70"/>
        <v>-2.342915392456677</v>
      </c>
    </row>
    <row r="251" spans="1:14" x14ac:dyDescent="0.3">
      <c r="A251">
        <f t="shared" si="68"/>
        <v>1.6666666666666667</v>
      </c>
      <c r="B251">
        <v>20</v>
      </c>
      <c r="C251">
        <v>6</v>
      </c>
      <c r="D251" s="15">
        <v>9.1999999999999993</v>
      </c>
      <c r="E251" s="1">
        <v>10.151999999999999</v>
      </c>
      <c r="F251" s="6">
        <f t="shared" si="66"/>
        <v>9.062253743104808</v>
      </c>
      <c r="G251" s="9">
        <v>1.08</v>
      </c>
      <c r="H251" s="8">
        <v>8.0667E-4</v>
      </c>
      <c r="I251" s="9">
        <f t="shared" si="59"/>
        <v>27.841320950474156</v>
      </c>
      <c r="J251" s="16">
        <v>4.5</v>
      </c>
      <c r="K251" s="7">
        <v>9.75</v>
      </c>
      <c r="L251" s="10">
        <f t="shared" si="60"/>
        <v>0.44417068426820444</v>
      </c>
      <c r="M251" s="12"/>
      <c r="N251" s="11">
        <f t="shared" si="70"/>
        <v>-8.2368119266055029</v>
      </c>
    </row>
    <row r="252" spans="1:14" x14ac:dyDescent="0.3">
      <c r="A252">
        <f t="shared" si="68"/>
        <v>1.6666666666666667</v>
      </c>
      <c r="B252">
        <v>20</v>
      </c>
      <c r="C252">
        <v>6</v>
      </c>
      <c r="D252" s="15">
        <v>11.5</v>
      </c>
      <c r="E252" s="1">
        <v>10.151999999999999</v>
      </c>
      <c r="F252" s="6">
        <f t="shared" si="66"/>
        <v>11.327817178881009</v>
      </c>
      <c r="G252" s="9">
        <v>1.08</v>
      </c>
      <c r="H252" s="8">
        <v>8.0667E-4</v>
      </c>
      <c r="I252" s="9">
        <f t="shared" si="59"/>
        <v>34.801651188092691</v>
      </c>
      <c r="J252" s="16">
        <v>4.5</v>
      </c>
      <c r="K252" s="7">
        <v>15.25</v>
      </c>
      <c r="L252" s="10">
        <f t="shared" si="60"/>
        <v>-1.5373565132970828</v>
      </c>
      <c r="M252" s="12"/>
      <c r="N252" s="11">
        <f t="shared" si="70"/>
        <v>-20.150675331294597</v>
      </c>
    </row>
    <row r="253" spans="1:14" x14ac:dyDescent="0.3">
      <c r="A253">
        <f t="shared" si="68"/>
        <v>1.6666666666666667</v>
      </c>
      <c r="B253">
        <v>20</v>
      </c>
      <c r="C253">
        <v>6</v>
      </c>
      <c r="D253" s="15">
        <v>13.8</v>
      </c>
      <c r="E253" s="1">
        <v>10.151999999999999</v>
      </c>
      <c r="F253" s="6">
        <f t="shared" si="66"/>
        <v>13.593380614657212</v>
      </c>
      <c r="G253" s="9">
        <v>1.08</v>
      </c>
      <c r="H253" s="8">
        <v>8.0667E-4</v>
      </c>
      <c r="I253" s="9">
        <f t="shared" si="59"/>
        <v>41.761981425711234</v>
      </c>
      <c r="J253" s="16">
        <v>4.5</v>
      </c>
      <c r="K253" s="7">
        <v>15.42</v>
      </c>
      <c r="L253" s="10">
        <f t="shared" si="60"/>
        <v>-1.1155772478923249</v>
      </c>
      <c r="M253" s="12"/>
      <c r="N253" s="11">
        <f t="shared" si="70"/>
        <v>-20.602440366972477</v>
      </c>
    </row>
    <row r="254" spans="1:14" x14ac:dyDescent="0.3">
      <c r="A254">
        <f t="shared" si="68"/>
        <v>1.6666666666666667</v>
      </c>
      <c r="B254">
        <v>20</v>
      </c>
      <c r="C254">
        <v>6</v>
      </c>
      <c r="D254" s="16">
        <v>16.899999999999999</v>
      </c>
      <c r="E254" s="1">
        <v>10.151999999999999</v>
      </c>
      <c r="F254" s="6">
        <f t="shared" si="66"/>
        <v>16.646966115051221</v>
      </c>
      <c r="G254" s="9">
        <v>1.08</v>
      </c>
      <c r="H254" s="8">
        <v>8.0667E-4</v>
      </c>
      <c r="I254" s="9">
        <f t="shared" si="59"/>
        <v>51.14329609380578</v>
      </c>
      <c r="J254" s="16">
        <v>4.5</v>
      </c>
      <c r="K254" s="7">
        <v>21.65</v>
      </c>
      <c r="L254" s="10">
        <f t="shared" si="60"/>
        <v>-2.1605857770190786</v>
      </c>
      <c r="M254" s="12"/>
      <c r="N254" s="11">
        <f t="shared" si="70"/>
        <v>-40.613060652395504</v>
      </c>
    </row>
    <row r="255" spans="1:14" x14ac:dyDescent="0.3">
      <c r="A255">
        <f t="shared" si="68"/>
        <v>1.6666666666666667</v>
      </c>
      <c r="B255">
        <v>30</v>
      </c>
      <c r="C255">
        <v>1</v>
      </c>
      <c r="D255" s="15">
        <v>3.3</v>
      </c>
      <c r="E255" s="1">
        <v>15.228</v>
      </c>
      <c r="F255" s="6">
        <f t="shared" si="66"/>
        <v>2.1670606776989754</v>
      </c>
      <c r="G255" s="9">
        <v>1.62</v>
      </c>
      <c r="H255" s="8">
        <v>6.9100000000000003E-3</v>
      </c>
      <c r="I255" s="9">
        <f t="shared" si="59"/>
        <v>5.4359951523980374</v>
      </c>
      <c r="J255" s="16">
        <v>4.5</v>
      </c>
      <c r="K255" s="7">
        <v>0.4</v>
      </c>
      <c r="L255" s="10">
        <f t="shared" si="60"/>
        <v>42.122043921814218</v>
      </c>
      <c r="M255" s="12"/>
      <c r="N255" s="11">
        <f>-(1.7*K255^2)/19.62</f>
        <v>-1.3863404689092763E-2</v>
      </c>
    </row>
    <row r="256" spans="1:14" x14ac:dyDescent="0.3">
      <c r="A256">
        <f t="shared" si="68"/>
        <v>1.6666666666666667</v>
      </c>
      <c r="B256">
        <v>30</v>
      </c>
      <c r="C256">
        <v>1</v>
      </c>
      <c r="D256" s="15">
        <v>6.6</v>
      </c>
      <c r="E256" s="1">
        <v>15.228</v>
      </c>
      <c r="F256" s="6">
        <f t="shared" si="66"/>
        <v>4.3341213553979507</v>
      </c>
      <c r="G256" s="9">
        <v>1.62</v>
      </c>
      <c r="H256" s="8">
        <v>6.9100000000000003E-3</v>
      </c>
      <c r="I256" s="9">
        <f t="shared" si="59"/>
        <v>10.871990304796075</v>
      </c>
      <c r="J256" s="16">
        <v>4.5</v>
      </c>
      <c r="K256" s="7">
        <v>1.56</v>
      </c>
      <c r="L256" s="10">
        <f t="shared" si="60"/>
        <v>10.32475102976529</v>
      </c>
      <c r="M256" s="12"/>
      <c r="N256" s="11">
        <f t="shared" ref="N256:N261" si="71">-(1.7*K256^2)/19.62</f>
        <v>-0.21086238532110094</v>
      </c>
    </row>
    <row r="257" spans="1:14" x14ac:dyDescent="0.3">
      <c r="A257">
        <f t="shared" si="68"/>
        <v>1.6666666666666667</v>
      </c>
      <c r="B257">
        <v>30</v>
      </c>
      <c r="C257">
        <v>1</v>
      </c>
      <c r="D257" s="15">
        <v>9.9</v>
      </c>
      <c r="E257" s="1">
        <v>15.228</v>
      </c>
      <c r="F257" s="6">
        <f t="shared" si="66"/>
        <v>6.501182033096927</v>
      </c>
      <c r="G257" s="9">
        <v>1.62</v>
      </c>
      <c r="H257" s="8">
        <v>6.9100000000000003E-3</v>
      </c>
      <c r="I257" s="9">
        <f t="shared" si="59"/>
        <v>16.307985457194114</v>
      </c>
      <c r="J257" s="16">
        <v>4.5</v>
      </c>
      <c r="K257" s="7">
        <v>3.67</v>
      </c>
      <c r="L257" s="10">
        <f t="shared" si="60"/>
        <v>4.1449157786856201</v>
      </c>
      <c r="M257" s="12"/>
      <c r="N257" s="11">
        <f t="shared" si="71"/>
        <v>-1.1670300713557593</v>
      </c>
    </row>
    <row r="258" spans="1:14" x14ac:dyDescent="0.3">
      <c r="A258">
        <f t="shared" si="68"/>
        <v>1.6666666666666667</v>
      </c>
      <c r="B258">
        <v>30</v>
      </c>
      <c r="C258">
        <v>1</v>
      </c>
      <c r="D258" s="15">
        <v>13.2</v>
      </c>
      <c r="E258" s="1">
        <v>15.228</v>
      </c>
      <c r="F258" s="6">
        <f t="shared" si="66"/>
        <v>8.6682427107959015</v>
      </c>
      <c r="G258" s="9">
        <v>1.62</v>
      </c>
      <c r="H258" s="8">
        <v>6.9100000000000003E-3</v>
      </c>
      <c r="I258" s="9">
        <f t="shared" si="59"/>
        <v>21.74398060959215</v>
      </c>
      <c r="J258" s="16">
        <v>4.5</v>
      </c>
      <c r="K258" s="7">
        <v>7.59</v>
      </c>
      <c r="L258" s="10">
        <f t="shared" si="60"/>
        <v>1.3328698476012399</v>
      </c>
      <c r="M258" s="12"/>
      <c r="N258" s="11">
        <f t="shared" si="71"/>
        <v>-4.9915275229357796</v>
      </c>
    </row>
    <row r="259" spans="1:14" x14ac:dyDescent="0.3">
      <c r="A259">
        <f t="shared" si="68"/>
        <v>1.6666666666666667</v>
      </c>
      <c r="B259">
        <v>30</v>
      </c>
      <c r="C259">
        <v>1</v>
      </c>
      <c r="D259" s="15">
        <v>16.5</v>
      </c>
      <c r="E259" s="1">
        <v>15.228</v>
      </c>
      <c r="F259" s="6">
        <f t="shared" si="66"/>
        <v>10.835303388494877</v>
      </c>
      <c r="G259" s="9">
        <v>1.62</v>
      </c>
      <c r="H259" s="8">
        <v>6.9100000000000003E-3</v>
      </c>
      <c r="I259" s="9">
        <f t="shared" ref="I259:I322" si="72">(F259)/((9.81*G259*10^-2))^(1/2)</f>
        <v>27.179975761990189</v>
      </c>
      <c r="J259" s="16">
        <v>4.5</v>
      </c>
      <c r="K259" s="7">
        <v>12.12</v>
      </c>
      <c r="L259" s="10">
        <f t="shared" ref="L259:L322" si="73">(10.33+N259-0.234)/((F259^2)/19.62)</f>
        <v>-0.43982358501849894</v>
      </c>
      <c r="M259" s="12"/>
      <c r="N259" s="11">
        <f t="shared" si="71"/>
        <v>-12.727853211009172</v>
      </c>
    </row>
    <row r="260" spans="1:14" x14ac:dyDescent="0.3">
      <c r="A260">
        <f t="shared" si="68"/>
        <v>1.6666666666666667</v>
      </c>
      <c r="B260">
        <v>30</v>
      </c>
      <c r="C260">
        <v>1</v>
      </c>
      <c r="D260" s="15">
        <v>19.8</v>
      </c>
      <c r="E260" s="1">
        <v>15.228</v>
      </c>
      <c r="F260" s="6">
        <f t="shared" si="66"/>
        <v>13.002364066193854</v>
      </c>
      <c r="G260" s="9">
        <v>1.62</v>
      </c>
      <c r="H260" s="8">
        <v>6.9100000000000003E-3</v>
      </c>
      <c r="I260" s="9">
        <f t="shared" si="72"/>
        <v>32.615970914388228</v>
      </c>
      <c r="J260" s="16">
        <v>4.5</v>
      </c>
      <c r="K260" s="7">
        <v>15.82</v>
      </c>
      <c r="L260" s="10">
        <f t="shared" si="73"/>
        <v>-1.3449519765699169</v>
      </c>
      <c r="M260" s="12"/>
      <c r="N260" s="11">
        <f t="shared" si="71"/>
        <v>-21.68517227319062</v>
      </c>
    </row>
    <row r="261" spans="1:14" x14ac:dyDescent="0.3">
      <c r="A261">
        <f t="shared" si="68"/>
        <v>1.6666666666666667</v>
      </c>
      <c r="B261">
        <v>30</v>
      </c>
      <c r="C261">
        <v>1</v>
      </c>
      <c r="D261" s="16">
        <v>23.1</v>
      </c>
      <c r="E261" s="1">
        <v>15.228</v>
      </c>
      <c r="F261" s="6">
        <f t="shared" si="66"/>
        <v>15.169424743892829</v>
      </c>
      <c r="G261" s="9">
        <v>1.62</v>
      </c>
      <c r="H261" s="8">
        <v>6.9100000000000003E-3</v>
      </c>
      <c r="I261" s="9">
        <f t="shared" si="72"/>
        <v>38.051966066786271</v>
      </c>
      <c r="J261" s="16">
        <v>4.5</v>
      </c>
      <c r="K261" s="7">
        <v>20.92</v>
      </c>
      <c r="L261" s="10">
        <f t="shared" si="73"/>
        <v>-2.3723954934591607</v>
      </c>
      <c r="M261" s="12"/>
      <c r="N261" s="11">
        <f t="shared" si="71"/>
        <v>-37.920432212028544</v>
      </c>
    </row>
    <row r="262" spans="1:14" x14ac:dyDescent="0.3">
      <c r="A262">
        <f t="shared" si="68"/>
        <v>1.6666666666666667</v>
      </c>
      <c r="B262">
        <v>30</v>
      </c>
      <c r="C262">
        <v>2</v>
      </c>
      <c r="D262" s="15">
        <v>3.3</v>
      </c>
      <c r="E262" s="1">
        <v>15.228</v>
      </c>
      <c r="F262" s="6">
        <f t="shared" si="66"/>
        <v>2.1670606776989754</v>
      </c>
      <c r="G262" s="9">
        <v>1.62</v>
      </c>
      <c r="H262" s="8">
        <v>3.4550000000000002E-3</v>
      </c>
      <c r="I262" s="9">
        <f t="shared" si="72"/>
        <v>5.4359951523980374</v>
      </c>
      <c r="J262" s="16">
        <v>4.5</v>
      </c>
      <c r="K262" s="7">
        <v>0.67</v>
      </c>
      <c r="L262" s="10">
        <f t="shared" si="73"/>
        <v>42.017462553492898</v>
      </c>
      <c r="M262" s="12"/>
      <c r="N262" s="11">
        <f>-(1.7*K262^2)/19.62</f>
        <v>-3.8895514780835881E-2</v>
      </c>
    </row>
    <row r="263" spans="1:14" x14ac:dyDescent="0.3">
      <c r="A263">
        <f t="shared" si="68"/>
        <v>1.6666666666666667</v>
      </c>
      <c r="B263">
        <v>30</v>
      </c>
      <c r="C263">
        <v>2</v>
      </c>
      <c r="D263" s="15">
        <v>6.6</v>
      </c>
      <c r="E263" s="1">
        <v>15.228</v>
      </c>
      <c r="F263" s="6">
        <f t="shared" si="66"/>
        <v>4.3341213553979507</v>
      </c>
      <c r="G263" s="9">
        <v>1.62</v>
      </c>
      <c r="H263" s="8">
        <v>3.4550000000000002E-3</v>
      </c>
      <c r="I263" s="9">
        <f t="shared" si="72"/>
        <v>10.871990304796075</v>
      </c>
      <c r="J263" s="16">
        <v>4.5</v>
      </c>
      <c r="K263" s="7">
        <v>2.74</v>
      </c>
      <c r="L263" s="10">
        <f t="shared" si="73"/>
        <v>9.8655559251768619</v>
      </c>
      <c r="M263" s="12"/>
      <c r="N263" s="11">
        <f t="shared" ref="N263:N268" si="74">-(1.7*K263^2)/19.62</f>
        <v>-0.65050560652395517</v>
      </c>
    </row>
    <row r="264" spans="1:14" x14ac:dyDescent="0.3">
      <c r="A264">
        <f t="shared" si="68"/>
        <v>1.6666666666666667</v>
      </c>
      <c r="B264">
        <v>30</v>
      </c>
      <c r="C264">
        <v>2</v>
      </c>
      <c r="D264" s="15">
        <v>9.9</v>
      </c>
      <c r="E264" s="1">
        <v>15.228</v>
      </c>
      <c r="F264" s="6">
        <f t="shared" si="66"/>
        <v>6.501182033096927</v>
      </c>
      <c r="G264" s="9">
        <v>1.62</v>
      </c>
      <c r="H264" s="8">
        <v>3.4550000000000002E-3</v>
      </c>
      <c r="I264" s="9">
        <f t="shared" si="72"/>
        <v>16.307985457194114</v>
      </c>
      <c r="J264" s="16">
        <v>4.5</v>
      </c>
      <c r="K264" s="7">
        <v>6.43</v>
      </c>
      <c r="L264" s="10">
        <f t="shared" si="73"/>
        <v>3.0236857401004955</v>
      </c>
      <c r="M264" s="12"/>
      <c r="N264" s="11">
        <f t="shared" si="74"/>
        <v>-3.5823817533129456</v>
      </c>
    </row>
    <row r="265" spans="1:14" x14ac:dyDescent="0.3">
      <c r="A265">
        <f t="shared" si="68"/>
        <v>1.6666666666666667</v>
      </c>
      <c r="B265">
        <v>30</v>
      </c>
      <c r="C265">
        <v>2</v>
      </c>
      <c r="D265" s="15">
        <v>13.2</v>
      </c>
      <c r="E265" s="1">
        <v>15.228</v>
      </c>
      <c r="F265" s="6">
        <f t="shared" si="66"/>
        <v>8.6682427107959015</v>
      </c>
      <c r="G265" s="9">
        <v>1.62</v>
      </c>
      <c r="H265" s="8">
        <v>3.4550000000000002E-3</v>
      </c>
      <c r="I265" s="9">
        <f t="shared" si="72"/>
        <v>21.74398060959215</v>
      </c>
      <c r="J265" s="16">
        <v>4.5</v>
      </c>
      <c r="K265" s="7">
        <v>12.11</v>
      </c>
      <c r="L265" s="10">
        <f t="shared" si="73"/>
        <v>-0.68174233671942119</v>
      </c>
      <c r="M265" s="12"/>
      <c r="N265" s="11">
        <f t="shared" si="74"/>
        <v>-12.706858817533128</v>
      </c>
    </row>
    <row r="266" spans="1:14" x14ac:dyDescent="0.3">
      <c r="A266">
        <f t="shared" si="68"/>
        <v>1.6666666666666667</v>
      </c>
      <c r="B266">
        <v>30</v>
      </c>
      <c r="C266">
        <v>2</v>
      </c>
      <c r="D266" s="15">
        <v>16.5</v>
      </c>
      <c r="E266" s="1">
        <v>15.228</v>
      </c>
      <c r="F266" s="6">
        <f t="shared" si="66"/>
        <v>10.835303388494877</v>
      </c>
      <c r="G266" s="9">
        <v>1.62</v>
      </c>
      <c r="H266" s="8">
        <v>3.4550000000000002E-3</v>
      </c>
      <c r="I266" s="9">
        <f t="shared" si="72"/>
        <v>27.179975761990189</v>
      </c>
      <c r="J266" s="16">
        <v>4.5</v>
      </c>
      <c r="K266" s="7">
        <v>17.45</v>
      </c>
      <c r="L266" s="10">
        <f t="shared" si="73"/>
        <v>-2.721979453003796</v>
      </c>
      <c r="M266" s="12"/>
      <c r="N266" s="11">
        <f t="shared" si="74"/>
        <v>-26.384008664627927</v>
      </c>
    </row>
    <row r="267" spans="1:14" x14ac:dyDescent="0.3">
      <c r="A267">
        <f t="shared" si="68"/>
        <v>1.6666666666666667</v>
      </c>
      <c r="B267">
        <v>30</v>
      </c>
      <c r="C267">
        <v>2</v>
      </c>
      <c r="D267" s="15">
        <v>19.8</v>
      </c>
      <c r="E267" s="1">
        <v>15.228</v>
      </c>
      <c r="F267" s="6">
        <f t="shared" si="66"/>
        <v>13.002364066193854</v>
      </c>
      <c r="G267" s="9">
        <v>1.62</v>
      </c>
      <c r="H267" s="8">
        <v>3.4550000000000002E-3</v>
      </c>
      <c r="I267" s="9">
        <f t="shared" si="72"/>
        <v>32.615970914388228</v>
      </c>
      <c r="J267" s="16">
        <v>4.5</v>
      </c>
      <c r="K267" s="7">
        <v>22.76</v>
      </c>
      <c r="L267" s="10">
        <f t="shared" si="73"/>
        <v>-4.0372675968793388</v>
      </c>
      <c r="M267" s="12"/>
      <c r="N267" s="11">
        <f t="shared" si="74"/>
        <v>-44.884297655453615</v>
      </c>
    </row>
    <row r="268" spans="1:14" x14ac:dyDescent="0.3">
      <c r="A268">
        <f t="shared" si="68"/>
        <v>1.6666666666666667</v>
      </c>
      <c r="B268">
        <v>30</v>
      </c>
      <c r="C268">
        <v>2</v>
      </c>
      <c r="D268" s="16">
        <v>23.1</v>
      </c>
      <c r="E268" s="1">
        <v>15.228</v>
      </c>
      <c r="F268" s="6">
        <f t="shared" si="66"/>
        <v>15.169424743892829</v>
      </c>
      <c r="G268" s="9">
        <v>1.62</v>
      </c>
      <c r="H268" s="8">
        <v>3.4550000000000002E-3</v>
      </c>
      <c r="I268" s="9">
        <f t="shared" si="72"/>
        <v>38.051966066786271</v>
      </c>
      <c r="J268" s="16">
        <v>4.5</v>
      </c>
      <c r="K268" s="7">
        <v>27.38</v>
      </c>
      <c r="L268" s="10">
        <f t="shared" si="73"/>
        <v>-4.6774985501543194</v>
      </c>
      <c r="M268" s="12"/>
      <c r="N268" s="11">
        <f t="shared" si="74"/>
        <v>-64.95563098878695</v>
      </c>
    </row>
    <row r="269" spans="1:14" x14ac:dyDescent="0.3">
      <c r="A269">
        <f t="shared" si="68"/>
        <v>1.6666666666666667</v>
      </c>
      <c r="B269">
        <v>30</v>
      </c>
      <c r="C269">
        <v>4</v>
      </c>
      <c r="D269" s="15">
        <v>3.3</v>
      </c>
      <c r="E269" s="1">
        <v>15.228</v>
      </c>
      <c r="F269" s="6">
        <f t="shared" si="66"/>
        <v>2.1670606776989754</v>
      </c>
      <c r="G269" s="9">
        <v>1.62</v>
      </c>
      <c r="H269" s="8">
        <v>1.7275000000000001E-3</v>
      </c>
      <c r="I269" s="9">
        <f t="shared" si="72"/>
        <v>5.4359951523980374</v>
      </c>
      <c r="J269" s="16">
        <v>4.5</v>
      </c>
      <c r="K269" s="7">
        <v>0.76</v>
      </c>
      <c r="L269" s="10">
        <f t="shared" si="73"/>
        <v>41.970873345798353</v>
      </c>
      <c r="M269" s="12"/>
      <c r="N269" s="11">
        <f>-(1.7*K269^2)/19.62</f>
        <v>-5.0046890927624869E-2</v>
      </c>
    </row>
    <row r="270" spans="1:14" x14ac:dyDescent="0.3">
      <c r="A270">
        <f t="shared" si="68"/>
        <v>1.6666666666666667</v>
      </c>
      <c r="B270">
        <v>30</v>
      </c>
      <c r="C270">
        <v>4</v>
      </c>
      <c r="D270" s="15">
        <v>6.6</v>
      </c>
      <c r="E270" s="1">
        <v>15.228</v>
      </c>
      <c r="F270" s="6">
        <f t="shared" si="66"/>
        <v>4.3341213553979507</v>
      </c>
      <c r="G270" s="9">
        <v>1.62</v>
      </c>
      <c r="H270" s="8">
        <v>1.7275000000000001E-3</v>
      </c>
      <c r="I270" s="9">
        <f t="shared" si="72"/>
        <v>10.871990304796075</v>
      </c>
      <c r="J270" s="16">
        <v>4.5</v>
      </c>
      <c r="K270" s="7">
        <v>2.52</v>
      </c>
      <c r="L270" s="10">
        <f t="shared" si="73"/>
        <v>9.9702820929004989</v>
      </c>
      <c r="M270" s="12"/>
      <c r="N270" s="11">
        <f t="shared" ref="N270:N275" si="75">-(1.7*K270^2)/19.62</f>
        <v>-0.55023853211009177</v>
      </c>
    </row>
    <row r="271" spans="1:14" x14ac:dyDescent="0.3">
      <c r="A271">
        <f t="shared" si="68"/>
        <v>1.6666666666666667</v>
      </c>
      <c r="B271">
        <v>30</v>
      </c>
      <c r="C271">
        <v>4</v>
      </c>
      <c r="D271" s="15">
        <v>9.9</v>
      </c>
      <c r="E271" s="1">
        <v>15.228</v>
      </c>
      <c r="F271" s="6">
        <f t="shared" si="66"/>
        <v>6.501182033096927</v>
      </c>
      <c r="G271" s="9">
        <v>1.62</v>
      </c>
      <c r="H271" s="8">
        <v>1.7275000000000001E-3</v>
      </c>
      <c r="I271" s="9">
        <f t="shared" si="72"/>
        <v>16.307985457194114</v>
      </c>
      <c r="J271" s="16">
        <v>4.5</v>
      </c>
      <c r="K271" s="7">
        <v>5.2</v>
      </c>
      <c r="L271" s="10">
        <f t="shared" si="73"/>
        <v>3.5990582318122315</v>
      </c>
      <c r="M271" s="12"/>
      <c r="N271" s="11">
        <f t="shared" si="75"/>
        <v>-2.342915392456677</v>
      </c>
    </row>
    <row r="272" spans="1:14" x14ac:dyDescent="0.3">
      <c r="A272">
        <f t="shared" si="68"/>
        <v>1.6666666666666667</v>
      </c>
      <c r="B272">
        <v>30</v>
      </c>
      <c r="C272">
        <v>4</v>
      </c>
      <c r="D272" s="15">
        <v>13.2</v>
      </c>
      <c r="E272" s="1">
        <v>15.228</v>
      </c>
      <c r="F272" s="6">
        <f t="shared" si="66"/>
        <v>8.6682427107959015</v>
      </c>
      <c r="G272" s="9">
        <v>1.62</v>
      </c>
      <c r="H272" s="8">
        <v>1.7275000000000001E-3</v>
      </c>
      <c r="I272" s="9">
        <f t="shared" si="72"/>
        <v>21.74398060959215</v>
      </c>
      <c r="J272" s="16">
        <v>4.5</v>
      </c>
      <c r="K272" s="7">
        <v>9.6300000000000008</v>
      </c>
      <c r="L272" s="10">
        <f t="shared" si="73"/>
        <v>0.53808402822471069</v>
      </c>
      <c r="M272" s="12"/>
      <c r="N272" s="11">
        <f t="shared" si="75"/>
        <v>-8.0353073394495418</v>
      </c>
    </row>
    <row r="273" spans="1:14" x14ac:dyDescent="0.3">
      <c r="A273">
        <f t="shared" si="68"/>
        <v>1.6666666666666667</v>
      </c>
      <c r="B273">
        <v>30</v>
      </c>
      <c r="C273">
        <v>4</v>
      </c>
      <c r="D273" s="15">
        <v>16.5</v>
      </c>
      <c r="E273" s="1">
        <v>15.228</v>
      </c>
      <c r="F273" s="6">
        <f t="shared" si="66"/>
        <v>10.835303388494877</v>
      </c>
      <c r="G273" s="9">
        <v>1.62</v>
      </c>
      <c r="H273" s="8">
        <v>1.7275000000000001E-3</v>
      </c>
      <c r="I273" s="9">
        <f t="shared" si="72"/>
        <v>27.179975761990189</v>
      </c>
      <c r="J273" s="16">
        <v>4.5</v>
      </c>
      <c r="K273" s="7">
        <v>13.32</v>
      </c>
      <c r="L273" s="10">
        <f t="shared" si="73"/>
        <v>-0.88186720040283006</v>
      </c>
      <c r="M273" s="12"/>
      <c r="N273" s="11">
        <f t="shared" si="75"/>
        <v>-15.372990825688074</v>
      </c>
    </row>
    <row r="274" spans="1:14" x14ac:dyDescent="0.3">
      <c r="A274">
        <f t="shared" si="68"/>
        <v>1.6666666666666667</v>
      </c>
      <c r="B274">
        <v>30</v>
      </c>
      <c r="C274">
        <v>4</v>
      </c>
      <c r="D274" s="15">
        <v>19.8</v>
      </c>
      <c r="E274" s="1">
        <v>15.228</v>
      </c>
      <c r="F274" s="6">
        <f t="shared" si="66"/>
        <v>13.002364066193854</v>
      </c>
      <c r="G274" s="9">
        <v>1.62</v>
      </c>
      <c r="H274" s="8">
        <v>1.7275000000000001E-3</v>
      </c>
      <c r="I274" s="9">
        <f t="shared" si="72"/>
        <v>32.615970914388228</v>
      </c>
      <c r="J274" s="16">
        <v>4.5</v>
      </c>
      <c r="K274" s="7">
        <v>16.79</v>
      </c>
      <c r="L274" s="10">
        <f t="shared" si="73"/>
        <v>-1.6630249803322308</v>
      </c>
      <c r="M274" s="12"/>
      <c r="N274" s="11">
        <f t="shared" si="75"/>
        <v>-24.425941386340465</v>
      </c>
    </row>
    <row r="275" spans="1:14" x14ac:dyDescent="0.3">
      <c r="A275">
        <f t="shared" si="68"/>
        <v>1.6666666666666667</v>
      </c>
      <c r="B275">
        <v>30</v>
      </c>
      <c r="C275">
        <v>4</v>
      </c>
      <c r="D275" s="16">
        <v>23.5</v>
      </c>
      <c r="E275" s="1">
        <v>15.228</v>
      </c>
      <c r="F275" s="6">
        <f t="shared" si="66"/>
        <v>15.432098765432098</v>
      </c>
      <c r="G275" s="9">
        <v>1.62</v>
      </c>
      <c r="H275" s="8">
        <v>1.7275000000000001E-3</v>
      </c>
      <c r="I275" s="9">
        <f t="shared" si="72"/>
        <v>38.710874570107244</v>
      </c>
      <c r="J275" s="16">
        <v>4.5</v>
      </c>
      <c r="K275" s="7">
        <v>21.82</v>
      </c>
      <c r="L275" s="10">
        <f t="shared" si="73"/>
        <v>-2.5669048967424004</v>
      </c>
      <c r="M275" s="12"/>
      <c r="N275" s="11">
        <f t="shared" si="75"/>
        <v>-41.253367991845053</v>
      </c>
    </row>
    <row r="276" spans="1:14" x14ac:dyDescent="0.3">
      <c r="A276">
        <f t="shared" si="68"/>
        <v>1.6666666666666667</v>
      </c>
      <c r="B276">
        <v>30</v>
      </c>
      <c r="C276">
        <v>6</v>
      </c>
      <c r="D276" s="15">
        <v>3.3</v>
      </c>
      <c r="E276" s="1">
        <v>15.228</v>
      </c>
      <c r="F276" s="6">
        <f t="shared" si="66"/>
        <v>2.1670606776989754</v>
      </c>
      <c r="G276" s="9">
        <v>1.62</v>
      </c>
      <c r="H276" s="8">
        <v>1.15167E-3</v>
      </c>
      <c r="I276" s="9">
        <f t="shared" si="72"/>
        <v>5.4359951523980374</v>
      </c>
      <c r="J276" s="16">
        <v>3</v>
      </c>
      <c r="K276" s="7">
        <v>0</v>
      </c>
      <c r="L276" s="10">
        <f t="shared" si="73"/>
        <v>42.179963682739846</v>
      </c>
      <c r="M276" s="12"/>
      <c r="N276" s="11">
        <f>-(1.7*K276^2)/19.62</f>
        <v>0</v>
      </c>
    </row>
    <row r="277" spans="1:14" x14ac:dyDescent="0.3">
      <c r="A277">
        <f t="shared" si="68"/>
        <v>1.6666666666666667</v>
      </c>
      <c r="B277">
        <v>30</v>
      </c>
      <c r="C277">
        <v>6</v>
      </c>
      <c r="D277" s="15">
        <v>6.6</v>
      </c>
      <c r="E277" s="1">
        <v>15.228</v>
      </c>
      <c r="F277" s="6">
        <f t="shared" si="66"/>
        <v>4.3341213553979507</v>
      </c>
      <c r="G277" s="9">
        <v>1.62</v>
      </c>
      <c r="H277" s="8">
        <v>1.15167E-3</v>
      </c>
      <c r="I277" s="9">
        <f t="shared" si="72"/>
        <v>10.871990304796075</v>
      </c>
      <c r="J277" s="16">
        <v>4.5</v>
      </c>
      <c r="K277" s="7">
        <v>2.25</v>
      </c>
      <c r="L277" s="10">
        <f t="shared" si="73"/>
        <v>10.086836561800665</v>
      </c>
      <c r="M277" s="12"/>
      <c r="N277" s="11">
        <f t="shared" ref="N277:N282" si="76">-(1.7*K277^2)/19.62</f>
        <v>-0.43864678899082565</v>
      </c>
    </row>
    <row r="278" spans="1:14" x14ac:dyDescent="0.3">
      <c r="A278">
        <f t="shared" si="68"/>
        <v>1.6666666666666667</v>
      </c>
      <c r="B278">
        <v>30</v>
      </c>
      <c r="C278">
        <v>6</v>
      </c>
      <c r="D278" s="15">
        <v>9.9</v>
      </c>
      <c r="E278" s="1">
        <v>15.228</v>
      </c>
      <c r="F278" s="6">
        <f t="shared" si="66"/>
        <v>6.501182033096927</v>
      </c>
      <c r="G278" s="9">
        <v>1.62</v>
      </c>
      <c r="H278" s="8">
        <v>1.15167E-3</v>
      </c>
      <c r="I278" s="9">
        <f t="shared" si="72"/>
        <v>16.307985457194114</v>
      </c>
      <c r="J278" s="16">
        <v>4.5</v>
      </c>
      <c r="K278" s="7">
        <v>4.63</v>
      </c>
      <c r="L278" s="10">
        <f t="shared" si="73"/>
        <v>3.8244264348971901</v>
      </c>
      <c r="M278" s="12"/>
      <c r="N278" s="11">
        <f t="shared" si="76"/>
        <v>-1.8574276248725787</v>
      </c>
    </row>
    <row r="279" spans="1:14" x14ac:dyDescent="0.3">
      <c r="A279">
        <f t="shared" si="68"/>
        <v>1.6666666666666667</v>
      </c>
      <c r="B279">
        <v>30</v>
      </c>
      <c r="C279">
        <v>6</v>
      </c>
      <c r="D279" s="15">
        <v>13.2</v>
      </c>
      <c r="E279" s="1">
        <v>15.228</v>
      </c>
      <c r="F279" s="6">
        <f t="shared" si="66"/>
        <v>8.6682427107959015</v>
      </c>
      <c r="G279" s="9">
        <v>1.62</v>
      </c>
      <c r="H279" s="8">
        <v>1.15167E-3</v>
      </c>
      <c r="I279" s="9">
        <f t="shared" si="72"/>
        <v>21.74398060959215</v>
      </c>
      <c r="J279" s="16">
        <v>4.5</v>
      </c>
      <c r="K279" s="7">
        <v>8.15</v>
      </c>
      <c r="L279" s="10">
        <f t="shared" si="73"/>
        <v>1.1334448707642151</v>
      </c>
      <c r="M279" s="12"/>
      <c r="N279" s="11">
        <f t="shared" si="76"/>
        <v>-5.7552624872578999</v>
      </c>
    </row>
    <row r="280" spans="1:14" x14ac:dyDescent="0.3">
      <c r="A280">
        <f t="shared" si="68"/>
        <v>1.6666666666666667</v>
      </c>
      <c r="B280">
        <v>30</v>
      </c>
      <c r="C280">
        <v>6</v>
      </c>
      <c r="D280" s="15">
        <v>16.5</v>
      </c>
      <c r="E280" s="1">
        <v>15.228</v>
      </c>
      <c r="F280" s="6">
        <f t="shared" si="66"/>
        <v>10.835303388494877</v>
      </c>
      <c r="G280" s="9">
        <v>1.62</v>
      </c>
      <c r="H280" s="8">
        <v>1.15167E-3</v>
      </c>
      <c r="I280" s="9">
        <f t="shared" si="72"/>
        <v>27.179975761990189</v>
      </c>
      <c r="J280" s="16">
        <v>4.5</v>
      </c>
      <c r="K280" s="7">
        <v>8.25</v>
      </c>
      <c r="L280" s="10">
        <f t="shared" si="73"/>
        <v>0.70165761530959359</v>
      </c>
      <c r="M280" s="12"/>
      <c r="N280" s="11">
        <f t="shared" si="76"/>
        <v>-5.8973623853211006</v>
      </c>
    </row>
    <row r="281" spans="1:14" x14ac:dyDescent="0.3">
      <c r="A281">
        <f t="shared" si="68"/>
        <v>1.6666666666666667</v>
      </c>
      <c r="B281">
        <v>30</v>
      </c>
      <c r="C281">
        <v>6</v>
      </c>
      <c r="D281" s="15">
        <v>19.8</v>
      </c>
      <c r="E281" s="1">
        <v>15.228</v>
      </c>
      <c r="F281" s="6">
        <f t="shared" si="66"/>
        <v>13.002364066193854</v>
      </c>
      <c r="G281" s="9">
        <v>1.62</v>
      </c>
      <c r="H281" s="8">
        <v>1.15167E-3</v>
      </c>
      <c r="I281" s="9">
        <f t="shared" si="72"/>
        <v>32.615970914388228</v>
      </c>
      <c r="J281" s="16">
        <v>4.5</v>
      </c>
      <c r="K281" s="7">
        <v>12.8</v>
      </c>
      <c r="L281" s="10">
        <f t="shared" si="73"/>
        <v>-0.47582976403041327</v>
      </c>
      <c r="M281" s="12"/>
      <c r="N281" s="11">
        <f t="shared" si="76"/>
        <v>-14.196126401630989</v>
      </c>
    </row>
    <row r="282" spans="1:14" x14ac:dyDescent="0.3">
      <c r="A282">
        <f t="shared" si="68"/>
        <v>1.6666666666666667</v>
      </c>
      <c r="B282">
        <v>30</v>
      </c>
      <c r="C282">
        <v>6</v>
      </c>
      <c r="D282" s="16">
        <v>23.5</v>
      </c>
      <c r="E282" s="1">
        <v>15.228</v>
      </c>
      <c r="F282" s="6">
        <f t="shared" si="66"/>
        <v>15.432098765432098</v>
      </c>
      <c r="G282" s="9">
        <v>1.62</v>
      </c>
      <c r="H282" s="8">
        <v>1.15167E-3</v>
      </c>
      <c r="I282" s="9">
        <f t="shared" si="72"/>
        <v>38.710874570107244</v>
      </c>
      <c r="J282" s="16">
        <v>4.5</v>
      </c>
      <c r="K282" s="7">
        <v>15.16</v>
      </c>
      <c r="L282" s="10">
        <f t="shared" si="73"/>
        <v>-0.8088190848000002</v>
      </c>
      <c r="M282" s="12"/>
      <c r="N282" s="11">
        <f t="shared" si="76"/>
        <v>-19.913533129459736</v>
      </c>
    </row>
    <row r="283" spans="1:14" x14ac:dyDescent="0.3">
      <c r="A283">
        <f t="shared" si="68"/>
        <v>1.6666666666666667</v>
      </c>
      <c r="B283">
        <v>40</v>
      </c>
      <c r="C283">
        <v>1</v>
      </c>
      <c r="D283" s="15">
        <v>3.9</v>
      </c>
      <c r="E283" s="1">
        <v>20.303999999999998</v>
      </c>
      <c r="F283" s="6">
        <f t="shared" si="66"/>
        <v>1.9208037825059101</v>
      </c>
      <c r="G283" s="9">
        <v>2.16</v>
      </c>
      <c r="H283" s="8">
        <v>8.7799999999999996E-3</v>
      </c>
      <c r="I283" s="9">
        <f t="shared" si="72"/>
        <v>4.1727428630955616</v>
      </c>
      <c r="J283" s="16">
        <v>3</v>
      </c>
      <c r="K283" s="7">
        <v>0</v>
      </c>
      <c r="L283" s="10">
        <f t="shared" si="73"/>
        <v>53.688632274677403</v>
      </c>
      <c r="M283" s="12"/>
      <c r="N283" s="11">
        <f>-(1.7*K283^2)/19.62</f>
        <v>0</v>
      </c>
    </row>
    <row r="284" spans="1:14" x14ac:dyDescent="0.3">
      <c r="A284">
        <f t="shared" si="68"/>
        <v>1.6666666666666667</v>
      </c>
      <c r="B284">
        <v>40</v>
      </c>
      <c r="C284">
        <v>1</v>
      </c>
      <c r="D284" s="15">
        <v>7.8</v>
      </c>
      <c r="E284" s="1">
        <v>20.303999999999998</v>
      </c>
      <c r="F284" s="6">
        <f t="shared" si="66"/>
        <v>3.8416075650118202</v>
      </c>
      <c r="G284" s="9">
        <v>2.16</v>
      </c>
      <c r="H284" s="8">
        <v>8.7799999999999996E-3</v>
      </c>
      <c r="I284" s="9">
        <f t="shared" si="72"/>
        <v>8.3454857261911233</v>
      </c>
      <c r="J284" s="16">
        <v>4.5</v>
      </c>
      <c r="K284" s="7">
        <v>1.35</v>
      </c>
      <c r="L284" s="10">
        <f t="shared" si="73"/>
        <v>13.212220355343906</v>
      </c>
      <c r="M284" s="12"/>
      <c r="N284" s="11">
        <f t="shared" ref="N284:N289" si="77">-(1.7*K284^2)/19.62</f>
        <v>-0.15791284403669725</v>
      </c>
    </row>
    <row r="285" spans="1:14" x14ac:dyDescent="0.3">
      <c r="A285">
        <f t="shared" si="68"/>
        <v>1.6666666666666667</v>
      </c>
      <c r="B285">
        <v>40</v>
      </c>
      <c r="C285">
        <v>1</v>
      </c>
      <c r="D285" s="15">
        <v>11.7</v>
      </c>
      <c r="E285" s="1">
        <v>20.303999999999998</v>
      </c>
      <c r="F285" s="6">
        <f t="shared" si="66"/>
        <v>5.7624113475177312</v>
      </c>
      <c r="G285" s="9">
        <v>2.16</v>
      </c>
      <c r="H285" s="8">
        <v>8.7799999999999996E-3</v>
      </c>
      <c r="I285" s="9">
        <f t="shared" si="72"/>
        <v>12.518228589286688</v>
      </c>
      <c r="J285" s="16">
        <v>4.5</v>
      </c>
      <c r="K285" s="7">
        <v>2.87</v>
      </c>
      <c r="L285" s="10">
        <f t="shared" si="73"/>
        <v>5.5437030036298225</v>
      </c>
      <c r="M285" s="12"/>
      <c r="N285" s="11">
        <f t="shared" si="77"/>
        <v>-0.71369673802242606</v>
      </c>
    </row>
    <row r="286" spans="1:14" x14ac:dyDescent="0.3">
      <c r="A286">
        <f t="shared" si="68"/>
        <v>1.6666666666666667</v>
      </c>
      <c r="B286">
        <v>40</v>
      </c>
      <c r="C286">
        <v>1</v>
      </c>
      <c r="D286" s="15">
        <v>15.6</v>
      </c>
      <c r="E286" s="1">
        <v>20.303999999999998</v>
      </c>
      <c r="F286" s="6">
        <f t="shared" si="66"/>
        <v>7.6832151300236404</v>
      </c>
      <c r="G286" s="9">
        <v>2.16</v>
      </c>
      <c r="H286" s="8">
        <v>8.7799999999999996E-3</v>
      </c>
      <c r="I286" s="9">
        <f t="shared" si="72"/>
        <v>16.690971452382247</v>
      </c>
      <c r="J286" s="16">
        <v>4.5</v>
      </c>
      <c r="K286" s="7">
        <v>5.1100000000000003</v>
      </c>
      <c r="L286" s="10">
        <f t="shared" si="73"/>
        <v>2.6035622107029588</v>
      </c>
      <c r="M286" s="12"/>
      <c r="N286" s="11">
        <f t="shared" si="77"/>
        <v>-2.2625163098878698</v>
      </c>
    </row>
    <row r="287" spans="1:14" x14ac:dyDescent="0.3">
      <c r="A287">
        <f t="shared" si="68"/>
        <v>1.6666666666666667</v>
      </c>
      <c r="B287">
        <v>40</v>
      </c>
      <c r="C287">
        <v>1</v>
      </c>
      <c r="D287" s="15">
        <v>19.5</v>
      </c>
      <c r="E287" s="1">
        <v>20.303999999999998</v>
      </c>
      <c r="F287" s="6">
        <f t="shared" si="66"/>
        <v>9.6040189125295505</v>
      </c>
      <c r="G287" s="9">
        <v>2.16</v>
      </c>
      <c r="H287" s="8">
        <v>8.7799999999999996E-3</v>
      </c>
      <c r="I287" s="9">
        <f t="shared" si="72"/>
        <v>20.863714315477811</v>
      </c>
      <c r="J287" s="16">
        <v>4.5</v>
      </c>
      <c r="K287" s="7">
        <v>8.7200000000000006</v>
      </c>
      <c r="L287" s="10">
        <f t="shared" si="73"/>
        <v>0.74610087323781304</v>
      </c>
      <c r="M287" s="12"/>
      <c r="N287" s="11">
        <f t="shared" si="77"/>
        <v>-6.5884444444444448</v>
      </c>
    </row>
    <row r="288" spans="1:14" x14ac:dyDescent="0.3">
      <c r="A288">
        <f t="shared" si="68"/>
        <v>1.6666666666666667</v>
      </c>
      <c r="B288">
        <v>40</v>
      </c>
      <c r="C288">
        <v>1</v>
      </c>
      <c r="D288" s="15">
        <v>23.4</v>
      </c>
      <c r="E288" s="1">
        <v>20.303999999999998</v>
      </c>
      <c r="F288" s="6">
        <f t="shared" si="66"/>
        <v>11.524822695035462</v>
      </c>
      <c r="G288" s="9">
        <v>2.16</v>
      </c>
      <c r="H288" s="8">
        <v>8.7799999999999996E-3</v>
      </c>
      <c r="I288" s="9">
        <f t="shared" si="72"/>
        <v>25.036457178573375</v>
      </c>
      <c r="J288" s="16">
        <v>4.5</v>
      </c>
      <c r="K288" s="7">
        <v>12.42</v>
      </c>
      <c r="L288" s="10">
        <f t="shared" si="73"/>
        <v>-0.48299666524402307</v>
      </c>
      <c r="M288" s="12"/>
      <c r="N288" s="11">
        <f t="shared" si="77"/>
        <v>-13.365743119266051</v>
      </c>
    </row>
    <row r="289" spans="1:14" x14ac:dyDescent="0.3">
      <c r="A289">
        <f t="shared" si="68"/>
        <v>1.6666666666666667</v>
      </c>
      <c r="B289">
        <v>40</v>
      </c>
      <c r="C289">
        <v>1</v>
      </c>
      <c r="D289" s="16">
        <v>26.8</v>
      </c>
      <c r="E289" s="1">
        <v>20.303999999999998</v>
      </c>
      <c r="F289" s="6">
        <f t="shared" si="66"/>
        <v>13.199369582348307</v>
      </c>
      <c r="G289" s="9">
        <v>2.16</v>
      </c>
      <c r="H289" s="8">
        <v>8.7799999999999996E-3</v>
      </c>
      <c r="I289" s="9">
        <f t="shared" si="72"/>
        <v>28.674233007938739</v>
      </c>
      <c r="J289" s="16">
        <v>4.5</v>
      </c>
      <c r="K289" s="7">
        <v>14.97</v>
      </c>
      <c r="L289" s="10">
        <f t="shared" si="73"/>
        <v>-1.0497330137549028</v>
      </c>
      <c r="M289" s="12"/>
      <c r="N289" s="11">
        <f t="shared" si="77"/>
        <v>-19.417509174311927</v>
      </c>
    </row>
    <row r="290" spans="1:14" x14ac:dyDescent="0.3">
      <c r="A290">
        <f t="shared" si="68"/>
        <v>1.6666666666666667</v>
      </c>
      <c r="B290">
        <v>40</v>
      </c>
      <c r="C290">
        <v>2</v>
      </c>
      <c r="D290" s="15">
        <v>3.9</v>
      </c>
      <c r="E290" s="1">
        <v>20.303999999999998</v>
      </c>
      <c r="F290" s="6">
        <f t="shared" si="66"/>
        <v>1.9208037825059101</v>
      </c>
      <c r="G290" s="9">
        <v>2.16</v>
      </c>
      <c r="H290" s="8">
        <v>4.3899999999999998E-3</v>
      </c>
      <c r="I290" s="9">
        <f t="shared" si="72"/>
        <v>4.1727428630955616</v>
      </c>
      <c r="J290" s="16">
        <v>4.5</v>
      </c>
      <c r="K290" s="7">
        <v>0.65</v>
      </c>
      <c r="L290" s="10">
        <f t="shared" si="73"/>
        <v>53.493957522677398</v>
      </c>
      <c r="M290" s="12"/>
      <c r="N290" s="11">
        <f>-(1.7*K290^2)/19.62</f>
        <v>-3.6608053007135578E-2</v>
      </c>
    </row>
    <row r="291" spans="1:14" x14ac:dyDescent="0.3">
      <c r="A291">
        <f t="shared" si="68"/>
        <v>1.6666666666666667</v>
      </c>
      <c r="B291">
        <v>40</v>
      </c>
      <c r="C291">
        <v>2</v>
      </c>
      <c r="D291" s="15">
        <v>7.8</v>
      </c>
      <c r="E291" s="1">
        <v>20.303999999999998</v>
      </c>
      <c r="F291" s="6">
        <f t="shared" si="66"/>
        <v>3.8416075650118202</v>
      </c>
      <c r="G291" s="9">
        <v>2.16</v>
      </c>
      <c r="H291" s="8">
        <v>4.3899999999999998E-3</v>
      </c>
      <c r="I291" s="9">
        <f t="shared" si="72"/>
        <v>8.3454857261911233</v>
      </c>
      <c r="J291" s="16">
        <v>4.5</v>
      </c>
      <c r="K291" s="7">
        <v>2.16</v>
      </c>
      <c r="L291" s="10">
        <f t="shared" si="73"/>
        <v>12.884717522556215</v>
      </c>
      <c r="M291" s="12"/>
      <c r="N291" s="11">
        <f t="shared" ref="N291:N296" si="78">-(1.7*K291^2)/19.62</f>
        <v>-0.404256880733945</v>
      </c>
    </row>
    <row r="292" spans="1:14" x14ac:dyDescent="0.3">
      <c r="A292">
        <f t="shared" si="68"/>
        <v>1.6666666666666667</v>
      </c>
      <c r="B292">
        <v>40</v>
      </c>
      <c r="C292">
        <v>2</v>
      </c>
      <c r="D292" s="15">
        <v>11.7</v>
      </c>
      <c r="E292" s="1">
        <v>20.303999999999998</v>
      </c>
      <c r="F292" s="6">
        <f t="shared" si="66"/>
        <v>5.7624113475177312</v>
      </c>
      <c r="G292" s="9">
        <v>2.16</v>
      </c>
      <c r="H292" s="8">
        <v>4.3899999999999998E-3</v>
      </c>
      <c r="I292" s="9">
        <f t="shared" si="72"/>
        <v>12.518228589286688</v>
      </c>
      <c r="J292" s="16">
        <v>4.5</v>
      </c>
      <c r="K292" s="7">
        <v>4.83</v>
      </c>
      <c r="L292" s="10">
        <f t="shared" si="73"/>
        <v>4.771045184515029</v>
      </c>
      <c r="M292" s="12"/>
      <c r="N292" s="11">
        <f t="shared" si="78"/>
        <v>-2.0213623853211007</v>
      </c>
    </row>
    <row r="293" spans="1:14" x14ac:dyDescent="0.3">
      <c r="A293">
        <f t="shared" si="68"/>
        <v>1.6666666666666667</v>
      </c>
      <c r="B293">
        <v>40</v>
      </c>
      <c r="C293">
        <v>2</v>
      </c>
      <c r="D293" s="15">
        <v>15.6</v>
      </c>
      <c r="E293" s="1">
        <v>20.303999999999998</v>
      </c>
      <c r="F293" s="6">
        <f t="shared" ref="F293:F356" si="79">(D293*10^-3)/(E293*10^-4)</f>
        <v>7.6832151300236404</v>
      </c>
      <c r="G293" s="9">
        <v>2.16</v>
      </c>
      <c r="H293" s="8">
        <v>4.3899999999999998E-3</v>
      </c>
      <c r="I293" s="9">
        <f t="shared" si="72"/>
        <v>16.690971452382247</v>
      </c>
      <c r="J293" s="16">
        <v>4.5</v>
      </c>
      <c r="K293" s="7">
        <v>8.8800000000000008</v>
      </c>
      <c r="L293" s="10">
        <f t="shared" si="73"/>
        <v>1.0846873331275737</v>
      </c>
      <c r="M293" s="12"/>
      <c r="N293" s="11">
        <f t="shared" si="78"/>
        <v>-6.8324403669724783</v>
      </c>
    </row>
    <row r="294" spans="1:14" x14ac:dyDescent="0.3">
      <c r="A294">
        <f t="shared" si="68"/>
        <v>1.6666666666666667</v>
      </c>
      <c r="B294">
        <v>40</v>
      </c>
      <c r="C294">
        <v>2</v>
      </c>
      <c r="D294" s="15">
        <v>19.5</v>
      </c>
      <c r="E294" s="1">
        <v>20.303999999999998</v>
      </c>
      <c r="F294" s="6">
        <f t="shared" si="79"/>
        <v>9.6040189125295505</v>
      </c>
      <c r="G294" s="9">
        <v>2.16</v>
      </c>
      <c r="H294" s="8">
        <v>4.3899999999999998E-3</v>
      </c>
      <c r="I294" s="9">
        <f t="shared" si="72"/>
        <v>20.863714315477811</v>
      </c>
      <c r="J294" s="16">
        <v>4.5</v>
      </c>
      <c r="K294" s="7">
        <v>12.69</v>
      </c>
      <c r="L294" s="10">
        <f t="shared" si="73"/>
        <v>-0.82047012492269777</v>
      </c>
      <c r="M294" s="12"/>
      <c r="N294" s="11">
        <f t="shared" si="78"/>
        <v>-13.953178899082566</v>
      </c>
    </row>
    <row r="295" spans="1:14" x14ac:dyDescent="0.3">
      <c r="A295">
        <f t="shared" si="68"/>
        <v>1.6666666666666667</v>
      </c>
      <c r="B295">
        <v>40</v>
      </c>
      <c r="C295">
        <v>2</v>
      </c>
      <c r="D295" s="15">
        <v>23.4</v>
      </c>
      <c r="E295" s="1">
        <v>20.303999999999998</v>
      </c>
      <c r="F295" s="6">
        <f t="shared" si="79"/>
        <v>11.524822695035462</v>
      </c>
      <c r="G295" s="9">
        <v>2.16</v>
      </c>
      <c r="H295" s="8">
        <v>4.3899999999999998E-3</v>
      </c>
      <c r="I295" s="9">
        <f t="shared" si="72"/>
        <v>25.036457178573375</v>
      </c>
      <c r="J295" s="16">
        <v>4.5</v>
      </c>
      <c r="K295" s="7">
        <v>15.94</v>
      </c>
      <c r="L295" s="10">
        <f t="shared" si="73"/>
        <v>-1.7606978751621296</v>
      </c>
      <c r="M295" s="12"/>
      <c r="N295" s="11">
        <f t="shared" si="78"/>
        <v>-22.015398572884809</v>
      </c>
    </row>
    <row r="296" spans="1:14" x14ac:dyDescent="0.3">
      <c r="A296">
        <f t="shared" si="68"/>
        <v>1.6666666666666667</v>
      </c>
      <c r="B296">
        <v>40</v>
      </c>
      <c r="C296">
        <v>2</v>
      </c>
      <c r="D296" s="16">
        <v>26.8</v>
      </c>
      <c r="E296" s="1">
        <v>20.303999999999998</v>
      </c>
      <c r="F296" s="6">
        <f t="shared" si="79"/>
        <v>13.199369582348307</v>
      </c>
      <c r="G296" s="9">
        <v>2.16</v>
      </c>
      <c r="H296" s="8">
        <v>4.3899999999999998E-3</v>
      </c>
      <c r="I296" s="9">
        <f t="shared" si="72"/>
        <v>28.674233007938739</v>
      </c>
      <c r="J296" s="16">
        <v>4.5</v>
      </c>
      <c r="K296" s="7">
        <v>18.940000000000001</v>
      </c>
      <c r="L296" s="10">
        <f t="shared" si="73"/>
        <v>-2.3633260557722426</v>
      </c>
      <c r="M296" s="12"/>
      <c r="N296" s="11">
        <f t="shared" si="78"/>
        <v>-31.082065239551479</v>
      </c>
    </row>
    <row r="297" spans="1:14" x14ac:dyDescent="0.3">
      <c r="A297">
        <f t="shared" si="68"/>
        <v>1.6666666666666667</v>
      </c>
      <c r="B297">
        <v>40</v>
      </c>
      <c r="C297">
        <v>4</v>
      </c>
      <c r="D297" s="15">
        <v>3.9</v>
      </c>
      <c r="E297" s="1">
        <v>20.303999999999998</v>
      </c>
      <c r="F297" s="6">
        <f t="shared" si="79"/>
        <v>1.9208037825059101</v>
      </c>
      <c r="G297" s="9">
        <v>2.16</v>
      </c>
      <c r="H297" s="8">
        <v>2.1949999999999999E-3</v>
      </c>
      <c r="I297" s="9">
        <f t="shared" si="72"/>
        <v>4.1727428630955616</v>
      </c>
      <c r="J297" s="16">
        <v>4.5</v>
      </c>
      <c r="K297" s="7">
        <v>0.6</v>
      </c>
      <c r="L297" s="10">
        <f t="shared" si="73"/>
        <v>53.522755562914085</v>
      </c>
      <c r="M297" s="12"/>
      <c r="N297" s="11">
        <f>-(1.7*K297^2)/19.62</f>
        <v>-3.1192660550458714E-2</v>
      </c>
    </row>
    <row r="298" spans="1:14" x14ac:dyDescent="0.3">
      <c r="A298">
        <f t="shared" si="68"/>
        <v>1.6666666666666667</v>
      </c>
      <c r="B298">
        <v>40</v>
      </c>
      <c r="C298">
        <v>4</v>
      </c>
      <c r="D298" s="15">
        <v>7.8</v>
      </c>
      <c r="E298" s="1">
        <v>20.303999999999998</v>
      </c>
      <c r="F298" s="6">
        <f t="shared" si="79"/>
        <v>3.8416075650118202</v>
      </c>
      <c r="G298" s="9">
        <v>2.16</v>
      </c>
      <c r="H298" s="8">
        <v>2.1949999999999999E-3</v>
      </c>
      <c r="I298" s="9">
        <f t="shared" si="72"/>
        <v>8.3454857261911233</v>
      </c>
      <c r="J298" s="16">
        <v>4.5</v>
      </c>
      <c r="K298" s="7">
        <v>2.36</v>
      </c>
      <c r="L298" s="10">
        <f t="shared" si="73"/>
        <v>12.780583809060355</v>
      </c>
      <c r="M298" s="12"/>
      <c r="N298" s="11">
        <f t="shared" ref="N298:N303" si="80">-(1.7*K298^2)/19.62</f>
        <v>-0.48258511722731895</v>
      </c>
    </row>
    <row r="299" spans="1:14" x14ac:dyDescent="0.3">
      <c r="A299">
        <f t="shared" si="68"/>
        <v>1.6666666666666667</v>
      </c>
      <c r="B299">
        <v>40</v>
      </c>
      <c r="C299">
        <v>4</v>
      </c>
      <c r="D299" s="15">
        <v>11.7</v>
      </c>
      <c r="E299" s="1">
        <v>20.303999999999998</v>
      </c>
      <c r="F299" s="6">
        <f t="shared" si="79"/>
        <v>5.7624113475177312</v>
      </c>
      <c r="G299" s="9">
        <v>2.16</v>
      </c>
      <c r="H299" s="8">
        <v>2.1949999999999999E-3</v>
      </c>
      <c r="I299" s="9">
        <f t="shared" si="72"/>
        <v>12.518228589286688</v>
      </c>
      <c r="J299" s="16">
        <v>4.5</v>
      </c>
      <c r="K299" s="7">
        <v>5.04</v>
      </c>
      <c r="L299" s="10">
        <f t="shared" si="73"/>
        <v>4.6649301658508868</v>
      </c>
      <c r="M299" s="12"/>
      <c r="N299" s="11">
        <f t="shared" si="80"/>
        <v>-2.2009541284403671</v>
      </c>
    </row>
    <row r="300" spans="1:14" x14ac:dyDescent="0.3">
      <c r="A300">
        <f t="shared" ref="A300:A338" si="81">100/60</f>
        <v>1.6666666666666667</v>
      </c>
      <c r="B300">
        <v>40</v>
      </c>
      <c r="C300">
        <v>4</v>
      </c>
      <c r="D300" s="15">
        <v>15.6</v>
      </c>
      <c r="E300" s="1">
        <v>20.303999999999998</v>
      </c>
      <c r="F300" s="6">
        <f t="shared" si="79"/>
        <v>7.6832151300236404</v>
      </c>
      <c r="G300" s="9">
        <v>2.16</v>
      </c>
      <c r="H300" s="8">
        <v>2.1949999999999999E-3</v>
      </c>
      <c r="I300" s="9">
        <f t="shared" si="72"/>
        <v>16.690971452382247</v>
      </c>
      <c r="J300" s="16">
        <v>4.5</v>
      </c>
      <c r="K300" s="7">
        <v>7.62</v>
      </c>
      <c r="L300" s="10">
        <f t="shared" si="73"/>
        <v>1.6833985896482841</v>
      </c>
      <c r="M300" s="12"/>
      <c r="N300" s="11">
        <f t="shared" si="80"/>
        <v>-5.0310642201834863</v>
      </c>
    </row>
    <row r="301" spans="1:14" x14ac:dyDescent="0.3">
      <c r="A301">
        <f t="shared" si="81"/>
        <v>1.6666666666666667</v>
      </c>
      <c r="B301">
        <v>40</v>
      </c>
      <c r="C301">
        <v>4</v>
      </c>
      <c r="D301" s="15">
        <v>19.5</v>
      </c>
      <c r="E301" s="1">
        <v>20.303999999999998</v>
      </c>
      <c r="F301" s="6">
        <f t="shared" si="79"/>
        <v>9.6040189125295505</v>
      </c>
      <c r="G301" s="9">
        <v>2.16</v>
      </c>
      <c r="H301" s="8">
        <v>2.1949999999999999E-3</v>
      </c>
      <c r="I301" s="9">
        <f t="shared" si="72"/>
        <v>20.863714315477811</v>
      </c>
      <c r="J301" s="16">
        <v>4.5</v>
      </c>
      <c r="K301" s="7">
        <v>8.99</v>
      </c>
      <c r="L301" s="10">
        <f t="shared" si="73"/>
        <v>0.65797057627796462</v>
      </c>
      <c r="M301" s="12"/>
      <c r="N301" s="11">
        <f t="shared" si="80"/>
        <v>-7.0027609582059123</v>
      </c>
    </row>
    <row r="302" spans="1:14" x14ac:dyDescent="0.3">
      <c r="A302">
        <f t="shared" si="81"/>
        <v>1.6666666666666667</v>
      </c>
      <c r="B302">
        <v>40</v>
      </c>
      <c r="C302">
        <v>4</v>
      </c>
      <c r="D302" s="15">
        <v>23.4</v>
      </c>
      <c r="E302" s="1">
        <v>20.303999999999998</v>
      </c>
      <c r="F302" s="6">
        <f t="shared" si="79"/>
        <v>11.524822695035462</v>
      </c>
      <c r="G302" s="9">
        <v>2.16</v>
      </c>
      <c r="H302" s="8">
        <v>2.1949999999999999E-3</v>
      </c>
      <c r="I302" s="9">
        <f t="shared" si="72"/>
        <v>25.036457178573375</v>
      </c>
      <c r="J302" s="16">
        <v>4.5</v>
      </c>
      <c r="K302" s="7">
        <v>11.82</v>
      </c>
      <c r="L302" s="10">
        <f t="shared" si="73"/>
        <v>-0.29684613315408259</v>
      </c>
      <c r="M302" s="12"/>
      <c r="N302" s="11">
        <f t="shared" si="80"/>
        <v>-12.105559633027521</v>
      </c>
    </row>
    <row r="303" spans="1:14" x14ac:dyDescent="0.3">
      <c r="A303">
        <f t="shared" si="81"/>
        <v>1.6666666666666667</v>
      </c>
      <c r="B303">
        <v>40</v>
      </c>
      <c r="C303">
        <v>4</v>
      </c>
      <c r="D303" s="16">
        <v>26.9</v>
      </c>
      <c r="E303" s="1">
        <v>20.303999999999998</v>
      </c>
      <c r="F303" s="6">
        <f t="shared" si="79"/>
        <v>13.248620961386919</v>
      </c>
      <c r="G303" s="9">
        <v>2.16</v>
      </c>
      <c r="H303" s="8">
        <v>2.1949999999999999E-3</v>
      </c>
      <c r="I303" s="9">
        <f t="shared" si="72"/>
        <v>28.781226414684774</v>
      </c>
      <c r="J303" s="16">
        <v>4.5</v>
      </c>
      <c r="K303" s="7">
        <v>14.59</v>
      </c>
      <c r="L303" s="10">
        <f t="shared" si="73"/>
        <v>-0.93315115579629893</v>
      </c>
      <c r="M303" s="12"/>
      <c r="N303" s="11">
        <f t="shared" si="80"/>
        <v>-18.444228848114168</v>
      </c>
    </row>
    <row r="304" spans="1:14" x14ac:dyDescent="0.3">
      <c r="A304">
        <f t="shared" si="81"/>
        <v>1.6666666666666667</v>
      </c>
      <c r="B304">
        <v>40</v>
      </c>
      <c r="C304">
        <v>6</v>
      </c>
      <c r="D304" s="15">
        <v>3.9</v>
      </c>
      <c r="E304" s="1">
        <v>20.303999999999998</v>
      </c>
      <c r="F304" s="6">
        <f t="shared" si="79"/>
        <v>1.9208037825059101</v>
      </c>
      <c r="G304" s="9">
        <v>2.16</v>
      </c>
      <c r="H304" s="8">
        <v>1.4633300000000001E-3</v>
      </c>
      <c r="I304" s="9">
        <f t="shared" si="72"/>
        <v>4.1727428630955616</v>
      </c>
      <c r="J304" s="16">
        <v>4.5</v>
      </c>
      <c r="K304" s="7">
        <v>0.57999999999999996</v>
      </c>
      <c r="L304" s="10">
        <f t="shared" si="73"/>
        <v>53.533629702907461</v>
      </c>
      <c r="M304" s="12"/>
      <c r="N304" s="11">
        <f>-(1.7*K304^2)/19.62</f>
        <v>-2.9147808358817529E-2</v>
      </c>
    </row>
    <row r="305" spans="1:14" x14ac:dyDescent="0.3">
      <c r="A305">
        <f t="shared" si="81"/>
        <v>1.6666666666666667</v>
      </c>
      <c r="B305">
        <v>40</v>
      </c>
      <c r="C305">
        <v>6</v>
      </c>
      <c r="D305" s="15">
        <v>7.8</v>
      </c>
      <c r="E305" s="1">
        <v>20.303999999999998</v>
      </c>
      <c r="F305" s="6">
        <f t="shared" si="79"/>
        <v>3.8416075650118202</v>
      </c>
      <c r="G305" s="9">
        <v>2.16</v>
      </c>
      <c r="H305" s="8">
        <v>1.4633300000000001E-3</v>
      </c>
      <c r="I305" s="9">
        <f t="shared" si="72"/>
        <v>8.3454857261911233</v>
      </c>
      <c r="J305" s="16">
        <v>4.5</v>
      </c>
      <c r="K305" s="7">
        <v>2.25</v>
      </c>
      <c r="L305" s="10">
        <f t="shared" si="73"/>
        <v>12.838997753876452</v>
      </c>
      <c r="M305" s="12"/>
      <c r="N305" s="11">
        <f t="shared" ref="N305:N310" si="82">-(1.7*K305^2)/19.62</f>
        <v>-0.43864678899082565</v>
      </c>
    </row>
    <row r="306" spans="1:14" x14ac:dyDescent="0.3">
      <c r="A306">
        <f t="shared" si="81"/>
        <v>1.6666666666666667</v>
      </c>
      <c r="B306">
        <v>40</v>
      </c>
      <c r="C306">
        <v>6</v>
      </c>
      <c r="D306" s="15">
        <v>11.7</v>
      </c>
      <c r="E306" s="1">
        <v>20.303999999999998</v>
      </c>
      <c r="F306" s="6">
        <f t="shared" si="79"/>
        <v>5.7624113475177312</v>
      </c>
      <c r="G306" s="9">
        <v>2.16</v>
      </c>
      <c r="H306" s="8">
        <v>1.4633300000000001E-3</v>
      </c>
      <c r="I306" s="9">
        <f t="shared" si="72"/>
        <v>12.518228589286688</v>
      </c>
      <c r="J306" s="16">
        <v>4.5</v>
      </c>
      <c r="K306" s="7">
        <v>4.21</v>
      </c>
      <c r="L306" s="10">
        <f t="shared" si="73"/>
        <v>5.0579914172591716</v>
      </c>
      <c r="M306" s="12"/>
      <c r="N306" s="11">
        <f t="shared" si="82"/>
        <v>-1.5357273190621812</v>
      </c>
    </row>
    <row r="307" spans="1:14" x14ac:dyDescent="0.3">
      <c r="A307">
        <f t="shared" si="81"/>
        <v>1.6666666666666667</v>
      </c>
      <c r="B307">
        <v>40</v>
      </c>
      <c r="C307">
        <v>6</v>
      </c>
      <c r="D307" s="15">
        <v>15.6</v>
      </c>
      <c r="E307" s="1">
        <v>20.303999999999998</v>
      </c>
      <c r="F307" s="6">
        <f t="shared" si="79"/>
        <v>7.6832151300236404</v>
      </c>
      <c r="G307" s="9">
        <v>2.16</v>
      </c>
      <c r="H307" s="8">
        <v>1.4633300000000001E-3</v>
      </c>
      <c r="I307" s="9">
        <f t="shared" si="72"/>
        <v>16.690971452382247</v>
      </c>
      <c r="J307" s="16">
        <v>4.5</v>
      </c>
      <c r="K307" s="7">
        <v>5.61</v>
      </c>
      <c r="L307" s="10">
        <f t="shared" si="73"/>
        <v>2.4492047150343197</v>
      </c>
      <c r="M307" s="12"/>
      <c r="N307" s="11">
        <f t="shared" si="82"/>
        <v>-2.7269403669724772</v>
      </c>
    </row>
    <row r="308" spans="1:14" x14ac:dyDescent="0.3">
      <c r="A308">
        <f t="shared" si="81"/>
        <v>1.6666666666666667</v>
      </c>
      <c r="B308">
        <v>40</v>
      </c>
      <c r="C308">
        <v>6</v>
      </c>
      <c r="D308" s="15">
        <v>19.5</v>
      </c>
      <c r="E308" s="1">
        <v>20.303999999999998</v>
      </c>
      <c r="F308" s="6">
        <f t="shared" si="79"/>
        <v>9.6040189125295505</v>
      </c>
      <c r="G308" s="9">
        <v>2.16</v>
      </c>
      <c r="H308" s="8">
        <v>1.4633300000000001E-3</v>
      </c>
      <c r="I308" s="9">
        <f t="shared" si="72"/>
        <v>20.863714315477811</v>
      </c>
      <c r="J308" s="16">
        <v>4.5</v>
      </c>
      <c r="K308" s="7">
        <v>6.24</v>
      </c>
      <c r="L308" s="10">
        <f t="shared" si="73"/>
        <v>1.4298962852142962</v>
      </c>
      <c r="M308" s="12"/>
      <c r="N308" s="11">
        <f t="shared" si="82"/>
        <v>-3.373798165137615</v>
      </c>
    </row>
    <row r="309" spans="1:14" x14ac:dyDescent="0.3">
      <c r="A309">
        <f t="shared" si="81"/>
        <v>1.6666666666666667</v>
      </c>
      <c r="B309">
        <v>40</v>
      </c>
      <c r="C309">
        <v>6</v>
      </c>
      <c r="D309" s="15">
        <v>23.4</v>
      </c>
      <c r="E309" s="1">
        <v>20.303999999999998</v>
      </c>
      <c r="F309" s="6">
        <f t="shared" si="79"/>
        <v>11.524822695035462</v>
      </c>
      <c r="G309" s="9">
        <v>2.16</v>
      </c>
      <c r="H309" s="8">
        <v>1.4633300000000001E-3</v>
      </c>
      <c r="I309" s="9">
        <f t="shared" si="72"/>
        <v>25.036457178573375</v>
      </c>
      <c r="J309" s="16">
        <v>4.5</v>
      </c>
      <c r="K309" s="7">
        <v>8.94</v>
      </c>
      <c r="L309" s="10">
        <f t="shared" si="73"/>
        <v>0.46839843044733737</v>
      </c>
      <c r="M309" s="12"/>
      <c r="N309" s="11">
        <f t="shared" si="82"/>
        <v>-6.9250825688073387</v>
      </c>
    </row>
    <row r="310" spans="1:14" x14ac:dyDescent="0.3">
      <c r="A310">
        <f t="shared" si="81"/>
        <v>1.6666666666666667</v>
      </c>
      <c r="B310">
        <v>40</v>
      </c>
      <c r="C310">
        <v>6</v>
      </c>
      <c r="D310" s="16">
        <v>26.7</v>
      </c>
      <c r="E310" s="1">
        <v>20.303999999999998</v>
      </c>
      <c r="F310" s="6">
        <f t="shared" si="79"/>
        <v>13.150118203309693</v>
      </c>
      <c r="G310" s="9">
        <v>2.16</v>
      </c>
      <c r="H310" s="8">
        <v>1.4633300000000001E-3</v>
      </c>
      <c r="I310" s="9">
        <f t="shared" si="72"/>
        <v>28.567239601192696</v>
      </c>
      <c r="J310" s="16">
        <v>4.5</v>
      </c>
      <c r="K310" s="7">
        <v>10.61</v>
      </c>
      <c r="L310" s="10">
        <f t="shared" si="73"/>
        <v>3.880830634677454E-2</v>
      </c>
      <c r="M310" s="12"/>
      <c r="N310" s="11">
        <f t="shared" si="82"/>
        <v>-9.7539536187563698</v>
      </c>
    </row>
    <row r="311" spans="1:14" x14ac:dyDescent="0.3">
      <c r="A311">
        <f t="shared" si="81"/>
        <v>1.6666666666666667</v>
      </c>
      <c r="B311">
        <v>60</v>
      </c>
      <c r="C311">
        <v>1</v>
      </c>
      <c r="D311" s="15">
        <v>4.5999999999999996</v>
      </c>
      <c r="E311" s="1">
        <v>30.456</v>
      </c>
      <c r="F311" s="6">
        <f t="shared" si="79"/>
        <v>1.510375623850801</v>
      </c>
      <c r="G311" s="9">
        <v>3.24</v>
      </c>
      <c r="H311" s="8">
        <v>1.205E-2</v>
      </c>
      <c r="I311" s="9">
        <f t="shared" si="72"/>
        <v>2.6790323575585031</v>
      </c>
      <c r="J311" s="16">
        <v>3</v>
      </c>
      <c r="K311" s="7">
        <v>0</v>
      </c>
      <c r="L311" s="10">
        <f t="shared" si="73"/>
        <v>86.83172107845688</v>
      </c>
      <c r="M311" s="12"/>
      <c r="N311" s="11">
        <f>-(1.7*K311^2)/19.62</f>
        <v>0</v>
      </c>
    </row>
    <row r="312" spans="1:14" x14ac:dyDescent="0.3">
      <c r="A312">
        <f t="shared" si="81"/>
        <v>1.6666666666666667</v>
      </c>
      <c r="B312">
        <v>60</v>
      </c>
      <c r="C312">
        <v>1</v>
      </c>
      <c r="D312" s="15">
        <v>9.1999999999999993</v>
      </c>
      <c r="E312" s="1">
        <v>30.456</v>
      </c>
      <c r="F312" s="6">
        <f t="shared" si="79"/>
        <v>3.0207512477016021</v>
      </c>
      <c r="G312" s="9">
        <v>3.24</v>
      </c>
      <c r="H312" s="8">
        <v>1.205E-2</v>
      </c>
      <c r="I312" s="9">
        <f t="shared" si="72"/>
        <v>5.3580647151170062</v>
      </c>
      <c r="J312" s="16">
        <v>4.5</v>
      </c>
      <c r="K312" s="7">
        <v>0.65</v>
      </c>
      <c r="L312" s="10">
        <f t="shared" si="73"/>
        <v>21.629217406897773</v>
      </c>
      <c r="M312" s="12"/>
      <c r="N312" s="11">
        <f t="shared" ref="N312:N317" si="83">-(1.7*K312^2)/19.62</f>
        <v>-3.6608053007135578E-2</v>
      </c>
    </row>
    <row r="313" spans="1:14" x14ac:dyDescent="0.3">
      <c r="A313">
        <f t="shared" si="81"/>
        <v>1.6666666666666667</v>
      </c>
      <c r="B313">
        <v>60</v>
      </c>
      <c r="C313">
        <v>1</v>
      </c>
      <c r="D313" s="15">
        <v>13.8</v>
      </c>
      <c r="E313" s="1">
        <v>30.456</v>
      </c>
      <c r="F313" s="6">
        <f t="shared" si="79"/>
        <v>4.5311268715524031</v>
      </c>
      <c r="G313" s="9">
        <v>3.24</v>
      </c>
      <c r="H313" s="8">
        <v>1.205E-2</v>
      </c>
      <c r="I313" s="9">
        <f t="shared" si="72"/>
        <v>8.0370970726755093</v>
      </c>
      <c r="J313" s="16">
        <v>4.5</v>
      </c>
      <c r="K313" s="7">
        <v>2.09</v>
      </c>
      <c r="L313" s="10">
        <f t="shared" si="73"/>
        <v>9.2862852158109668</v>
      </c>
      <c r="M313" s="12"/>
      <c r="N313" s="11">
        <f t="shared" si="83"/>
        <v>-0.378479612640163</v>
      </c>
    </row>
    <row r="314" spans="1:14" x14ac:dyDescent="0.3">
      <c r="A314">
        <f t="shared" si="81"/>
        <v>1.6666666666666667</v>
      </c>
      <c r="B314">
        <v>60</v>
      </c>
      <c r="C314">
        <v>1</v>
      </c>
      <c r="D314" s="15">
        <v>18.399999999999999</v>
      </c>
      <c r="E314" s="1">
        <v>30.456</v>
      </c>
      <c r="F314" s="6">
        <f t="shared" si="79"/>
        <v>6.0415024954032042</v>
      </c>
      <c r="G314" s="9">
        <v>3.24</v>
      </c>
      <c r="H314" s="8">
        <v>1.205E-2</v>
      </c>
      <c r="I314" s="9">
        <f t="shared" si="72"/>
        <v>10.716129430234012</v>
      </c>
      <c r="J314" s="16">
        <v>4.5</v>
      </c>
      <c r="K314" s="7">
        <v>4.1399999999999997</v>
      </c>
      <c r="L314" s="10">
        <f t="shared" si="73"/>
        <v>4.6286944124835552</v>
      </c>
      <c r="M314" s="12"/>
      <c r="N314" s="11">
        <f t="shared" si="83"/>
        <v>-1.4850825688073392</v>
      </c>
    </row>
    <row r="315" spans="1:14" x14ac:dyDescent="0.3">
      <c r="A315">
        <f t="shared" si="81"/>
        <v>1.6666666666666667</v>
      </c>
      <c r="B315">
        <v>60</v>
      </c>
      <c r="C315">
        <v>1</v>
      </c>
      <c r="D315" s="15">
        <v>23</v>
      </c>
      <c r="E315" s="1">
        <v>30.456</v>
      </c>
      <c r="F315" s="6">
        <f t="shared" si="79"/>
        <v>7.5518781192540052</v>
      </c>
      <c r="G315" s="9">
        <v>3.24</v>
      </c>
      <c r="H315" s="8">
        <v>1.205E-2</v>
      </c>
      <c r="I315" s="9">
        <f t="shared" si="72"/>
        <v>13.395161787792516</v>
      </c>
      <c r="J315" s="16">
        <v>4.5</v>
      </c>
      <c r="K315" s="7">
        <v>6.59</v>
      </c>
      <c r="L315" s="10">
        <f t="shared" si="73"/>
        <v>2.1787457384429496</v>
      </c>
      <c r="M315" s="12"/>
      <c r="N315" s="11">
        <f t="shared" si="83"/>
        <v>-3.7628832823649336</v>
      </c>
    </row>
    <row r="316" spans="1:14" x14ac:dyDescent="0.3">
      <c r="A316">
        <f t="shared" si="81"/>
        <v>1.6666666666666667</v>
      </c>
      <c r="B316">
        <v>60</v>
      </c>
      <c r="C316">
        <v>1</v>
      </c>
      <c r="D316" s="15">
        <v>27.6</v>
      </c>
      <c r="E316" s="1">
        <v>30.456</v>
      </c>
      <c r="F316" s="6">
        <f t="shared" si="79"/>
        <v>9.0622537431048062</v>
      </c>
      <c r="G316" s="9">
        <v>3.24</v>
      </c>
      <c r="H316" s="8">
        <v>1.205E-2</v>
      </c>
      <c r="I316" s="9">
        <f t="shared" si="72"/>
        <v>16.074194145351019</v>
      </c>
      <c r="J316" s="16">
        <v>4.5</v>
      </c>
      <c r="K316" s="7">
        <v>9.3000000000000007</v>
      </c>
      <c r="L316" s="10">
        <f t="shared" si="73"/>
        <v>0.62162394281829869</v>
      </c>
      <c r="M316" s="12"/>
      <c r="N316" s="11">
        <f t="shared" si="83"/>
        <v>-7.494036697247707</v>
      </c>
    </row>
    <row r="317" spans="1:14" x14ac:dyDescent="0.3">
      <c r="A317">
        <f t="shared" si="81"/>
        <v>1.6666666666666667</v>
      </c>
      <c r="B317">
        <v>60</v>
      </c>
      <c r="C317">
        <v>1</v>
      </c>
      <c r="D317" s="16">
        <v>32.6</v>
      </c>
      <c r="E317" s="1">
        <v>30.456</v>
      </c>
      <c r="F317" s="6">
        <f t="shared" si="79"/>
        <v>10.703966377725243</v>
      </c>
      <c r="G317" s="9">
        <v>3.24</v>
      </c>
      <c r="H317" s="8">
        <v>1.205E-2</v>
      </c>
      <c r="I317" s="9">
        <f t="shared" si="72"/>
        <v>18.986185838349392</v>
      </c>
      <c r="J317" s="16">
        <v>4.5</v>
      </c>
      <c r="K317" s="7">
        <v>11.81</v>
      </c>
      <c r="L317" s="10">
        <f t="shared" si="73"/>
        <v>-0.34061431682736992</v>
      </c>
      <c r="M317" s="12"/>
      <c r="N317" s="11">
        <f t="shared" si="83"/>
        <v>-12.085085117227317</v>
      </c>
    </row>
    <row r="318" spans="1:14" x14ac:dyDescent="0.3">
      <c r="A318">
        <f t="shared" si="81"/>
        <v>1.6666666666666667</v>
      </c>
      <c r="B318">
        <v>60</v>
      </c>
      <c r="C318">
        <v>2</v>
      </c>
      <c r="D318" s="15">
        <v>4.5999999999999996</v>
      </c>
      <c r="E318" s="1">
        <v>30.456</v>
      </c>
      <c r="F318" s="6">
        <f t="shared" si="79"/>
        <v>1.510375623850801</v>
      </c>
      <c r="G318" s="9">
        <v>3.24</v>
      </c>
      <c r="H318" s="8">
        <v>6.025E-3</v>
      </c>
      <c r="I318" s="9">
        <f t="shared" si="72"/>
        <v>2.6790323575585031</v>
      </c>
      <c r="J318" s="16">
        <v>3</v>
      </c>
      <c r="K318" s="7">
        <v>0</v>
      </c>
      <c r="L318" s="10">
        <f t="shared" si="73"/>
        <v>86.83172107845688</v>
      </c>
      <c r="M318" s="12"/>
      <c r="N318" s="11">
        <f>-(1.7*K318^2)/19.62</f>
        <v>0</v>
      </c>
    </row>
    <row r="319" spans="1:14" x14ac:dyDescent="0.3">
      <c r="A319">
        <f t="shared" si="81"/>
        <v>1.6666666666666667</v>
      </c>
      <c r="B319">
        <v>60</v>
      </c>
      <c r="C319">
        <v>2</v>
      </c>
      <c r="D319" s="15">
        <v>9.1999999999999993</v>
      </c>
      <c r="E319" s="1">
        <v>30.456</v>
      </c>
      <c r="F319" s="6">
        <f t="shared" si="79"/>
        <v>3.0207512477016021</v>
      </c>
      <c r="G319" s="9">
        <v>3.24</v>
      </c>
      <c r="H319" s="8">
        <v>6.025E-3</v>
      </c>
      <c r="I319" s="9">
        <f t="shared" si="72"/>
        <v>5.3580647151170062</v>
      </c>
      <c r="J319" s="16">
        <v>4.5</v>
      </c>
      <c r="K319" s="7">
        <v>1.38</v>
      </c>
      <c r="L319" s="10">
        <f t="shared" si="73"/>
        <v>21.353135534094221</v>
      </c>
      <c r="M319" s="12"/>
      <c r="N319" s="11">
        <f t="shared" ref="N319:N324" si="84">-(1.7*K319^2)/19.62</f>
        <v>-0.16500917431192655</v>
      </c>
    </row>
    <row r="320" spans="1:14" x14ac:dyDescent="0.3">
      <c r="A320">
        <f t="shared" si="81"/>
        <v>1.6666666666666667</v>
      </c>
      <c r="B320">
        <v>60</v>
      </c>
      <c r="C320">
        <v>2</v>
      </c>
      <c r="D320" s="15">
        <v>13.8</v>
      </c>
      <c r="E320" s="1">
        <v>30.456</v>
      </c>
      <c r="F320" s="6">
        <f t="shared" si="79"/>
        <v>4.5311268715524031</v>
      </c>
      <c r="G320" s="9">
        <v>3.24</v>
      </c>
      <c r="H320" s="8">
        <v>6.025E-3</v>
      </c>
      <c r="I320" s="9">
        <f t="shared" si="72"/>
        <v>8.0370970726755093</v>
      </c>
      <c r="J320" s="16">
        <v>4.5</v>
      </c>
      <c r="K320" s="7">
        <v>2.68</v>
      </c>
      <c r="L320" s="10">
        <f t="shared" si="73"/>
        <v>9.0532578816435567</v>
      </c>
      <c r="M320" s="12"/>
      <c r="N320" s="11">
        <f t="shared" si="84"/>
        <v>-0.6223282364933741</v>
      </c>
    </row>
    <row r="321" spans="1:14" x14ac:dyDescent="0.3">
      <c r="A321">
        <f t="shared" si="81"/>
        <v>1.6666666666666667</v>
      </c>
      <c r="B321">
        <v>60</v>
      </c>
      <c r="C321">
        <v>2</v>
      </c>
      <c r="D321" s="15">
        <v>18.399999999999999</v>
      </c>
      <c r="E321" s="1">
        <v>30.456</v>
      </c>
      <c r="F321" s="6">
        <f t="shared" si="79"/>
        <v>6.0415024954032042</v>
      </c>
      <c r="G321" s="9">
        <v>3.24</v>
      </c>
      <c r="H321" s="8">
        <v>6.025E-3</v>
      </c>
      <c r="I321" s="9">
        <f t="shared" si="72"/>
        <v>10.716129430234012</v>
      </c>
      <c r="J321" s="16">
        <v>4.5</v>
      </c>
      <c r="K321" s="7">
        <v>4.42</v>
      </c>
      <c r="L321" s="10">
        <f t="shared" si="73"/>
        <v>4.5170618744014375</v>
      </c>
      <c r="M321" s="12"/>
      <c r="N321" s="11">
        <f t="shared" si="84"/>
        <v>-1.6927563710499489</v>
      </c>
    </row>
    <row r="322" spans="1:14" x14ac:dyDescent="0.3">
      <c r="A322">
        <f t="shared" si="81"/>
        <v>1.6666666666666667</v>
      </c>
      <c r="B322">
        <v>60</v>
      </c>
      <c r="C322">
        <v>2</v>
      </c>
      <c r="D322" s="15">
        <v>23</v>
      </c>
      <c r="E322" s="1">
        <v>30.456</v>
      </c>
      <c r="F322" s="6">
        <f t="shared" si="79"/>
        <v>7.5518781192540052</v>
      </c>
      <c r="G322" s="9">
        <v>3.24</v>
      </c>
      <c r="H322" s="8">
        <v>6.025E-3</v>
      </c>
      <c r="I322" s="9">
        <f t="shared" si="72"/>
        <v>13.395161787792516</v>
      </c>
      <c r="J322" s="16">
        <v>4.5</v>
      </c>
      <c r="K322" s="7">
        <v>5.58</v>
      </c>
      <c r="L322" s="10">
        <f t="shared" si="73"/>
        <v>2.5451419115655023</v>
      </c>
      <c r="M322" s="12"/>
      <c r="N322" s="11">
        <f t="shared" si="84"/>
        <v>-2.697853211009174</v>
      </c>
    </row>
    <row r="323" spans="1:14" x14ac:dyDescent="0.3">
      <c r="A323">
        <f t="shared" si="81"/>
        <v>1.6666666666666667</v>
      </c>
      <c r="B323">
        <v>60</v>
      </c>
      <c r="C323">
        <v>2</v>
      </c>
      <c r="D323" s="15">
        <v>27.6</v>
      </c>
      <c r="E323" s="1">
        <v>30.456</v>
      </c>
      <c r="F323" s="6">
        <f t="shared" si="79"/>
        <v>9.0622537431048062</v>
      </c>
      <c r="G323" s="9">
        <v>3.24</v>
      </c>
      <c r="H323" s="8">
        <v>6.025E-3</v>
      </c>
      <c r="I323" s="9">
        <f t="shared" ref="I323:I338" si="85">(F323)/((9.81*G323*10^-2))^(1/2)</f>
        <v>16.074194145351019</v>
      </c>
      <c r="J323" s="16">
        <v>4.5</v>
      </c>
      <c r="K323" s="7">
        <v>7.6</v>
      </c>
      <c r="L323" s="10">
        <f t="shared" ref="L323:L386" si="86">(10.33+N323-0.234)/((F323^2)/19.62)</f>
        <v>1.2163433500092256</v>
      </c>
      <c r="M323" s="12"/>
      <c r="N323" s="11">
        <f t="shared" si="84"/>
        <v>-5.0046890927624865</v>
      </c>
    </row>
    <row r="324" spans="1:14" x14ac:dyDescent="0.3">
      <c r="A324">
        <f t="shared" si="81"/>
        <v>1.6666666666666667</v>
      </c>
      <c r="B324">
        <v>60</v>
      </c>
      <c r="C324">
        <v>2</v>
      </c>
      <c r="D324" s="16">
        <v>32.5</v>
      </c>
      <c r="E324" s="1">
        <v>30.456</v>
      </c>
      <c r="F324" s="6">
        <f t="shared" si="79"/>
        <v>10.671132125032834</v>
      </c>
      <c r="G324" s="9">
        <v>3.24</v>
      </c>
      <c r="H324" s="8">
        <v>6.025E-3</v>
      </c>
      <c r="I324" s="9">
        <f t="shared" si="85"/>
        <v>18.927946004489424</v>
      </c>
      <c r="J324" s="16">
        <v>4.5</v>
      </c>
      <c r="K324" s="7">
        <v>8.7799999999999994</v>
      </c>
      <c r="L324" s="10">
        <f t="shared" si="86"/>
        <v>0.58866635806099565</v>
      </c>
      <c r="M324" s="12"/>
      <c r="N324" s="11">
        <f t="shared" si="84"/>
        <v>-6.6794230377166146</v>
      </c>
    </row>
    <row r="325" spans="1:14" x14ac:dyDescent="0.3">
      <c r="A325">
        <f t="shared" si="81"/>
        <v>1.6666666666666667</v>
      </c>
      <c r="B325">
        <v>60</v>
      </c>
      <c r="C325">
        <v>4</v>
      </c>
      <c r="D325" s="15">
        <v>4.5999999999999996</v>
      </c>
      <c r="E325" s="1">
        <v>30.456</v>
      </c>
      <c r="F325" s="6">
        <f t="shared" si="79"/>
        <v>1.510375623850801</v>
      </c>
      <c r="G325" s="9">
        <v>3.24</v>
      </c>
      <c r="H325" s="8">
        <v>3.0125E-3</v>
      </c>
      <c r="I325" s="9">
        <f t="shared" si="85"/>
        <v>2.6790323575585031</v>
      </c>
      <c r="J325" s="16">
        <v>3</v>
      </c>
      <c r="K325" s="7">
        <v>0</v>
      </c>
      <c r="L325" s="10">
        <f t="shared" si="86"/>
        <v>86.83172107845688</v>
      </c>
      <c r="M325" s="12"/>
      <c r="N325" s="11">
        <f>-(1.7*K325^2)/19.62</f>
        <v>0</v>
      </c>
    </row>
    <row r="326" spans="1:14" x14ac:dyDescent="0.3">
      <c r="A326">
        <f t="shared" si="81"/>
        <v>1.6666666666666667</v>
      </c>
      <c r="B326">
        <v>60</v>
      </c>
      <c r="C326">
        <v>4</v>
      </c>
      <c r="D326" s="15">
        <v>9.1999999999999993</v>
      </c>
      <c r="E326" s="1">
        <v>30.456</v>
      </c>
      <c r="F326" s="6">
        <f t="shared" si="79"/>
        <v>3.0207512477016021</v>
      </c>
      <c r="G326" s="9">
        <v>3.24</v>
      </c>
      <c r="H326" s="8">
        <v>3.0125E-3</v>
      </c>
      <c r="I326" s="9">
        <f t="shared" si="85"/>
        <v>5.3580647151170062</v>
      </c>
      <c r="J326" s="16">
        <v>4.5</v>
      </c>
      <c r="K326" s="7">
        <v>1.08</v>
      </c>
      <c r="L326" s="10">
        <f t="shared" si="86"/>
        <v>21.490626877726733</v>
      </c>
      <c r="M326" s="12"/>
      <c r="N326" s="11">
        <f t="shared" ref="N326:N331" si="87">-(1.7*K326^2)/19.62</f>
        <v>-0.10106422018348625</v>
      </c>
    </row>
    <row r="327" spans="1:14" x14ac:dyDescent="0.3">
      <c r="A327">
        <f t="shared" si="81"/>
        <v>1.6666666666666667</v>
      </c>
      <c r="B327">
        <v>60</v>
      </c>
      <c r="C327">
        <v>4</v>
      </c>
      <c r="D327" s="15">
        <v>13.8</v>
      </c>
      <c r="E327" s="1">
        <v>30.456</v>
      </c>
      <c r="F327" s="6">
        <f t="shared" si="79"/>
        <v>4.5311268715524031</v>
      </c>
      <c r="G327" s="9">
        <v>3.24</v>
      </c>
      <c r="H327" s="8">
        <v>3.0125E-3</v>
      </c>
      <c r="I327" s="9">
        <f t="shared" si="85"/>
        <v>8.0370970726755093</v>
      </c>
      <c r="J327" s="16">
        <v>4.5</v>
      </c>
      <c r="K327" s="7">
        <v>1.97</v>
      </c>
      <c r="L327" s="10">
        <f t="shared" si="86"/>
        <v>9.3266259460836327</v>
      </c>
      <c r="M327" s="12"/>
      <c r="N327" s="11">
        <f t="shared" si="87"/>
        <v>-0.33626554536187564</v>
      </c>
    </row>
    <row r="328" spans="1:14" x14ac:dyDescent="0.3">
      <c r="A328">
        <f t="shared" si="81"/>
        <v>1.6666666666666667</v>
      </c>
      <c r="B328">
        <v>60</v>
      </c>
      <c r="C328">
        <v>4</v>
      </c>
      <c r="D328" s="15">
        <v>18.399999999999999</v>
      </c>
      <c r="E328" s="1">
        <v>30.456</v>
      </c>
      <c r="F328" s="6">
        <f t="shared" si="79"/>
        <v>6.0415024954032042</v>
      </c>
      <c r="G328" s="9">
        <v>3.24</v>
      </c>
      <c r="H328" s="8">
        <v>3.0125E-3</v>
      </c>
      <c r="I328" s="9">
        <f t="shared" si="85"/>
        <v>10.716129430234012</v>
      </c>
      <c r="J328" s="16">
        <v>4.5</v>
      </c>
      <c r="K328" s="7">
        <v>2.0699999999999998</v>
      </c>
      <c r="L328" s="10">
        <f t="shared" si="86"/>
        <v>5.2274105286735555</v>
      </c>
      <c r="M328" s="12"/>
      <c r="N328" s="11">
        <f t="shared" si="87"/>
        <v>-0.37127064220183481</v>
      </c>
    </row>
    <row r="329" spans="1:14" x14ac:dyDescent="0.3">
      <c r="A329">
        <f t="shared" si="81"/>
        <v>1.6666666666666667</v>
      </c>
      <c r="B329">
        <v>60</v>
      </c>
      <c r="C329">
        <v>4</v>
      </c>
      <c r="D329" s="15">
        <v>23</v>
      </c>
      <c r="E329" s="1">
        <v>30.456</v>
      </c>
      <c r="F329" s="6">
        <f t="shared" si="79"/>
        <v>7.5518781192540052</v>
      </c>
      <c r="G329" s="9">
        <v>3.24</v>
      </c>
      <c r="H329" s="8">
        <v>3.0125E-3</v>
      </c>
      <c r="I329" s="9">
        <f t="shared" si="85"/>
        <v>13.395161787792516</v>
      </c>
      <c r="J329" s="16">
        <v>4.5</v>
      </c>
      <c r="K329" s="7">
        <v>2.34</v>
      </c>
      <c r="L329" s="10">
        <f t="shared" si="86"/>
        <v>3.3100498510094525</v>
      </c>
      <c r="M329" s="12"/>
      <c r="N329" s="11">
        <f t="shared" si="87"/>
        <v>-0.47444036697247693</v>
      </c>
    </row>
    <row r="330" spans="1:14" x14ac:dyDescent="0.3">
      <c r="A330">
        <f t="shared" si="81"/>
        <v>1.6666666666666667</v>
      </c>
      <c r="B330">
        <v>60</v>
      </c>
      <c r="C330">
        <v>4</v>
      </c>
      <c r="D330" s="15">
        <v>27.6</v>
      </c>
      <c r="E330" s="1">
        <v>30.456</v>
      </c>
      <c r="F330" s="6">
        <f t="shared" si="79"/>
        <v>9.0622537431048062</v>
      </c>
      <c r="G330" s="9">
        <v>3.24</v>
      </c>
      <c r="H330" s="8">
        <v>3.0125E-3</v>
      </c>
      <c r="I330" s="9">
        <f t="shared" si="85"/>
        <v>16.074194145351019</v>
      </c>
      <c r="J330" s="16">
        <v>4.5</v>
      </c>
      <c r="K330" s="7">
        <v>2.99</v>
      </c>
      <c r="L330" s="10">
        <f t="shared" si="86"/>
        <v>2.2269295660593578</v>
      </c>
      <c r="M330" s="12"/>
      <c r="N330" s="11">
        <f t="shared" si="87"/>
        <v>-0.77462640163098884</v>
      </c>
    </row>
    <row r="331" spans="1:14" x14ac:dyDescent="0.3">
      <c r="A331">
        <f t="shared" si="81"/>
        <v>1.6666666666666667</v>
      </c>
      <c r="B331">
        <v>60</v>
      </c>
      <c r="C331">
        <v>4</v>
      </c>
      <c r="D331" s="16">
        <v>32.5</v>
      </c>
      <c r="E331" s="1">
        <v>30.456</v>
      </c>
      <c r="F331" s="6">
        <f t="shared" si="79"/>
        <v>10.671132125032834</v>
      </c>
      <c r="G331" s="9">
        <v>3.24</v>
      </c>
      <c r="H331" s="8">
        <v>3.0125E-3</v>
      </c>
      <c r="I331" s="9">
        <f t="shared" si="85"/>
        <v>18.927946004489424</v>
      </c>
      <c r="J331" s="16">
        <v>4.5</v>
      </c>
      <c r="K331" s="7">
        <v>3.79</v>
      </c>
      <c r="L331" s="10">
        <f t="shared" si="86"/>
        <v>1.5250714149100004</v>
      </c>
      <c r="M331" s="12"/>
      <c r="N331" s="11">
        <f t="shared" si="87"/>
        <v>-1.2445958205912335</v>
      </c>
    </row>
    <row r="332" spans="1:14" x14ac:dyDescent="0.3">
      <c r="A332">
        <f t="shared" si="81"/>
        <v>1.6666666666666667</v>
      </c>
      <c r="B332">
        <v>60</v>
      </c>
      <c r="C332">
        <v>6</v>
      </c>
      <c r="D332" s="15">
        <v>4.5999999999999996</v>
      </c>
      <c r="E332" s="1">
        <v>30.456</v>
      </c>
      <c r="F332" s="6">
        <f t="shared" si="79"/>
        <v>1.510375623850801</v>
      </c>
      <c r="G332" s="9">
        <v>3.24</v>
      </c>
      <c r="H332" s="8">
        <v>2.00833E-3</v>
      </c>
      <c r="I332" s="9">
        <f t="shared" si="85"/>
        <v>2.6790323575585031</v>
      </c>
      <c r="J332" s="16">
        <v>3</v>
      </c>
      <c r="K332" s="7">
        <v>0</v>
      </c>
      <c r="L332" s="10">
        <f t="shared" si="86"/>
        <v>86.83172107845688</v>
      </c>
      <c r="M332" s="12"/>
      <c r="N332" s="11">
        <f>-(1.7*K332^2)/19.62</f>
        <v>0</v>
      </c>
    </row>
    <row r="333" spans="1:14" x14ac:dyDescent="0.3">
      <c r="A333">
        <f t="shared" si="81"/>
        <v>1.6666666666666667</v>
      </c>
      <c r="B333">
        <v>60</v>
      </c>
      <c r="C333">
        <v>6</v>
      </c>
      <c r="D333" s="15">
        <v>9.1999999999999993</v>
      </c>
      <c r="E333" s="1">
        <v>30.456</v>
      </c>
      <c r="F333" s="6">
        <f t="shared" si="79"/>
        <v>3.0207512477016021</v>
      </c>
      <c r="G333" s="9">
        <v>3.24</v>
      </c>
      <c r="H333" s="8">
        <v>2.00833E-3</v>
      </c>
      <c r="I333" s="9">
        <f t="shared" si="85"/>
        <v>5.3580647151170062</v>
      </c>
      <c r="J333" s="16">
        <v>3</v>
      </c>
      <c r="K333" s="7">
        <v>0</v>
      </c>
      <c r="L333" s="10">
        <f t="shared" si="86"/>
        <v>21.70793026961422</v>
      </c>
      <c r="M333" s="12"/>
      <c r="N333" s="11">
        <f t="shared" ref="N333:N338" si="88">-(1.7*K333^2)/19.62</f>
        <v>0</v>
      </c>
    </row>
    <row r="334" spans="1:14" x14ac:dyDescent="0.3">
      <c r="A334">
        <f t="shared" si="81"/>
        <v>1.6666666666666667</v>
      </c>
      <c r="B334">
        <v>60</v>
      </c>
      <c r="C334">
        <v>6</v>
      </c>
      <c r="D334" s="15">
        <v>13.8</v>
      </c>
      <c r="E334" s="1">
        <v>30.456</v>
      </c>
      <c r="F334" s="6">
        <f t="shared" si="79"/>
        <v>4.5311268715524031</v>
      </c>
      <c r="G334" s="9">
        <v>3.24</v>
      </c>
      <c r="H334" s="8">
        <v>2.00833E-3</v>
      </c>
      <c r="I334" s="9">
        <f t="shared" si="85"/>
        <v>8.0370970726755093</v>
      </c>
      <c r="J334" s="16">
        <v>3</v>
      </c>
      <c r="K334" s="7">
        <v>0.47</v>
      </c>
      <c r="L334" s="10">
        <f t="shared" si="86"/>
        <v>9.6296782301516863</v>
      </c>
      <c r="M334" s="12"/>
      <c r="N334" s="11">
        <f t="shared" si="88"/>
        <v>-1.9140163098878692E-2</v>
      </c>
    </row>
    <row r="335" spans="1:14" x14ac:dyDescent="0.3">
      <c r="A335">
        <f t="shared" si="81"/>
        <v>1.6666666666666667</v>
      </c>
      <c r="B335">
        <v>60</v>
      </c>
      <c r="C335">
        <v>6</v>
      </c>
      <c r="D335" s="15">
        <v>18.399999999999999</v>
      </c>
      <c r="E335" s="1">
        <v>30.456</v>
      </c>
      <c r="F335" s="6">
        <f t="shared" si="79"/>
        <v>6.0415024954032042</v>
      </c>
      <c r="G335" s="9">
        <v>3.24</v>
      </c>
      <c r="H335" s="8">
        <v>2.00833E-3</v>
      </c>
      <c r="I335" s="9">
        <f t="shared" si="85"/>
        <v>10.716129430234012</v>
      </c>
      <c r="J335" s="16">
        <v>3</v>
      </c>
      <c r="K335" s="7">
        <v>1.02</v>
      </c>
      <c r="L335" s="10">
        <f t="shared" si="86"/>
        <v>5.3785252523916078</v>
      </c>
      <c r="M335" s="12"/>
      <c r="N335" s="11">
        <f t="shared" si="88"/>
        <v>-9.0146788990825691E-2</v>
      </c>
    </row>
    <row r="336" spans="1:14" x14ac:dyDescent="0.3">
      <c r="A336">
        <f t="shared" si="81"/>
        <v>1.6666666666666667</v>
      </c>
      <c r="B336">
        <v>60</v>
      </c>
      <c r="C336">
        <v>6</v>
      </c>
      <c r="D336" s="15">
        <v>23</v>
      </c>
      <c r="E336" s="1">
        <v>30.456</v>
      </c>
      <c r="F336" s="6">
        <f t="shared" si="79"/>
        <v>7.5518781192540052</v>
      </c>
      <c r="G336" s="9">
        <v>3.24</v>
      </c>
      <c r="H336" s="8">
        <v>2.00833E-3</v>
      </c>
      <c r="I336" s="9">
        <f t="shared" si="85"/>
        <v>13.395161787792516</v>
      </c>
      <c r="J336" s="16">
        <v>4.5</v>
      </c>
      <c r="K336" s="7">
        <v>0.55000000000000004</v>
      </c>
      <c r="L336" s="10">
        <f t="shared" si="86"/>
        <v>3.4642517956696928</v>
      </c>
      <c r="M336" s="12"/>
      <c r="N336" s="11">
        <f t="shared" si="88"/>
        <v>-2.6210499490316008E-2</v>
      </c>
    </row>
    <row r="337" spans="1:14" x14ac:dyDescent="0.3">
      <c r="A337">
        <f t="shared" si="81"/>
        <v>1.6666666666666667</v>
      </c>
      <c r="B337">
        <v>60</v>
      </c>
      <c r="C337">
        <v>6</v>
      </c>
      <c r="D337" s="15">
        <v>27.6</v>
      </c>
      <c r="E337" s="1">
        <v>30.456</v>
      </c>
      <c r="F337" s="6">
        <f t="shared" si="79"/>
        <v>9.0622537431048062</v>
      </c>
      <c r="G337" s="9">
        <v>3.24</v>
      </c>
      <c r="H337" s="8">
        <v>2.00833E-3</v>
      </c>
      <c r="I337" s="9">
        <f t="shared" si="85"/>
        <v>16.074194145351019</v>
      </c>
      <c r="J337" s="16">
        <v>4.5</v>
      </c>
      <c r="K337" s="7">
        <v>0.95</v>
      </c>
      <c r="L337" s="10">
        <f t="shared" si="86"/>
        <v>2.3933102380829494</v>
      </c>
      <c r="M337" s="12"/>
      <c r="N337" s="11">
        <f t="shared" si="88"/>
        <v>-7.8198267074413852E-2</v>
      </c>
    </row>
    <row r="338" spans="1:14" x14ac:dyDescent="0.3">
      <c r="A338">
        <f t="shared" si="81"/>
        <v>1.6666666666666667</v>
      </c>
      <c r="B338">
        <v>60</v>
      </c>
      <c r="C338">
        <v>6</v>
      </c>
      <c r="D338" s="16">
        <v>32</v>
      </c>
      <c r="E338" s="1">
        <v>30.456</v>
      </c>
      <c r="F338" s="6">
        <f t="shared" si="79"/>
        <v>10.506960861570789</v>
      </c>
      <c r="G338" s="9">
        <v>3.24</v>
      </c>
      <c r="H338" s="8">
        <v>2.00833E-3</v>
      </c>
      <c r="I338" s="9">
        <f t="shared" si="85"/>
        <v>18.636746835189584</v>
      </c>
      <c r="J338" s="16">
        <v>4.5</v>
      </c>
      <c r="K338" s="7">
        <v>1</v>
      </c>
      <c r="L338" s="10">
        <f t="shared" si="86"/>
        <v>1.7788970342853008</v>
      </c>
      <c r="M338" s="12"/>
      <c r="N338" s="11">
        <f t="shared" si="88"/>
        <v>-8.6646279306829763E-2</v>
      </c>
    </row>
    <row r="339" spans="1:14" x14ac:dyDescent="0.3">
      <c r="A339">
        <v>1</v>
      </c>
      <c r="B339">
        <v>10</v>
      </c>
      <c r="C339">
        <v>1</v>
      </c>
      <c r="D339" s="16">
        <v>1.8</v>
      </c>
      <c r="E339" s="9">
        <v>5.1402817540000001</v>
      </c>
      <c r="F339" s="7">
        <f t="shared" si="79"/>
        <v>3.5017535733314595</v>
      </c>
      <c r="G339" s="6">
        <v>5.8784999999999998</v>
      </c>
      <c r="H339" s="8">
        <v>5.5425099999999996E-3</v>
      </c>
      <c r="I339" s="17">
        <f>F339/((E339*10^-4)/(G339*10^-2)*9.81)^(1/2)</f>
        <v>11.956136806902013</v>
      </c>
      <c r="J339" s="16">
        <v>4.5</v>
      </c>
      <c r="K339" s="7">
        <v>0</v>
      </c>
      <c r="L339" s="10">
        <f t="shared" si="86"/>
        <v>16.153892333298177</v>
      </c>
      <c r="M339" s="12"/>
      <c r="N339" s="11">
        <f>-(1.7*K339^2)/19.62</f>
        <v>0</v>
      </c>
    </row>
    <row r="340" spans="1:14" x14ac:dyDescent="0.3">
      <c r="A340">
        <v>1</v>
      </c>
      <c r="B340">
        <v>10</v>
      </c>
      <c r="C340">
        <v>1</v>
      </c>
      <c r="D340" s="16">
        <v>3.6</v>
      </c>
      <c r="E340" s="9">
        <v>5.1402817540000001</v>
      </c>
      <c r="F340" s="7">
        <f t="shared" si="79"/>
        <v>7.0035071466629191</v>
      </c>
      <c r="G340" s="6">
        <v>5.8784999999999998</v>
      </c>
      <c r="H340" s="8">
        <v>5.5425099999999996E-3</v>
      </c>
      <c r="I340" s="17">
        <f t="shared" ref="I340:I345" si="89">F340/((E340*10^-4)/(G340*10^-2)*9.81)^(1/2)</f>
        <v>23.912273613804025</v>
      </c>
      <c r="J340" s="16">
        <v>4.5</v>
      </c>
      <c r="K340" s="7">
        <v>1.62</v>
      </c>
      <c r="L340" s="10">
        <f t="shared" si="86"/>
        <v>3.9475136390871297</v>
      </c>
      <c r="M340" s="12"/>
      <c r="N340" s="11">
        <f t="shared" ref="N340:N345" si="90">-(1.7*K340^2)/19.62</f>
        <v>-0.22739449541284407</v>
      </c>
    </row>
    <row r="341" spans="1:14" x14ac:dyDescent="0.3">
      <c r="A341">
        <v>1</v>
      </c>
      <c r="B341">
        <v>10</v>
      </c>
      <c r="C341">
        <v>1</v>
      </c>
      <c r="D341" s="16">
        <v>5.4</v>
      </c>
      <c r="E341" s="9">
        <v>5.1402817540000001</v>
      </c>
      <c r="F341" s="7">
        <f t="shared" si="79"/>
        <v>10.505260719994377</v>
      </c>
      <c r="G341" s="6">
        <v>5.8784999999999998</v>
      </c>
      <c r="H341" s="8">
        <v>5.5425099999999996E-3</v>
      </c>
      <c r="I341" s="17">
        <f t="shared" si="89"/>
        <v>35.868410420706034</v>
      </c>
      <c r="J341" s="16">
        <v>4.5</v>
      </c>
      <c r="K341" s="7">
        <v>3.35</v>
      </c>
      <c r="L341" s="10">
        <f t="shared" si="86"/>
        <v>1.6220048429139446</v>
      </c>
      <c r="M341" s="12"/>
      <c r="N341" s="11">
        <f t="shared" si="90"/>
        <v>-0.97238786952089706</v>
      </c>
    </row>
    <row r="342" spans="1:14" x14ac:dyDescent="0.3">
      <c r="A342">
        <v>1</v>
      </c>
      <c r="B342">
        <v>10</v>
      </c>
      <c r="C342">
        <v>1</v>
      </c>
      <c r="D342" s="16">
        <v>7.2</v>
      </c>
      <c r="E342" s="9">
        <v>5.1402817540000001</v>
      </c>
      <c r="F342" s="7">
        <f t="shared" si="79"/>
        <v>14.007014293325838</v>
      </c>
      <c r="G342" s="6">
        <v>5.8784999999999998</v>
      </c>
      <c r="H342" s="8">
        <v>5.5425099999999996E-3</v>
      </c>
      <c r="I342" s="17">
        <f t="shared" si="89"/>
        <v>47.824547227608051</v>
      </c>
      <c r="J342" s="16">
        <v>4.5</v>
      </c>
      <c r="K342" s="7">
        <v>6.75</v>
      </c>
      <c r="L342" s="10">
        <f t="shared" si="86"/>
        <v>0.61482901632846887</v>
      </c>
      <c r="M342" s="12"/>
      <c r="N342" s="11">
        <f t="shared" si="90"/>
        <v>-3.9478211009174307</v>
      </c>
    </row>
    <row r="343" spans="1:14" x14ac:dyDescent="0.3">
      <c r="A343">
        <v>1</v>
      </c>
      <c r="B343">
        <v>10</v>
      </c>
      <c r="C343">
        <v>1</v>
      </c>
      <c r="D343" s="16">
        <v>9</v>
      </c>
      <c r="E343" s="9">
        <v>5.1402817540000001</v>
      </c>
      <c r="F343" s="7">
        <f t="shared" si="79"/>
        <v>17.508767866657298</v>
      </c>
      <c r="G343" s="6">
        <v>5.8784999999999998</v>
      </c>
      <c r="H343" s="8">
        <v>5.5425099999999996E-3</v>
      </c>
      <c r="I343" s="17">
        <f t="shared" si="89"/>
        <v>59.780684034510067</v>
      </c>
      <c r="J343" s="16">
        <v>4.5</v>
      </c>
      <c r="K343" s="7">
        <v>16.3</v>
      </c>
      <c r="L343" s="10">
        <f t="shared" si="86"/>
        <v>-0.82721816671615511</v>
      </c>
      <c r="M343" s="12"/>
      <c r="N343" s="11">
        <f t="shared" si="90"/>
        <v>-23.0210499490316</v>
      </c>
    </row>
    <row r="344" spans="1:14" x14ac:dyDescent="0.3">
      <c r="A344">
        <v>1</v>
      </c>
      <c r="B344">
        <v>10</v>
      </c>
      <c r="C344">
        <v>1</v>
      </c>
      <c r="D344" s="16">
        <v>10.8</v>
      </c>
      <c r="E344" s="9">
        <v>5.1402817540000001</v>
      </c>
      <c r="F344" s="7">
        <f t="shared" si="79"/>
        <v>21.010521439988754</v>
      </c>
      <c r="G344" s="6">
        <v>5.8784999999999998</v>
      </c>
      <c r="H344" s="8">
        <v>5.5425099999999996E-3</v>
      </c>
      <c r="I344" s="17">
        <f t="shared" si="89"/>
        <v>71.736820841412069</v>
      </c>
      <c r="J344" s="16">
        <v>4.5</v>
      </c>
      <c r="K344" s="7">
        <v>21.2</v>
      </c>
      <c r="L344" s="10">
        <f t="shared" si="86"/>
        <v>-1.282081146936725</v>
      </c>
      <c r="M344" s="12"/>
      <c r="N344" s="11">
        <f t="shared" si="90"/>
        <v>-38.942303771661571</v>
      </c>
    </row>
    <row r="345" spans="1:14" x14ac:dyDescent="0.3">
      <c r="A345">
        <v>1</v>
      </c>
      <c r="B345">
        <v>10</v>
      </c>
      <c r="C345">
        <v>1</v>
      </c>
      <c r="D345" s="16">
        <v>12.5</v>
      </c>
      <c r="E345" s="9">
        <v>5.1402817540000001</v>
      </c>
      <c r="F345" s="7">
        <f t="shared" si="79"/>
        <v>24.317733148135133</v>
      </c>
      <c r="G345" s="6">
        <v>5.8784999999999998</v>
      </c>
      <c r="H345" s="8">
        <v>5.5425099999999996E-3</v>
      </c>
      <c r="I345" s="17">
        <f t="shared" si="89"/>
        <v>83.028727825708415</v>
      </c>
      <c r="J345" s="16">
        <v>4.5</v>
      </c>
      <c r="K345" s="7">
        <v>25.2</v>
      </c>
      <c r="L345" s="10">
        <f t="shared" si="86"/>
        <v>-1.4906253181993339</v>
      </c>
      <c r="M345" s="12"/>
      <c r="N345" s="11">
        <f t="shared" si="90"/>
        <v>-55.023853211009168</v>
      </c>
    </row>
    <row r="346" spans="1:14" x14ac:dyDescent="0.3">
      <c r="A346">
        <v>1</v>
      </c>
      <c r="B346">
        <v>10</v>
      </c>
      <c r="C346">
        <v>2</v>
      </c>
      <c r="D346" s="16">
        <v>1.8</v>
      </c>
      <c r="E346" s="9">
        <v>5.1402817540000001</v>
      </c>
      <c r="F346" s="7">
        <f t="shared" si="79"/>
        <v>3.5017535733314595</v>
      </c>
      <c r="G346" s="6">
        <v>5.8784999999999998</v>
      </c>
      <c r="H346" s="8">
        <v>2.7712499999999998E-3</v>
      </c>
      <c r="I346" s="17">
        <f>F346/((E346*10^-4)/(G346*10^-2)*9.81)^(1/2)</f>
        <v>11.956136806902013</v>
      </c>
      <c r="J346" s="16">
        <v>4.5</v>
      </c>
      <c r="K346" s="7">
        <v>0.49</v>
      </c>
      <c r="L346" s="10">
        <f t="shared" si="86"/>
        <v>16.120605696259002</v>
      </c>
      <c r="M346" s="12"/>
      <c r="N346" s="11">
        <f>-(1.7*K346^2)/19.62</f>
        <v>-2.0803771661569825E-2</v>
      </c>
    </row>
    <row r="347" spans="1:14" x14ac:dyDescent="0.3">
      <c r="A347">
        <v>1</v>
      </c>
      <c r="B347">
        <v>10</v>
      </c>
      <c r="C347">
        <v>2</v>
      </c>
      <c r="D347" s="16">
        <v>3.6</v>
      </c>
      <c r="E347" s="9">
        <v>5.1402817540000001</v>
      </c>
      <c r="F347" s="7">
        <f t="shared" si="79"/>
        <v>7.0035071466629191</v>
      </c>
      <c r="G347" s="6">
        <v>5.8784999999999998</v>
      </c>
      <c r="H347" s="8">
        <v>2.7712499999999998E-3</v>
      </c>
      <c r="I347" s="17">
        <f t="shared" ref="I347:I352" si="91">F347/((E347*10^-4)/(G347*10^-2)*9.81)^(1/2)</f>
        <v>23.912273613804025</v>
      </c>
      <c r="J347" s="16">
        <v>4.5</v>
      </c>
      <c r="K347" s="7">
        <v>2.61</v>
      </c>
      <c r="L347" s="10">
        <f t="shared" si="86"/>
        <v>3.8023715629428603</v>
      </c>
      <c r="M347" s="12"/>
      <c r="N347" s="11">
        <f t="shared" ref="N347:N352" si="92">-(1.7*K347^2)/19.62</f>
        <v>-0.59024311926605488</v>
      </c>
    </row>
    <row r="348" spans="1:14" x14ac:dyDescent="0.3">
      <c r="A348">
        <v>1</v>
      </c>
      <c r="B348">
        <v>10</v>
      </c>
      <c r="C348">
        <v>2</v>
      </c>
      <c r="D348" s="16">
        <v>5.4</v>
      </c>
      <c r="E348" s="9">
        <v>5.1402817540000001</v>
      </c>
      <c r="F348" s="7">
        <f t="shared" si="79"/>
        <v>10.505260719994377</v>
      </c>
      <c r="G348" s="6">
        <v>5.8784999999999998</v>
      </c>
      <c r="H348" s="8">
        <v>2.7712499999999998E-3</v>
      </c>
      <c r="I348" s="17">
        <f t="shared" si="91"/>
        <v>35.868410420706034</v>
      </c>
      <c r="J348" s="16">
        <v>4.5</v>
      </c>
      <c r="K348" s="7">
        <v>6.15</v>
      </c>
      <c r="L348" s="10">
        <f t="shared" si="86"/>
        <v>1.2122568003196199</v>
      </c>
      <c r="M348" s="12"/>
      <c r="N348" s="11">
        <f t="shared" si="92"/>
        <v>-3.277178899082569</v>
      </c>
    </row>
    <row r="349" spans="1:14" x14ac:dyDescent="0.3">
      <c r="A349">
        <v>1</v>
      </c>
      <c r="B349">
        <v>10</v>
      </c>
      <c r="C349">
        <v>2</v>
      </c>
      <c r="D349" s="16">
        <v>7.2</v>
      </c>
      <c r="E349" s="9">
        <v>5.1402817540000001</v>
      </c>
      <c r="F349" s="7">
        <f t="shared" si="79"/>
        <v>14.007014293325838</v>
      </c>
      <c r="G349" s="6">
        <v>5.8784999999999998</v>
      </c>
      <c r="H349" s="8">
        <v>2.7712499999999998E-3</v>
      </c>
      <c r="I349" s="17">
        <f t="shared" si="91"/>
        <v>47.824547227608051</v>
      </c>
      <c r="J349" s="16">
        <v>4.5</v>
      </c>
      <c r="K349" s="7">
        <v>11.51</v>
      </c>
      <c r="L349" s="10">
        <f t="shared" si="86"/>
        <v>-0.13829327738151251</v>
      </c>
      <c r="M349" s="12"/>
      <c r="N349" s="11">
        <f t="shared" si="92"/>
        <v>-11.478907747196736</v>
      </c>
    </row>
    <row r="350" spans="1:14" x14ac:dyDescent="0.3">
      <c r="A350">
        <v>1</v>
      </c>
      <c r="B350">
        <v>10</v>
      </c>
      <c r="C350">
        <v>2</v>
      </c>
      <c r="D350" s="16">
        <v>9</v>
      </c>
      <c r="E350" s="9">
        <v>5.1402817540000001</v>
      </c>
      <c r="F350" s="7">
        <f t="shared" si="79"/>
        <v>17.508767866657298</v>
      </c>
      <c r="G350" s="6">
        <v>5.8784999999999998</v>
      </c>
      <c r="H350" s="8">
        <v>2.7712499999999998E-3</v>
      </c>
      <c r="I350" s="17">
        <f t="shared" si="91"/>
        <v>59.780684034510067</v>
      </c>
      <c r="J350" s="16">
        <v>4.5</v>
      </c>
      <c r="K350" s="7">
        <v>22.9</v>
      </c>
      <c r="L350" s="10">
        <f t="shared" si="86"/>
        <v>-2.2619401550169562</v>
      </c>
      <c r="M350" s="12"/>
      <c r="N350" s="11">
        <f t="shared" si="92"/>
        <v>-45.438175331294595</v>
      </c>
    </row>
    <row r="351" spans="1:14" x14ac:dyDescent="0.3">
      <c r="A351">
        <v>1</v>
      </c>
      <c r="B351">
        <v>10</v>
      </c>
      <c r="C351">
        <v>2</v>
      </c>
      <c r="D351" s="16">
        <v>10.8</v>
      </c>
      <c r="E351" s="9">
        <v>5.1402817540000001</v>
      </c>
      <c r="F351" s="7">
        <f t="shared" si="79"/>
        <v>21.010521439988754</v>
      </c>
      <c r="G351" s="6">
        <v>5.8784999999999998</v>
      </c>
      <c r="H351" s="8">
        <v>2.7712499999999998E-3</v>
      </c>
      <c r="I351" s="17">
        <f t="shared" si="91"/>
        <v>71.736820841412069</v>
      </c>
      <c r="J351" s="16">
        <v>4.5</v>
      </c>
      <c r="K351" s="7">
        <v>31.6</v>
      </c>
      <c r="L351" s="10">
        <f t="shared" si="86"/>
        <v>-3.3967507442054798</v>
      </c>
      <c r="M351" s="12"/>
      <c r="N351" s="11">
        <f t="shared" si="92"/>
        <v>-86.52150866462793</v>
      </c>
    </row>
    <row r="352" spans="1:14" x14ac:dyDescent="0.3">
      <c r="A352">
        <v>1</v>
      </c>
      <c r="B352">
        <v>10</v>
      </c>
      <c r="C352">
        <v>2</v>
      </c>
      <c r="D352" s="16">
        <v>12.5</v>
      </c>
      <c r="E352" s="9">
        <v>5.1402817540000001</v>
      </c>
      <c r="F352" s="7">
        <f t="shared" si="79"/>
        <v>24.317733148135133</v>
      </c>
      <c r="G352" s="6">
        <v>5.8784999999999998</v>
      </c>
      <c r="H352" s="8">
        <v>2.7712499999999998E-3</v>
      </c>
      <c r="I352" s="17">
        <f t="shared" si="91"/>
        <v>83.028727825708415</v>
      </c>
      <c r="J352" s="16">
        <v>4.5</v>
      </c>
      <c r="K352" s="7">
        <v>37.049999999999997</v>
      </c>
      <c r="L352" s="10">
        <f t="shared" si="86"/>
        <v>-3.611233587940585</v>
      </c>
      <c r="M352" s="12"/>
      <c r="N352" s="11">
        <f t="shared" si="92"/>
        <v>-118.93956422018346</v>
      </c>
    </row>
    <row r="353" spans="1:14" x14ac:dyDescent="0.3">
      <c r="A353">
        <v>1</v>
      </c>
      <c r="B353">
        <v>10</v>
      </c>
      <c r="C353">
        <v>4</v>
      </c>
      <c r="D353" s="16">
        <v>1.8</v>
      </c>
      <c r="E353" s="9">
        <v>5.1402817540000001</v>
      </c>
      <c r="F353" s="7">
        <f t="shared" si="79"/>
        <v>3.5017535733314595</v>
      </c>
      <c r="G353" s="6">
        <v>5.8784999999999998</v>
      </c>
      <c r="H353" s="8">
        <v>1.3856300000000001E-3</v>
      </c>
      <c r="I353" s="17">
        <f>F353/((E353*10^-4)/(G353*10^-2)*9.81)^(1/2)</f>
        <v>11.956136806902013</v>
      </c>
      <c r="J353" s="16">
        <v>4.5</v>
      </c>
      <c r="K353" s="7">
        <v>0.6</v>
      </c>
      <c r="L353" s="10">
        <f t="shared" si="86"/>
        <v>16.103983173222776</v>
      </c>
      <c r="M353" s="12"/>
      <c r="N353" s="11">
        <f>-(1.7*K353^2)/19.62</f>
        <v>-3.1192660550458714E-2</v>
      </c>
    </row>
    <row r="354" spans="1:14" x14ac:dyDescent="0.3">
      <c r="A354">
        <v>1</v>
      </c>
      <c r="B354">
        <v>10</v>
      </c>
      <c r="C354">
        <v>4</v>
      </c>
      <c r="D354" s="16">
        <v>3.6</v>
      </c>
      <c r="E354" s="9">
        <v>5.1402817540000001</v>
      </c>
      <c r="F354" s="7">
        <f t="shared" si="79"/>
        <v>7.0035071466629191</v>
      </c>
      <c r="G354" s="6">
        <v>5.8784999999999998</v>
      </c>
      <c r="H354" s="8">
        <v>1.3856300000000001E-3</v>
      </c>
      <c r="I354" s="17">
        <f t="shared" ref="I354:I359" si="93">F354/((E354*10^-4)/(G354*10^-2)*9.81)^(1/2)</f>
        <v>23.912273613804025</v>
      </c>
      <c r="J354" s="16">
        <v>4.5</v>
      </c>
      <c r="K354" s="7">
        <v>2.73</v>
      </c>
      <c r="L354" s="10">
        <f t="shared" si="86"/>
        <v>3.7801619867093073</v>
      </c>
      <c r="M354" s="12"/>
      <c r="N354" s="11">
        <f t="shared" ref="N354:N359" si="94">-(1.7*K354^2)/19.62</f>
        <v>-0.64576605504587148</v>
      </c>
    </row>
    <row r="355" spans="1:14" x14ac:dyDescent="0.3">
      <c r="A355">
        <v>1</v>
      </c>
      <c r="B355">
        <v>10</v>
      </c>
      <c r="C355">
        <v>4</v>
      </c>
      <c r="D355" s="16">
        <v>5.4</v>
      </c>
      <c r="E355" s="9">
        <v>5.1402817540000001</v>
      </c>
      <c r="F355" s="7">
        <f t="shared" si="79"/>
        <v>10.505260719994377</v>
      </c>
      <c r="G355" s="6">
        <v>5.8784999999999998</v>
      </c>
      <c r="H355" s="8">
        <v>1.3856300000000001E-3</v>
      </c>
      <c r="I355" s="17">
        <f t="shared" si="93"/>
        <v>35.868410420706034</v>
      </c>
      <c r="J355" s="16">
        <v>4.5</v>
      </c>
      <c r="K355" s="7">
        <v>8.09</v>
      </c>
      <c r="L355" s="10">
        <f t="shared" si="86"/>
        <v>0.78671035199278661</v>
      </c>
      <c r="M355" s="12"/>
      <c r="N355" s="11">
        <f t="shared" si="94"/>
        <v>-5.6708343527013243</v>
      </c>
    </row>
    <row r="356" spans="1:14" x14ac:dyDescent="0.3">
      <c r="A356">
        <v>1</v>
      </c>
      <c r="B356">
        <v>10</v>
      </c>
      <c r="C356">
        <v>4</v>
      </c>
      <c r="D356" s="16">
        <v>7.2</v>
      </c>
      <c r="E356" s="9">
        <v>5.1402817540000001</v>
      </c>
      <c r="F356" s="7">
        <f t="shared" si="79"/>
        <v>14.007014293325838</v>
      </c>
      <c r="G356" s="6">
        <v>5.8784999999999998</v>
      </c>
      <c r="H356" s="8">
        <v>1.3856300000000001E-3</v>
      </c>
      <c r="I356" s="17">
        <f t="shared" si="93"/>
        <v>47.824547227608051</v>
      </c>
      <c r="J356" s="16">
        <v>4.5</v>
      </c>
      <c r="K356" s="7">
        <v>15.31</v>
      </c>
      <c r="L356" s="10">
        <f t="shared" si="86"/>
        <v>-1.0213734784656026</v>
      </c>
      <c r="M356" s="12"/>
      <c r="N356" s="11">
        <f t="shared" si="94"/>
        <v>-20.309549949031602</v>
      </c>
    </row>
    <row r="357" spans="1:14" x14ac:dyDescent="0.3">
      <c r="A357">
        <v>1</v>
      </c>
      <c r="B357">
        <v>10</v>
      </c>
      <c r="C357">
        <v>4</v>
      </c>
      <c r="D357" s="16">
        <v>9</v>
      </c>
      <c r="E357" s="9">
        <v>5.1402817540000001</v>
      </c>
      <c r="F357" s="7">
        <f t="shared" ref="F357:F420" si="95">(D357*10^-3)/(E357*10^-4)</f>
        <v>17.508767866657298</v>
      </c>
      <c r="G357" s="6">
        <v>5.8784999999999998</v>
      </c>
      <c r="H357" s="8">
        <v>1.3856300000000001E-3</v>
      </c>
      <c r="I357" s="17">
        <f t="shared" si="93"/>
        <v>59.780684034510067</v>
      </c>
      <c r="J357" s="16">
        <v>4.5</v>
      </c>
      <c r="K357" s="7">
        <v>22.58</v>
      </c>
      <c r="L357" s="10">
        <f t="shared" si="86"/>
        <v>-2.1812337158976978</v>
      </c>
      <c r="M357" s="12"/>
      <c r="N357" s="11">
        <f t="shared" si="94"/>
        <v>-44.177160040774716</v>
      </c>
    </row>
    <row r="358" spans="1:14" x14ac:dyDescent="0.3">
      <c r="A358">
        <v>1</v>
      </c>
      <c r="B358">
        <v>10</v>
      </c>
      <c r="C358">
        <v>4</v>
      </c>
      <c r="D358" s="16">
        <v>10.8</v>
      </c>
      <c r="E358" s="9">
        <v>5.1402817540000001</v>
      </c>
      <c r="F358" s="7">
        <f t="shared" si="95"/>
        <v>21.010521439988754</v>
      </c>
      <c r="G358" s="6">
        <v>5.8784999999999998</v>
      </c>
      <c r="H358" s="8">
        <v>1.3856300000000001E-3</v>
      </c>
      <c r="I358" s="17">
        <f t="shared" si="93"/>
        <v>71.736820841412069</v>
      </c>
      <c r="J358" s="16">
        <v>4.5</v>
      </c>
      <c r="K358" s="7">
        <v>30.58</v>
      </c>
      <c r="L358" s="10">
        <f t="shared" si="86"/>
        <v>-3.1525054814772329</v>
      </c>
      <c r="M358" s="12"/>
      <c r="N358" s="11">
        <f t="shared" si="94"/>
        <v>-81.026089704383267</v>
      </c>
    </row>
    <row r="359" spans="1:14" x14ac:dyDescent="0.3">
      <c r="A359">
        <v>1</v>
      </c>
      <c r="B359">
        <v>10</v>
      </c>
      <c r="C359">
        <v>4</v>
      </c>
      <c r="D359" s="16">
        <v>12.4</v>
      </c>
      <c r="E359" s="9">
        <v>5.1402817540000001</v>
      </c>
      <c r="F359" s="7">
        <f t="shared" si="95"/>
        <v>24.123191282950053</v>
      </c>
      <c r="G359" s="6">
        <v>5.8784999999999998</v>
      </c>
      <c r="H359" s="8">
        <v>1.3856300000000001E-3</v>
      </c>
      <c r="I359" s="17">
        <f t="shared" si="93"/>
        <v>82.364498003102753</v>
      </c>
      <c r="J359" s="16">
        <v>4.5</v>
      </c>
      <c r="K359" s="7">
        <v>36.17</v>
      </c>
      <c r="L359" s="10">
        <f t="shared" si="86"/>
        <v>-3.481482872047402</v>
      </c>
      <c r="M359" s="12"/>
      <c r="N359" s="11">
        <f t="shared" si="94"/>
        <v>-113.35663251783895</v>
      </c>
    </row>
    <row r="360" spans="1:14" x14ac:dyDescent="0.3">
      <c r="A360">
        <v>1</v>
      </c>
      <c r="B360">
        <v>10</v>
      </c>
      <c r="C360">
        <v>6</v>
      </c>
      <c r="D360" s="16">
        <v>1.8</v>
      </c>
      <c r="E360" s="9">
        <v>5.1402817540000001</v>
      </c>
      <c r="F360" s="7">
        <f t="shared" si="95"/>
        <v>3.5017535733314595</v>
      </c>
      <c r="G360" s="6">
        <v>5.8784999999999998</v>
      </c>
      <c r="H360" s="8">
        <v>9.2374999999999998E-4</v>
      </c>
      <c r="I360" s="17">
        <f>F360/((E360*10^-4)/(G360*10^-2)*9.81)^(1/2)</f>
        <v>11.956136806902013</v>
      </c>
      <c r="J360" s="16">
        <v>4.5</v>
      </c>
      <c r="K360" s="7">
        <v>0.74</v>
      </c>
      <c r="L360" s="10">
        <f t="shared" si="86"/>
        <v>16.077974955361263</v>
      </c>
      <c r="M360" s="12"/>
      <c r="N360" s="11">
        <f>-(1.7*K360^2)/19.62</f>
        <v>-4.7447502548419979E-2</v>
      </c>
    </row>
    <row r="361" spans="1:14" x14ac:dyDescent="0.3">
      <c r="A361">
        <v>1</v>
      </c>
      <c r="B361">
        <v>10</v>
      </c>
      <c r="C361">
        <v>6</v>
      </c>
      <c r="D361" s="16">
        <v>3.6</v>
      </c>
      <c r="E361" s="9">
        <v>5.1402817540000001</v>
      </c>
      <c r="F361" s="7">
        <f t="shared" si="95"/>
        <v>7.0035071466629191</v>
      </c>
      <c r="G361" s="6">
        <v>5.8784999999999998</v>
      </c>
      <c r="H361" s="8">
        <v>9.2374999999999998E-4</v>
      </c>
      <c r="I361" s="17">
        <f t="shared" ref="I361:I366" si="96">F361/((E361*10^-4)/(G361*10^-2)*9.81)^(1/2)</f>
        <v>23.912273613804025</v>
      </c>
      <c r="J361" s="16">
        <v>4.5</v>
      </c>
      <c r="K361" s="7">
        <v>3.08</v>
      </c>
      <c r="L361" s="10">
        <f t="shared" si="86"/>
        <v>3.7096826276722776</v>
      </c>
      <c r="M361" s="12"/>
      <c r="N361" s="11">
        <f t="shared" ref="N361:N366" si="97">-(1.7*K361^2)/19.62</f>
        <v>-0.82196126401630987</v>
      </c>
    </row>
    <row r="362" spans="1:14" x14ac:dyDescent="0.3">
      <c r="A362">
        <v>1</v>
      </c>
      <c r="B362">
        <v>10</v>
      </c>
      <c r="C362">
        <v>6</v>
      </c>
      <c r="D362" s="16">
        <v>5.4</v>
      </c>
      <c r="E362" s="9">
        <v>5.1402817540000001</v>
      </c>
      <c r="F362" s="7">
        <f t="shared" si="95"/>
        <v>10.505260719994377</v>
      </c>
      <c r="G362" s="6">
        <v>5.8784999999999998</v>
      </c>
      <c r="H362" s="8">
        <v>9.2374999999999998E-4</v>
      </c>
      <c r="I362" s="17">
        <f t="shared" si="96"/>
        <v>35.868410420706034</v>
      </c>
      <c r="J362" s="16">
        <v>4.5</v>
      </c>
      <c r="K362" s="7">
        <v>8.02</v>
      </c>
      <c r="L362" s="10">
        <f t="shared" si="86"/>
        <v>0.80408151243014081</v>
      </c>
      <c r="M362" s="12"/>
      <c r="N362" s="11">
        <f t="shared" si="97"/>
        <v>-5.573123343527012</v>
      </c>
    </row>
    <row r="363" spans="1:14" x14ac:dyDescent="0.3">
      <c r="A363">
        <v>1</v>
      </c>
      <c r="B363">
        <v>10</v>
      </c>
      <c r="C363">
        <v>6</v>
      </c>
      <c r="D363" s="16">
        <v>7.2</v>
      </c>
      <c r="E363" s="9">
        <v>5.1402817540000001</v>
      </c>
      <c r="F363" s="7">
        <f t="shared" si="95"/>
        <v>14.007014293325838</v>
      </c>
      <c r="G363" s="6">
        <v>5.8784999999999998</v>
      </c>
      <c r="H363" s="8">
        <v>9.2374999999999998E-4</v>
      </c>
      <c r="I363" s="17">
        <f t="shared" si="96"/>
        <v>47.824547227608051</v>
      </c>
      <c r="J363" s="16">
        <v>4.5</v>
      </c>
      <c r="K363" s="7">
        <v>15.77</v>
      </c>
      <c r="L363" s="10">
        <f t="shared" si="86"/>
        <v>-1.1452521728694152</v>
      </c>
      <c r="M363" s="12"/>
      <c r="N363" s="11">
        <f t="shared" si="97"/>
        <v>-21.548314475025482</v>
      </c>
    </row>
    <row r="364" spans="1:14" x14ac:dyDescent="0.3">
      <c r="A364">
        <v>1</v>
      </c>
      <c r="B364">
        <v>10</v>
      </c>
      <c r="C364">
        <v>6</v>
      </c>
      <c r="D364" s="16">
        <v>9</v>
      </c>
      <c r="E364" s="9">
        <v>5.1402817540000001</v>
      </c>
      <c r="F364" s="7">
        <f t="shared" si="95"/>
        <v>17.508767866657298</v>
      </c>
      <c r="G364" s="6">
        <v>5.8784999999999998</v>
      </c>
      <c r="H364" s="8">
        <v>9.2374999999999998E-4</v>
      </c>
      <c r="I364" s="17">
        <f t="shared" si="96"/>
        <v>59.780684034510067</v>
      </c>
      <c r="J364" s="16">
        <v>4.5</v>
      </c>
      <c r="K364" s="7">
        <v>23.29</v>
      </c>
      <c r="L364" s="10">
        <f t="shared" si="86"/>
        <v>-2.3618366661852055</v>
      </c>
      <c r="M364" s="12"/>
      <c r="N364" s="11">
        <f t="shared" si="97"/>
        <v>-46.999030071355755</v>
      </c>
    </row>
    <row r="365" spans="1:14" x14ac:dyDescent="0.3">
      <c r="A365">
        <v>1</v>
      </c>
      <c r="B365">
        <v>10</v>
      </c>
      <c r="C365">
        <v>6</v>
      </c>
      <c r="D365" s="16">
        <v>10.8</v>
      </c>
      <c r="E365" s="9">
        <v>5.1402817540000001</v>
      </c>
      <c r="F365" s="7">
        <f t="shared" si="95"/>
        <v>21.010521439988754</v>
      </c>
      <c r="G365" s="6">
        <v>5.8784999999999998</v>
      </c>
      <c r="H365" s="8">
        <v>9.2374999999999998E-4</v>
      </c>
      <c r="I365" s="17">
        <f t="shared" si="96"/>
        <v>71.736820841412069</v>
      </c>
      <c r="J365" s="16">
        <v>4.5</v>
      </c>
      <c r="K365" s="7">
        <v>30.53</v>
      </c>
      <c r="L365" s="10">
        <f t="shared" si="86"/>
        <v>-3.1407387038066794</v>
      </c>
      <c r="M365" s="12"/>
      <c r="N365" s="11">
        <f t="shared" si="97"/>
        <v>-80.761341997961267</v>
      </c>
    </row>
    <row r="366" spans="1:14" x14ac:dyDescent="0.3">
      <c r="A366">
        <v>1</v>
      </c>
      <c r="B366">
        <v>10</v>
      </c>
      <c r="C366">
        <v>6</v>
      </c>
      <c r="D366" s="16">
        <v>12.4</v>
      </c>
      <c r="E366" s="9">
        <v>5.1402817540000001</v>
      </c>
      <c r="F366" s="7">
        <f t="shared" si="95"/>
        <v>24.123191282950053</v>
      </c>
      <c r="G366" s="6">
        <v>5.8784999999999998</v>
      </c>
      <c r="H366" s="8">
        <v>9.2374999999999998E-4</v>
      </c>
      <c r="I366" s="17">
        <f t="shared" si="96"/>
        <v>82.364498003102753</v>
      </c>
      <c r="J366" s="16">
        <v>4.5</v>
      </c>
      <c r="K366" s="7">
        <v>32.479999999999997</v>
      </c>
      <c r="L366" s="10">
        <f t="shared" si="86"/>
        <v>-2.7414580144834084</v>
      </c>
      <c r="M366" s="12"/>
      <c r="N366" s="11">
        <f t="shared" si="97"/>
        <v>-91.407527013251752</v>
      </c>
    </row>
    <row r="367" spans="1:14" x14ac:dyDescent="0.3">
      <c r="A367">
        <v>1</v>
      </c>
      <c r="B367">
        <v>15</v>
      </c>
      <c r="C367">
        <v>1</v>
      </c>
      <c r="D367" s="16">
        <v>2.5</v>
      </c>
      <c r="E367" s="9">
        <v>7.7104226310000001</v>
      </c>
      <c r="F367" s="7">
        <f t="shared" si="95"/>
        <v>3.2423644197513508</v>
      </c>
      <c r="G367" s="6">
        <v>6.5609999999999999</v>
      </c>
      <c r="H367" s="8">
        <v>6.6530699999999996E-3</v>
      </c>
      <c r="I367" s="17">
        <f>F367/((E367*10^-4)/(G367*10^-2)*9.81)^(1/2)</f>
        <v>9.5493376227768945</v>
      </c>
      <c r="J367" s="16">
        <v>4.5</v>
      </c>
      <c r="K367" s="7">
        <v>0</v>
      </c>
      <c r="L367" s="10">
        <f t="shared" si="86"/>
        <v>18.841900017558999</v>
      </c>
      <c r="M367" s="12"/>
      <c r="N367" s="11">
        <f>-(1.7*K367^2)/19.62</f>
        <v>0</v>
      </c>
    </row>
    <row r="368" spans="1:14" x14ac:dyDescent="0.3">
      <c r="A368">
        <v>1</v>
      </c>
      <c r="B368">
        <v>15</v>
      </c>
      <c r="C368">
        <v>1</v>
      </c>
      <c r="D368" s="16">
        <v>5</v>
      </c>
      <c r="E368" s="9">
        <v>7.7104226310000001</v>
      </c>
      <c r="F368" s="7">
        <f t="shared" si="95"/>
        <v>6.4847288395027016</v>
      </c>
      <c r="G368" s="6">
        <v>6.5609999999999999</v>
      </c>
      <c r="H368" s="8">
        <v>6.6530699999999996E-3</v>
      </c>
      <c r="I368" s="17">
        <f t="shared" ref="I368:I373" si="98">F368/((E368*10^-4)/(G368*10^-2)*9.81)^(1/2)</f>
        <v>19.098675245553789</v>
      </c>
      <c r="J368" s="16">
        <v>4.5</v>
      </c>
      <c r="K368" s="7">
        <v>1.57</v>
      </c>
      <c r="L368" s="10">
        <f t="shared" si="86"/>
        <v>4.6108279225671698</v>
      </c>
      <c r="M368" s="12"/>
      <c r="N368" s="11">
        <f t="shared" ref="N368:N373" si="99">-(1.7*K368^2)/19.62</f>
        <v>-0.2135744138634047</v>
      </c>
    </row>
    <row r="369" spans="1:14" x14ac:dyDescent="0.3">
      <c r="A369">
        <v>1</v>
      </c>
      <c r="B369">
        <v>15</v>
      </c>
      <c r="C369">
        <v>1</v>
      </c>
      <c r="D369" s="16">
        <v>7.5</v>
      </c>
      <c r="E369" s="9">
        <v>7.7104226310000001</v>
      </c>
      <c r="F369" s="7">
        <f t="shared" si="95"/>
        <v>9.7270932592540529</v>
      </c>
      <c r="G369" s="6">
        <v>6.5609999999999999</v>
      </c>
      <c r="H369" s="8">
        <v>6.6530699999999996E-3</v>
      </c>
      <c r="I369" s="17">
        <f t="shared" si="98"/>
        <v>28.648012868330682</v>
      </c>
      <c r="J369" s="16">
        <v>4.5</v>
      </c>
      <c r="K369" s="7">
        <v>3.5</v>
      </c>
      <c r="L369" s="10">
        <f t="shared" si="86"/>
        <v>1.873445050462935</v>
      </c>
      <c r="M369" s="12"/>
      <c r="N369" s="11">
        <f t="shared" si="99"/>
        <v>-1.0614169215086646</v>
      </c>
    </row>
    <row r="370" spans="1:14" x14ac:dyDescent="0.3">
      <c r="A370">
        <v>1</v>
      </c>
      <c r="B370">
        <v>15</v>
      </c>
      <c r="C370">
        <v>1</v>
      </c>
      <c r="D370" s="16">
        <v>10</v>
      </c>
      <c r="E370" s="9">
        <v>7.7104226310000001</v>
      </c>
      <c r="F370" s="7">
        <f t="shared" si="95"/>
        <v>12.969457679005403</v>
      </c>
      <c r="G370" s="6">
        <v>6.5609999999999999</v>
      </c>
      <c r="H370" s="8">
        <v>6.6530699999999996E-3</v>
      </c>
      <c r="I370" s="17">
        <f t="shared" si="98"/>
        <v>38.197350491107578</v>
      </c>
      <c r="J370" s="16">
        <v>4.5</v>
      </c>
      <c r="K370" s="7">
        <v>7.27</v>
      </c>
      <c r="L370" s="10">
        <f t="shared" si="86"/>
        <v>0.64345537217125437</v>
      </c>
      <c r="M370" s="12"/>
      <c r="N370" s="11">
        <f t="shared" si="99"/>
        <v>-4.579507135575942</v>
      </c>
    </row>
    <row r="371" spans="1:14" x14ac:dyDescent="0.3">
      <c r="A371">
        <v>1</v>
      </c>
      <c r="B371">
        <v>15</v>
      </c>
      <c r="C371">
        <v>1</v>
      </c>
      <c r="D371" s="16">
        <v>12.5</v>
      </c>
      <c r="E371" s="9">
        <v>7.7104226310000001</v>
      </c>
      <c r="F371" s="7">
        <f t="shared" si="95"/>
        <v>16.211822098756755</v>
      </c>
      <c r="G371" s="6">
        <v>6.5609999999999999</v>
      </c>
      <c r="H371" s="8">
        <v>6.6530699999999996E-3</v>
      </c>
      <c r="I371" s="17">
        <f t="shared" si="98"/>
        <v>47.746688113884474</v>
      </c>
      <c r="J371" s="16">
        <v>4.5</v>
      </c>
      <c r="K371" s="7">
        <v>9.9499999999999993</v>
      </c>
      <c r="L371" s="10">
        <f t="shared" si="86"/>
        <v>0.11330534270309718</v>
      </c>
      <c r="M371" s="12"/>
      <c r="N371" s="11">
        <f t="shared" si="99"/>
        <v>-8.578198267074411</v>
      </c>
    </row>
    <row r="372" spans="1:14" x14ac:dyDescent="0.3">
      <c r="A372">
        <v>1</v>
      </c>
      <c r="B372">
        <v>15</v>
      </c>
      <c r="C372">
        <v>1</v>
      </c>
      <c r="D372" s="16">
        <v>15</v>
      </c>
      <c r="E372" s="9">
        <v>7.7104226310000001</v>
      </c>
      <c r="F372" s="7">
        <f t="shared" si="95"/>
        <v>19.454186518508106</v>
      </c>
      <c r="G372" s="6">
        <v>6.5609999999999999</v>
      </c>
      <c r="H372" s="8">
        <v>6.6530699999999996E-3</v>
      </c>
      <c r="I372" s="17">
        <f t="shared" si="98"/>
        <v>57.296025736661363</v>
      </c>
      <c r="J372" s="16">
        <v>4.5</v>
      </c>
      <c r="K372" s="7">
        <v>14.8</v>
      </c>
      <c r="L372" s="10">
        <f t="shared" si="86"/>
        <v>-0.46050310646352338</v>
      </c>
      <c r="M372" s="12"/>
      <c r="N372" s="11">
        <f t="shared" si="99"/>
        <v>-18.979001019367992</v>
      </c>
    </row>
    <row r="373" spans="1:14" x14ac:dyDescent="0.3">
      <c r="A373">
        <v>1</v>
      </c>
      <c r="B373">
        <v>15</v>
      </c>
      <c r="C373">
        <v>1</v>
      </c>
      <c r="D373" s="16">
        <v>17.7</v>
      </c>
      <c r="E373" s="9">
        <v>7.7104226310000001</v>
      </c>
      <c r="F373" s="7">
        <f t="shared" si="95"/>
        <v>22.955940091839565</v>
      </c>
      <c r="G373" s="6">
        <v>6.5609999999999999</v>
      </c>
      <c r="H373" s="8">
        <v>6.6530699999999996E-3</v>
      </c>
      <c r="I373" s="17">
        <f t="shared" si="98"/>
        <v>67.609310369260413</v>
      </c>
      <c r="J373" s="16">
        <v>4.5</v>
      </c>
      <c r="K373" s="7">
        <v>20.21</v>
      </c>
      <c r="L373" s="10">
        <f t="shared" si="86"/>
        <v>-0.94173589887161868</v>
      </c>
      <c r="M373" s="12"/>
      <c r="N373" s="11">
        <f t="shared" si="99"/>
        <v>-35.390161569826709</v>
      </c>
    </row>
    <row r="374" spans="1:14" x14ac:dyDescent="0.3">
      <c r="A374">
        <v>1</v>
      </c>
      <c r="B374">
        <v>15</v>
      </c>
      <c r="C374">
        <v>2</v>
      </c>
      <c r="D374" s="16">
        <v>2.5</v>
      </c>
      <c r="E374" s="9">
        <v>7.7104226310000001</v>
      </c>
      <c r="F374" s="7">
        <f t="shared" si="95"/>
        <v>3.2423644197513508</v>
      </c>
      <c r="G374" s="6">
        <v>6.5609999999999999</v>
      </c>
      <c r="H374" s="8">
        <v>3.3265399999999998E-3</v>
      </c>
      <c r="I374" s="17">
        <f>F374/((E374*10^-4)/(G374*10^-2)*9.81)^(1/2)</f>
        <v>9.5493376227768945</v>
      </c>
      <c r="J374" s="16">
        <v>4.5</v>
      </c>
      <c r="K374" s="7">
        <v>0.43</v>
      </c>
      <c r="L374" s="10">
        <f t="shared" si="86"/>
        <v>18.812000637577668</v>
      </c>
      <c r="M374" s="12"/>
      <c r="N374" s="11">
        <f>-(1.7*K374^2)/19.62</f>
        <v>-1.6020897043832819E-2</v>
      </c>
    </row>
    <row r="375" spans="1:14" x14ac:dyDescent="0.3">
      <c r="A375">
        <v>1</v>
      </c>
      <c r="B375">
        <v>15</v>
      </c>
      <c r="C375">
        <v>2</v>
      </c>
      <c r="D375" s="16">
        <v>5</v>
      </c>
      <c r="E375" s="9">
        <v>7.7104226310000001</v>
      </c>
      <c r="F375" s="7">
        <f t="shared" si="95"/>
        <v>6.4847288395027016</v>
      </c>
      <c r="G375" s="6">
        <v>6.5609999999999999</v>
      </c>
      <c r="H375" s="8">
        <v>3.3265399999999998E-3</v>
      </c>
      <c r="I375" s="17">
        <f t="shared" ref="I375:I380" si="100">F375/((E375*10^-4)/(G375*10^-2)*9.81)^(1/2)</f>
        <v>19.098675245553789</v>
      </c>
      <c r="J375" s="16">
        <v>4.5</v>
      </c>
      <c r="K375" s="7">
        <v>4.1500000000000004</v>
      </c>
      <c r="L375" s="10">
        <f t="shared" si="86"/>
        <v>4.014230991776917</v>
      </c>
      <c r="M375" s="12"/>
      <c r="N375" s="11">
        <f t="shared" ref="N375:N380" si="101">-(1.7*K375^2)/19.62</f>
        <v>-1.4922655453618758</v>
      </c>
    </row>
    <row r="376" spans="1:14" x14ac:dyDescent="0.3">
      <c r="A376">
        <v>1</v>
      </c>
      <c r="B376">
        <v>15</v>
      </c>
      <c r="C376">
        <v>2</v>
      </c>
      <c r="D376" s="16">
        <v>7.5</v>
      </c>
      <c r="E376" s="9">
        <v>7.7104226310000001</v>
      </c>
      <c r="F376" s="7">
        <f t="shared" si="95"/>
        <v>9.7270932592540529</v>
      </c>
      <c r="G376" s="6">
        <v>6.5609999999999999</v>
      </c>
      <c r="H376" s="8">
        <v>3.3265399999999998E-3</v>
      </c>
      <c r="I376" s="17">
        <f t="shared" si="100"/>
        <v>28.648012868330682</v>
      </c>
      <c r="J376" s="16">
        <v>4.5</v>
      </c>
      <c r="K376" s="7">
        <v>11.26</v>
      </c>
      <c r="L376" s="10">
        <f t="shared" si="86"/>
        <v>-0.1844860982357896</v>
      </c>
      <c r="M376" s="12"/>
      <c r="N376" s="11">
        <f t="shared" si="101"/>
        <v>-10.985673802242609</v>
      </c>
    </row>
    <row r="377" spans="1:14" x14ac:dyDescent="0.3">
      <c r="A377">
        <v>1</v>
      </c>
      <c r="B377">
        <v>15</v>
      </c>
      <c r="C377">
        <v>2</v>
      </c>
      <c r="D377" s="16">
        <v>10</v>
      </c>
      <c r="E377" s="9">
        <v>7.7104226310000001</v>
      </c>
      <c r="F377" s="7">
        <f t="shared" si="95"/>
        <v>12.969457679005403</v>
      </c>
      <c r="G377" s="6">
        <v>6.5609999999999999</v>
      </c>
      <c r="H377" s="8">
        <v>3.3265399999999998E-3</v>
      </c>
      <c r="I377" s="17">
        <f t="shared" si="100"/>
        <v>38.197350491107578</v>
      </c>
      <c r="J377" s="16">
        <v>4.5</v>
      </c>
      <c r="K377" s="7">
        <v>17.73</v>
      </c>
      <c r="L377" s="10">
        <f t="shared" si="86"/>
        <v>-1.9994218131714023</v>
      </c>
      <c r="M377" s="12"/>
      <c r="N377" s="11">
        <f t="shared" si="101"/>
        <v>-27.237509174311928</v>
      </c>
    </row>
    <row r="378" spans="1:14" x14ac:dyDescent="0.3">
      <c r="A378">
        <v>1</v>
      </c>
      <c r="B378">
        <v>15</v>
      </c>
      <c r="C378">
        <v>2</v>
      </c>
      <c r="D378" s="16">
        <v>12.5</v>
      </c>
      <c r="E378" s="9">
        <v>7.7104226310000001</v>
      </c>
      <c r="F378" s="7">
        <f t="shared" si="95"/>
        <v>16.211822098756755</v>
      </c>
      <c r="G378" s="6">
        <v>6.5609999999999999</v>
      </c>
      <c r="H378" s="8">
        <v>3.3265399999999998E-3</v>
      </c>
      <c r="I378" s="17">
        <f t="shared" si="100"/>
        <v>47.746688113884474</v>
      </c>
      <c r="J378" s="16">
        <v>4.5</v>
      </c>
      <c r="K378" s="7">
        <v>21.76</v>
      </c>
      <c r="L378" s="10">
        <f t="shared" si="86"/>
        <v>-2.3090140290753913</v>
      </c>
      <c r="M378" s="12"/>
      <c r="N378" s="11">
        <f t="shared" si="101"/>
        <v>-41.026805300713562</v>
      </c>
    </row>
    <row r="379" spans="1:14" x14ac:dyDescent="0.3">
      <c r="A379">
        <v>1</v>
      </c>
      <c r="B379">
        <v>15</v>
      </c>
      <c r="C379">
        <v>2</v>
      </c>
      <c r="D379" s="16">
        <v>15</v>
      </c>
      <c r="E379" s="9">
        <v>7.7104226310000001</v>
      </c>
      <c r="F379" s="7">
        <f t="shared" si="95"/>
        <v>19.454186518508106</v>
      </c>
      <c r="G379" s="6">
        <v>6.5609999999999999</v>
      </c>
      <c r="H379" s="8">
        <v>3.3265399999999998E-3</v>
      </c>
      <c r="I379" s="17">
        <f t="shared" si="100"/>
        <v>57.296025736661363</v>
      </c>
      <c r="J379" s="16">
        <v>4.5</v>
      </c>
      <c r="K379" s="7">
        <v>26.36</v>
      </c>
      <c r="L379" s="10">
        <f t="shared" si="86"/>
        <v>-2.597756280726562</v>
      </c>
      <c r="M379" s="12"/>
      <c r="N379" s="11">
        <f t="shared" si="101"/>
        <v>-60.206132517838938</v>
      </c>
    </row>
    <row r="380" spans="1:14" x14ac:dyDescent="0.3">
      <c r="A380">
        <v>1</v>
      </c>
      <c r="B380">
        <v>15</v>
      </c>
      <c r="C380">
        <v>2</v>
      </c>
      <c r="D380" s="16">
        <v>17.7</v>
      </c>
      <c r="E380" s="9">
        <v>7.7104226310000001</v>
      </c>
      <c r="F380" s="7">
        <f t="shared" si="95"/>
        <v>22.955940091839565</v>
      </c>
      <c r="G380" s="6">
        <v>6.5609999999999999</v>
      </c>
      <c r="H380" s="8">
        <v>3.3265399999999998E-3</v>
      </c>
      <c r="I380" s="17">
        <f t="shared" si="100"/>
        <v>67.609310369260413</v>
      </c>
      <c r="J380" s="16">
        <v>4.5</v>
      </c>
      <c r="K380" s="7">
        <v>33.229999999999997</v>
      </c>
      <c r="L380" s="10">
        <f t="shared" si="86"/>
        <v>-3.1863215881909763</v>
      </c>
      <c r="M380" s="12"/>
      <c r="N380" s="11">
        <f t="shared" si="101"/>
        <v>-95.677672273190581</v>
      </c>
    </row>
    <row r="381" spans="1:14" x14ac:dyDescent="0.3">
      <c r="A381">
        <v>1</v>
      </c>
      <c r="B381">
        <v>15</v>
      </c>
      <c r="C381">
        <v>4</v>
      </c>
      <c r="D381" s="16">
        <v>2.5</v>
      </c>
      <c r="E381" s="9">
        <v>7.7104226310000001</v>
      </c>
      <c r="F381" s="7">
        <f t="shared" si="95"/>
        <v>3.2423644197513508</v>
      </c>
      <c r="G381" s="6">
        <v>6.5609999999999999</v>
      </c>
      <c r="H381" s="8">
        <v>1.6632699999999999E-3</v>
      </c>
      <c r="I381" s="17">
        <f>F381/((E381*10^-4)/(G381*10^-2)*9.81)^(1/2)</f>
        <v>9.5493376227768945</v>
      </c>
      <c r="J381" s="16">
        <v>4.5</v>
      </c>
      <c r="K381" s="7">
        <v>0.71</v>
      </c>
      <c r="L381" s="10">
        <f t="shared" si="86"/>
        <v>18.760384184954408</v>
      </c>
      <c r="M381" s="12"/>
      <c r="N381" s="11">
        <f>-(1.7*K381^2)/19.62</f>
        <v>-4.3678389398572881E-2</v>
      </c>
    </row>
    <row r="382" spans="1:14" x14ac:dyDescent="0.3">
      <c r="A382">
        <v>1</v>
      </c>
      <c r="B382">
        <v>15</v>
      </c>
      <c r="C382">
        <v>4</v>
      </c>
      <c r="D382" s="16">
        <v>5</v>
      </c>
      <c r="E382" s="9">
        <v>7.7104226310000001</v>
      </c>
      <c r="F382" s="7">
        <f t="shared" si="95"/>
        <v>6.4847288395027016</v>
      </c>
      <c r="G382" s="6">
        <v>6.5609999999999999</v>
      </c>
      <c r="H382" s="8">
        <v>1.6632699999999999E-3</v>
      </c>
      <c r="I382" s="17">
        <f t="shared" ref="I382:I387" si="102">F382/((E382*10^-4)/(G382*10^-2)*9.81)^(1/2)</f>
        <v>19.098675245553789</v>
      </c>
      <c r="J382" s="16">
        <v>4.5</v>
      </c>
      <c r="K382" s="7">
        <v>4.3499999999999996</v>
      </c>
      <c r="L382" s="10">
        <f t="shared" si="86"/>
        <v>3.9455060783530933</v>
      </c>
      <c r="M382" s="12"/>
      <c r="N382" s="11">
        <f t="shared" ref="N382:N387" si="103">-(1.7*K382^2)/19.62</f>
        <v>-1.6395642201834859</v>
      </c>
    </row>
    <row r="383" spans="1:14" x14ac:dyDescent="0.3">
      <c r="A383">
        <v>1</v>
      </c>
      <c r="B383">
        <v>15</v>
      </c>
      <c r="C383">
        <v>4</v>
      </c>
      <c r="D383" s="16">
        <v>7.5</v>
      </c>
      <c r="E383" s="9">
        <v>7.7104226310000001</v>
      </c>
      <c r="F383" s="7">
        <f t="shared" si="95"/>
        <v>9.7270932592540529</v>
      </c>
      <c r="G383" s="6">
        <v>6.5609999999999999</v>
      </c>
      <c r="H383" s="8">
        <v>1.6632699999999999E-3</v>
      </c>
      <c r="I383" s="17">
        <f t="shared" si="102"/>
        <v>28.648012868330682</v>
      </c>
      <c r="J383" s="16">
        <v>4.5</v>
      </c>
      <c r="K383" s="7">
        <v>11.52</v>
      </c>
      <c r="L383" s="10">
        <f t="shared" si="86"/>
        <v>-0.29090280862183587</v>
      </c>
      <c r="M383" s="12"/>
      <c r="N383" s="11">
        <f t="shared" si="103"/>
        <v>-11.4988623853211</v>
      </c>
    </row>
    <row r="384" spans="1:14" x14ac:dyDescent="0.3">
      <c r="A384">
        <v>1</v>
      </c>
      <c r="B384">
        <v>15</v>
      </c>
      <c r="C384">
        <v>4</v>
      </c>
      <c r="D384" s="16">
        <v>10</v>
      </c>
      <c r="E384" s="9">
        <v>7.7104226310000001</v>
      </c>
      <c r="F384" s="7">
        <f t="shared" si="95"/>
        <v>12.969457679005403</v>
      </c>
      <c r="G384" s="6">
        <v>6.5609999999999999</v>
      </c>
      <c r="H384" s="8">
        <v>1.6632699999999999E-3</v>
      </c>
      <c r="I384" s="17">
        <f t="shared" si="102"/>
        <v>38.197350491107578</v>
      </c>
      <c r="J384" s="16">
        <v>4.5</v>
      </c>
      <c r="K384" s="7">
        <v>16.3</v>
      </c>
      <c r="L384" s="10">
        <f t="shared" si="86"/>
        <v>-1.5076051088401929</v>
      </c>
      <c r="M384" s="12"/>
      <c r="N384" s="11">
        <f t="shared" si="103"/>
        <v>-23.0210499490316</v>
      </c>
    </row>
    <row r="385" spans="1:14" x14ac:dyDescent="0.3">
      <c r="A385">
        <v>1</v>
      </c>
      <c r="B385">
        <v>15</v>
      </c>
      <c r="C385">
        <v>4</v>
      </c>
      <c r="D385" s="16">
        <v>12.5</v>
      </c>
      <c r="E385" s="9">
        <v>7.7104226310000001</v>
      </c>
      <c r="F385" s="7">
        <f t="shared" si="95"/>
        <v>16.211822098756755</v>
      </c>
      <c r="G385" s="6">
        <v>6.5609999999999999</v>
      </c>
      <c r="H385" s="8">
        <v>1.6632699999999999E-3</v>
      </c>
      <c r="I385" s="17">
        <f t="shared" si="102"/>
        <v>47.746688113884474</v>
      </c>
      <c r="J385" s="16">
        <v>4.5</v>
      </c>
      <c r="K385" s="7">
        <v>22.25</v>
      </c>
      <c r="L385" s="10">
        <f t="shared" si="86"/>
        <v>-2.4485007006512429</v>
      </c>
      <c r="M385" s="12"/>
      <c r="N385" s="11">
        <f t="shared" si="103"/>
        <v>-42.895323649337406</v>
      </c>
    </row>
    <row r="386" spans="1:14" x14ac:dyDescent="0.3">
      <c r="A386">
        <v>1</v>
      </c>
      <c r="B386">
        <v>15</v>
      </c>
      <c r="C386">
        <v>4</v>
      </c>
      <c r="D386" s="16">
        <v>15</v>
      </c>
      <c r="E386" s="9">
        <v>7.7104226310000001</v>
      </c>
      <c r="F386" s="7">
        <f t="shared" si="95"/>
        <v>19.454186518508106</v>
      </c>
      <c r="G386" s="6">
        <v>6.5609999999999999</v>
      </c>
      <c r="H386" s="8">
        <v>1.6632699999999999E-3</v>
      </c>
      <c r="I386" s="17">
        <f t="shared" si="102"/>
        <v>57.296025736661363</v>
      </c>
      <c r="J386" s="16">
        <v>4.5</v>
      </c>
      <c r="K386" s="7">
        <v>26.86</v>
      </c>
      <c r="L386" s="10">
        <f t="shared" si="86"/>
        <v>-2.7172837281911346</v>
      </c>
      <c r="M386" s="12"/>
      <c r="N386" s="11">
        <f t="shared" si="103"/>
        <v>-62.511790010193678</v>
      </c>
    </row>
    <row r="387" spans="1:14" x14ac:dyDescent="0.3">
      <c r="A387">
        <v>1</v>
      </c>
      <c r="B387">
        <v>15</v>
      </c>
      <c r="C387">
        <v>4</v>
      </c>
      <c r="D387" s="16">
        <v>17.7</v>
      </c>
      <c r="E387" s="9">
        <v>7.7104226310000001</v>
      </c>
      <c r="F387" s="7">
        <f t="shared" si="95"/>
        <v>22.955940091839565</v>
      </c>
      <c r="G387" s="6">
        <v>6.5609999999999999</v>
      </c>
      <c r="H387" s="8">
        <v>1.6632699999999999E-3</v>
      </c>
      <c r="I387" s="17">
        <f t="shared" si="102"/>
        <v>67.609310369260413</v>
      </c>
      <c r="J387" s="16">
        <v>4.5</v>
      </c>
      <c r="K387" s="7">
        <v>33.119999999999997</v>
      </c>
      <c r="L387" s="10">
        <f t="shared" ref="L387:L450" si="104">(10.33+N387-0.234)/((F387^2)/19.62)</f>
        <v>-3.1627769311722136</v>
      </c>
      <c r="M387" s="12"/>
      <c r="N387" s="11">
        <f t="shared" si="103"/>
        <v>-95.045284403669712</v>
      </c>
    </row>
    <row r="388" spans="1:14" x14ac:dyDescent="0.3">
      <c r="A388">
        <v>1</v>
      </c>
      <c r="B388">
        <v>15</v>
      </c>
      <c r="C388">
        <v>6</v>
      </c>
      <c r="D388" s="16">
        <v>2.5</v>
      </c>
      <c r="E388" s="9">
        <v>7.7104226310000001</v>
      </c>
      <c r="F388" s="7">
        <f t="shared" si="95"/>
        <v>3.2423644197513508</v>
      </c>
      <c r="G388" s="6">
        <v>6.5609999999999999</v>
      </c>
      <c r="H388" s="8">
        <v>1.10885E-3</v>
      </c>
      <c r="I388" s="17">
        <f>F388/((E388*10^-4)/(G388*10^-2)*9.81)^(1/2)</f>
        <v>9.5493376227768945</v>
      </c>
      <c r="J388" s="16">
        <v>4.5</v>
      </c>
      <c r="K388" s="7">
        <v>0.8</v>
      </c>
      <c r="L388" s="10">
        <f t="shared" si="104"/>
        <v>18.738408383226652</v>
      </c>
      <c r="M388" s="12"/>
      <c r="N388" s="11">
        <f>-(1.7*K388^2)/19.62</f>
        <v>-5.5453618756371052E-2</v>
      </c>
    </row>
    <row r="389" spans="1:14" x14ac:dyDescent="0.3">
      <c r="A389">
        <v>1</v>
      </c>
      <c r="B389">
        <v>15</v>
      </c>
      <c r="C389">
        <v>6</v>
      </c>
      <c r="D389" s="16">
        <v>5</v>
      </c>
      <c r="E389" s="9">
        <v>7.7104226310000001</v>
      </c>
      <c r="F389" s="7">
        <f t="shared" si="95"/>
        <v>6.4847288395027016</v>
      </c>
      <c r="G389" s="6">
        <v>6.5609999999999999</v>
      </c>
      <c r="H389" s="8">
        <v>1.10885E-3</v>
      </c>
      <c r="I389" s="17">
        <f t="shared" ref="I389:I394" si="105">F389/((E389*10^-4)/(G389*10^-2)*9.81)^(1/2)</f>
        <v>19.098675245553789</v>
      </c>
      <c r="J389" s="16">
        <v>4.5</v>
      </c>
      <c r="K389" s="7">
        <v>3.68</v>
      </c>
      <c r="L389" s="10">
        <f t="shared" si="104"/>
        <v>4.1630042587716325</v>
      </c>
      <c r="M389" s="12"/>
      <c r="N389" s="11">
        <f t="shared" ref="N389:N394" si="106">-(1.7*K389^2)/19.62</f>
        <v>-1.1733985728848113</v>
      </c>
    </row>
    <row r="390" spans="1:14" x14ac:dyDescent="0.3">
      <c r="A390">
        <v>1</v>
      </c>
      <c r="B390">
        <v>15</v>
      </c>
      <c r="C390">
        <v>6</v>
      </c>
      <c r="D390" s="16">
        <v>7.5</v>
      </c>
      <c r="E390" s="9">
        <v>7.7104226310000001</v>
      </c>
      <c r="F390" s="7">
        <f t="shared" si="95"/>
        <v>9.7270932592540529</v>
      </c>
      <c r="G390" s="6">
        <v>6.5609999999999999</v>
      </c>
      <c r="H390" s="8">
        <v>1.10885E-3</v>
      </c>
      <c r="I390" s="17">
        <f t="shared" si="105"/>
        <v>28.648012868330682</v>
      </c>
      <c r="J390" s="16">
        <v>4.5</v>
      </c>
      <c r="K390" s="7">
        <v>10.66</v>
      </c>
      <c r="L390" s="10">
        <f t="shared" si="104"/>
        <v>5.1819800156402966E-2</v>
      </c>
      <c r="M390" s="12"/>
      <c r="N390" s="11">
        <f t="shared" si="106"/>
        <v>-9.8461019367991849</v>
      </c>
    </row>
    <row r="391" spans="1:14" x14ac:dyDescent="0.3">
      <c r="A391">
        <v>1</v>
      </c>
      <c r="B391">
        <v>15</v>
      </c>
      <c r="C391">
        <v>6</v>
      </c>
      <c r="D391" s="16">
        <v>10</v>
      </c>
      <c r="E391" s="9">
        <v>7.7104226310000001</v>
      </c>
      <c r="F391" s="7">
        <f t="shared" si="95"/>
        <v>12.969457679005403</v>
      </c>
      <c r="G391" s="6">
        <v>6.5609999999999999</v>
      </c>
      <c r="H391" s="8">
        <v>1.10885E-3</v>
      </c>
      <c r="I391" s="17">
        <f t="shared" si="105"/>
        <v>38.197350491107578</v>
      </c>
      <c r="J391" s="16">
        <v>4.5</v>
      </c>
      <c r="K391" s="7">
        <v>14.89</v>
      </c>
      <c r="L391" s="10">
        <f t="shared" si="104"/>
        <v>-1.0631378485370158</v>
      </c>
      <c r="M391" s="12"/>
      <c r="N391" s="11">
        <f t="shared" si="106"/>
        <v>-19.21052854230377</v>
      </c>
    </row>
    <row r="392" spans="1:14" x14ac:dyDescent="0.3">
      <c r="A392">
        <v>1</v>
      </c>
      <c r="B392">
        <v>15</v>
      </c>
      <c r="C392">
        <v>6</v>
      </c>
      <c r="D392" s="16">
        <v>12.5</v>
      </c>
      <c r="E392" s="9">
        <v>7.7104226310000001</v>
      </c>
      <c r="F392" s="7">
        <f t="shared" si="95"/>
        <v>16.211822098756755</v>
      </c>
      <c r="G392" s="6">
        <v>6.5609999999999999</v>
      </c>
      <c r="H392" s="8">
        <v>1.10885E-3</v>
      </c>
      <c r="I392" s="17">
        <f t="shared" si="105"/>
        <v>47.746688113884474</v>
      </c>
      <c r="J392" s="16">
        <v>4.5</v>
      </c>
      <c r="K392" s="7">
        <v>20.350000000000001</v>
      </c>
      <c r="L392" s="10">
        <f t="shared" si="104"/>
        <v>-1.9249623954724819</v>
      </c>
      <c r="M392" s="12"/>
      <c r="N392" s="11">
        <f t="shared" si="106"/>
        <v>-35.882173802242612</v>
      </c>
    </row>
    <row r="393" spans="1:14" x14ac:dyDescent="0.3">
      <c r="A393">
        <v>1</v>
      </c>
      <c r="B393">
        <v>15</v>
      </c>
      <c r="C393">
        <v>6</v>
      </c>
      <c r="D393" s="16">
        <v>15</v>
      </c>
      <c r="E393" s="9">
        <v>7.7104226310000001</v>
      </c>
      <c r="F393" s="7">
        <f t="shared" si="95"/>
        <v>19.454186518508106</v>
      </c>
      <c r="G393" s="6">
        <v>6.5609999999999999</v>
      </c>
      <c r="H393" s="8">
        <v>1.10885E-3</v>
      </c>
      <c r="I393" s="17">
        <f t="shared" si="105"/>
        <v>57.296025736661363</v>
      </c>
      <c r="J393" s="16">
        <v>4.5</v>
      </c>
      <c r="K393" s="7">
        <v>24.12</v>
      </c>
      <c r="L393" s="10">
        <f t="shared" si="104"/>
        <v>-2.0898423375643644</v>
      </c>
      <c r="M393" s="12"/>
      <c r="N393" s="11">
        <f t="shared" si="106"/>
        <v>-50.408587155963303</v>
      </c>
    </row>
    <row r="394" spans="1:14" x14ac:dyDescent="0.3">
      <c r="A394">
        <v>1</v>
      </c>
      <c r="B394">
        <v>15</v>
      </c>
      <c r="C394">
        <v>6</v>
      </c>
      <c r="D394" s="16">
        <v>17.600000000000001</v>
      </c>
      <c r="E394" s="9">
        <v>7.7104226310000001</v>
      </c>
      <c r="F394" s="7">
        <f t="shared" si="95"/>
        <v>22.826245515049511</v>
      </c>
      <c r="G394" s="6">
        <v>6.5609999999999999</v>
      </c>
      <c r="H394" s="8">
        <v>1.10885E-3</v>
      </c>
      <c r="I394" s="17">
        <f t="shared" si="105"/>
        <v>67.22733686434934</v>
      </c>
      <c r="J394" s="16">
        <v>4.5</v>
      </c>
      <c r="K394" s="7">
        <v>28.68</v>
      </c>
      <c r="L394" s="10">
        <f t="shared" si="104"/>
        <v>-2.3035551109759598</v>
      </c>
      <c r="M394" s="12"/>
      <c r="N394" s="11">
        <f t="shared" si="106"/>
        <v>-71.270238532110085</v>
      </c>
    </row>
    <row r="395" spans="1:14" x14ac:dyDescent="0.3">
      <c r="A395">
        <v>1</v>
      </c>
      <c r="B395">
        <v>20</v>
      </c>
      <c r="C395">
        <v>1</v>
      </c>
      <c r="D395" s="16">
        <v>2.8</v>
      </c>
      <c r="E395" s="9">
        <v>10.28056351</v>
      </c>
      <c r="F395" s="7">
        <f t="shared" si="95"/>
        <v>2.723586112061283</v>
      </c>
      <c r="G395" s="6">
        <v>7.0444000000000004</v>
      </c>
      <c r="H395" s="8">
        <v>7.5770400000000002E-3</v>
      </c>
      <c r="I395" s="17">
        <f>F395/((E395*10^-4)/(G395*10^-2)*9.81)^(1/2)</f>
        <v>7.1981377147805405</v>
      </c>
      <c r="J395" s="16">
        <v>4.5</v>
      </c>
      <c r="K395" s="7">
        <v>0</v>
      </c>
      <c r="L395" s="10">
        <f t="shared" si="104"/>
        <v>26.70337305114807</v>
      </c>
      <c r="M395" s="12"/>
      <c r="N395" s="11">
        <f>-(1.7*K395^2)/19.62</f>
        <v>0</v>
      </c>
    </row>
    <row r="396" spans="1:14" x14ac:dyDescent="0.3">
      <c r="A396">
        <v>1</v>
      </c>
      <c r="B396">
        <v>20</v>
      </c>
      <c r="C396">
        <v>1</v>
      </c>
      <c r="D396" s="16">
        <v>5.6</v>
      </c>
      <c r="E396" s="9">
        <v>10.28056351</v>
      </c>
      <c r="F396" s="7">
        <f t="shared" si="95"/>
        <v>5.447172224122566</v>
      </c>
      <c r="G396" s="6">
        <v>7.0444000000000004</v>
      </c>
      <c r="H396" s="8">
        <v>7.5770400000000002E-3</v>
      </c>
      <c r="I396" s="17">
        <f t="shared" ref="I396:I401" si="107">F396/((E396*10^-4)/(G396*10^-2)*9.81)^(1/2)</f>
        <v>14.396275429561081</v>
      </c>
      <c r="J396" s="16">
        <v>4.5</v>
      </c>
      <c r="K396" s="7">
        <v>1.37</v>
      </c>
      <c r="L396" s="10">
        <f t="shared" si="104"/>
        <v>6.5683087572720078</v>
      </c>
      <c r="M396" s="12"/>
      <c r="N396" s="11">
        <f t="shared" ref="N396:N401" si="108">-(1.7*K396^2)/19.62</f>
        <v>-0.16262640163098879</v>
      </c>
    </row>
    <row r="397" spans="1:14" x14ac:dyDescent="0.3">
      <c r="A397">
        <v>1</v>
      </c>
      <c r="B397">
        <v>20</v>
      </c>
      <c r="C397">
        <v>1</v>
      </c>
      <c r="D397" s="16">
        <v>8.4</v>
      </c>
      <c r="E397" s="9">
        <v>10.28056351</v>
      </c>
      <c r="F397" s="7">
        <f t="shared" si="95"/>
        <v>8.1707583361838498</v>
      </c>
      <c r="G397" s="6">
        <v>7.0444000000000004</v>
      </c>
      <c r="H397" s="8">
        <v>7.5770400000000002E-3</v>
      </c>
      <c r="I397" s="17">
        <f t="shared" si="107"/>
        <v>21.594413144341623</v>
      </c>
      <c r="J397" s="16">
        <v>4.5</v>
      </c>
      <c r="K397" s="7">
        <v>3.29</v>
      </c>
      <c r="L397" s="10">
        <f t="shared" si="104"/>
        <v>2.6914181135039312</v>
      </c>
      <c r="M397" s="12"/>
      <c r="N397" s="11">
        <f t="shared" si="108"/>
        <v>-0.93786799184505587</v>
      </c>
    </row>
    <row r="398" spans="1:14" x14ac:dyDescent="0.3">
      <c r="A398">
        <v>1</v>
      </c>
      <c r="B398">
        <v>20</v>
      </c>
      <c r="C398">
        <v>1</v>
      </c>
      <c r="D398" s="16">
        <v>11.2</v>
      </c>
      <c r="E398" s="9">
        <v>10.28056351</v>
      </c>
      <c r="F398" s="7">
        <f t="shared" si="95"/>
        <v>10.894344448245132</v>
      </c>
      <c r="G398" s="6">
        <v>7.0444000000000004</v>
      </c>
      <c r="H398" s="8">
        <v>7.5770400000000002E-3</v>
      </c>
      <c r="I398" s="17">
        <f t="shared" si="107"/>
        <v>28.792550859122162</v>
      </c>
      <c r="J398" s="16">
        <v>4.5</v>
      </c>
      <c r="K398" s="7">
        <v>6.4</v>
      </c>
      <c r="L398" s="10">
        <f t="shared" si="104"/>
        <v>1.0822735460107329</v>
      </c>
      <c r="M398" s="12"/>
      <c r="N398" s="11">
        <f t="shared" si="108"/>
        <v>-3.5490316004077473</v>
      </c>
    </row>
    <row r="399" spans="1:14" x14ac:dyDescent="0.3">
      <c r="A399">
        <v>1</v>
      </c>
      <c r="B399">
        <v>20</v>
      </c>
      <c r="C399">
        <v>1</v>
      </c>
      <c r="D399" s="16">
        <v>14</v>
      </c>
      <c r="E399" s="9">
        <v>10.28056351</v>
      </c>
      <c r="F399" s="7">
        <f t="shared" si="95"/>
        <v>13.617930560306414</v>
      </c>
      <c r="G399" s="6">
        <v>7.0444000000000004</v>
      </c>
      <c r="H399" s="8">
        <v>7.5770400000000002E-3</v>
      </c>
      <c r="I399" s="17">
        <f t="shared" si="107"/>
        <v>35.990688573902702</v>
      </c>
      <c r="J399" s="16">
        <v>4.5</v>
      </c>
      <c r="K399" s="7">
        <v>10.43</v>
      </c>
      <c r="L399" s="10">
        <f t="shared" si="104"/>
        <v>7.0904985107378152E-2</v>
      </c>
      <c r="M399" s="12"/>
      <c r="N399" s="11">
        <f t="shared" si="108"/>
        <v>-9.4258068297655448</v>
      </c>
    </row>
    <row r="400" spans="1:14" x14ac:dyDescent="0.3">
      <c r="A400">
        <v>1</v>
      </c>
      <c r="B400">
        <v>20</v>
      </c>
      <c r="C400">
        <v>1</v>
      </c>
      <c r="D400" s="16">
        <v>16.8</v>
      </c>
      <c r="E400" s="9">
        <v>10.28056351</v>
      </c>
      <c r="F400" s="7">
        <f t="shared" si="95"/>
        <v>16.3415166723677</v>
      </c>
      <c r="G400" s="6">
        <v>7.0444000000000004</v>
      </c>
      <c r="H400" s="8">
        <v>7.5770400000000002E-3</v>
      </c>
      <c r="I400" s="17">
        <f t="shared" si="107"/>
        <v>43.188826288683245</v>
      </c>
      <c r="J400" s="16">
        <v>4.5</v>
      </c>
      <c r="K400" s="7">
        <v>15.13</v>
      </c>
      <c r="L400" s="10">
        <f t="shared" si="104"/>
        <v>-0.71551645003308284</v>
      </c>
      <c r="M400" s="12"/>
      <c r="N400" s="11">
        <f t="shared" si="108"/>
        <v>-19.83479765545362</v>
      </c>
    </row>
    <row r="401" spans="1:14" x14ac:dyDescent="0.3">
      <c r="A401">
        <v>1</v>
      </c>
      <c r="B401">
        <v>20</v>
      </c>
      <c r="C401">
        <v>1</v>
      </c>
      <c r="D401" s="16">
        <v>20.100000000000001</v>
      </c>
      <c r="E401" s="9">
        <v>10.28056351</v>
      </c>
      <c r="F401" s="7">
        <f t="shared" si="95"/>
        <v>19.551457447297068</v>
      </c>
      <c r="G401" s="6">
        <v>7.0444000000000004</v>
      </c>
      <c r="H401" s="8">
        <v>7.5770400000000002E-3</v>
      </c>
      <c r="I401" s="17">
        <f t="shared" si="107"/>
        <v>51.672345738246023</v>
      </c>
      <c r="J401" s="16">
        <v>4.5</v>
      </c>
      <c r="K401" s="7">
        <v>21.2</v>
      </c>
      <c r="L401" s="10">
        <f t="shared" si="104"/>
        <v>-1.480576669259513</v>
      </c>
      <c r="M401" s="12"/>
      <c r="N401" s="11">
        <f t="shared" si="108"/>
        <v>-38.942303771661571</v>
      </c>
    </row>
    <row r="402" spans="1:14" x14ac:dyDescent="0.3">
      <c r="A402">
        <v>1</v>
      </c>
      <c r="B402">
        <v>20</v>
      </c>
      <c r="C402">
        <v>2</v>
      </c>
      <c r="D402" s="16">
        <v>2.8</v>
      </c>
      <c r="E402" s="9">
        <v>10.28056351</v>
      </c>
      <c r="F402" s="7">
        <f t="shared" si="95"/>
        <v>2.723586112061283</v>
      </c>
      <c r="G402" s="6">
        <v>7.0444000000000004</v>
      </c>
      <c r="H402" s="8">
        <v>3.7885200000000001E-3</v>
      </c>
      <c r="I402" s="17">
        <f>F402/((E402*10^-4)/(G402*10^-2)*9.81)^(1/2)</f>
        <v>7.1981377147805405</v>
      </c>
      <c r="J402" s="16">
        <v>4.5</v>
      </c>
      <c r="K402" s="7">
        <v>0.56999999999999995</v>
      </c>
      <c r="L402" s="10">
        <f t="shared" si="104"/>
        <v>26.628914186335184</v>
      </c>
      <c r="M402" s="12"/>
      <c r="N402" s="11">
        <f>-(1.7*K402^2)/19.62</f>
        <v>-2.8151376146788983E-2</v>
      </c>
    </row>
    <row r="403" spans="1:14" x14ac:dyDescent="0.3">
      <c r="A403">
        <v>1</v>
      </c>
      <c r="B403">
        <v>20</v>
      </c>
      <c r="C403">
        <v>2</v>
      </c>
      <c r="D403" s="16">
        <v>5.6</v>
      </c>
      <c r="E403" s="9">
        <v>10.28056351</v>
      </c>
      <c r="F403" s="7">
        <f t="shared" si="95"/>
        <v>5.447172224122566</v>
      </c>
      <c r="G403" s="6">
        <v>7.0444000000000004</v>
      </c>
      <c r="H403" s="8">
        <v>3.7885200000000001E-3</v>
      </c>
      <c r="I403" s="17">
        <f t="shared" ref="I403:I408" si="109">F403/((E403*10^-4)/(G403*10^-2)*9.81)^(1/2)</f>
        <v>14.396275429561081</v>
      </c>
      <c r="J403" s="16">
        <v>4.5</v>
      </c>
      <c r="K403" s="7">
        <v>2.5299999999999998</v>
      </c>
      <c r="L403" s="10">
        <f t="shared" si="104"/>
        <v>6.3091121549224418</v>
      </c>
      <c r="M403" s="12"/>
      <c r="N403" s="11">
        <f t="shared" ref="N403:N408" si="110">-(1.7*K403^2)/19.62</f>
        <v>-0.55461416921508655</v>
      </c>
    </row>
    <row r="404" spans="1:14" x14ac:dyDescent="0.3">
      <c r="A404">
        <v>1</v>
      </c>
      <c r="B404">
        <v>20</v>
      </c>
      <c r="C404">
        <v>2</v>
      </c>
      <c r="D404" s="16">
        <v>8.4</v>
      </c>
      <c r="E404" s="9">
        <v>10.28056351</v>
      </c>
      <c r="F404" s="7">
        <f t="shared" si="95"/>
        <v>8.1707583361838498</v>
      </c>
      <c r="G404" s="6">
        <v>7.0444000000000004</v>
      </c>
      <c r="H404" s="8">
        <v>3.7885200000000001E-3</v>
      </c>
      <c r="I404" s="17">
        <f t="shared" si="109"/>
        <v>21.594413144341623</v>
      </c>
      <c r="J404" s="16">
        <v>4.5</v>
      </c>
      <c r="K404" s="7">
        <v>5.5</v>
      </c>
      <c r="L404" s="10">
        <f t="shared" si="104"/>
        <v>2.1967597700927475</v>
      </c>
      <c r="M404" s="12"/>
      <c r="N404" s="11">
        <f t="shared" si="110"/>
        <v>-2.6210499490316002</v>
      </c>
    </row>
    <row r="405" spans="1:14" x14ac:dyDescent="0.3">
      <c r="A405">
        <v>1</v>
      </c>
      <c r="B405">
        <v>20</v>
      </c>
      <c r="C405">
        <v>2</v>
      </c>
      <c r="D405" s="16">
        <v>11.2</v>
      </c>
      <c r="E405" s="9">
        <v>10.28056351</v>
      </c>
      <c r="F405" s="7">
        <f t="shared" si="95"/>
        <v>10.894344448245132</v>
      </c>
      <c r="G405" s="6">
        <v>7.0444000000000004</v>
      </c>
      <c r="H405" s="8">
        <v>3.7885200000000001E-3</v>
      </c>
      <c r="I405" s="17">
        <f t="shared" si="109"/>
        <v>28.792550859122162</v>
      </c>
      <c r="J405" s="16">
        <v>4.5</v>
      </c>
      <c r="K405" s="7">
        <v>9.43</v>
      </c>
      <c r="L405" s="10">
        <f t="shared" si="104"/>
        <v>0.3952521538778464</v>
      </c>
      <c r="M405" s="12"/>
      <c r="N405" s="11">
        <f t="shared" si="110"/>
        <v>-7.7050117227319053</v>
      </c>
    </row>
    <row r="406" spans="1:14" x14ac:dyDescent="0.3">
      <c r="A406">
        <v>1</v>
      </c>
      <c r="B406">
        <v>20</v>
      </c>
      <c r="C406">
        <v>2</v>
      </c>
      <c r="D406" s="16">
        <v>14</v>
      </c>
      <c r="E406" s="9">
        <v>10.28056351</v>
      </c>
      <c r="F406" s="7">
        <f t="shared" si="95"/>
        <v>13.617930560306414</v>
      </c>
      <c r="G406" s="6">
        <v>7.0444000000000004</v>
      </c>
      <c r="H406" s="8">
        <v>3.7885200000000001E-3</v>
      </c>
      <c r="I406" s="17">
        <f t="shared" si="109"/>
        <v>35.990688573902702</v>
      </c>
      <c r="J406" s="16">
        <v>4.5</v>
      </c>
      <c r="K406" s="7">
        <v>15.79</v>
      </c>
      <c r="L406" s="10">
        <f t="shared" si="104"/>
        <v>-1.2174162575778982</v>
      </c>
      <c r="M406" s="12"/>
      <c r="N406" s="11">
        <f t="shared" si="110"/>
        <v>-21.603005606523951</v>
      </c>
    </row>
    <row r="407" spans="1:14" x14ac:dyDescent="0.3">
      <c r="A407">
        <v>1</v>
      </c>
      <c r="B407">
        <v>20</v>
      </c>
      <c r="C407">
        <v>2</v>
      </c>
      <c r="D407" s="16">
        <v>16.8</v>
      </c>
      <c r="E407" s="9">
        <v>10.28056351</v>
      </c>
      <c r="F407" s="7">
        <f t="shared" si="95"/>
        <v>16.3415166723677</v>
      </c>
      <c r="G407" s="6">
        <v>7.0444000000000004</v>
      </c>
      <c r="H407" s="8">
        <v>3.7885200000000001E-3</v>
      </c>
      <c r="I407" s="17">
        <f t="shared" si="109"/>
        <v>43.188826288683245</v>
      </c>
      <c r="J407" s="16">
        <v>4.5</v>
      </c>
      <c r="K407" s="7">
        <v>23.62</v>
      </c>
      <c r="L407" s="10">
        <f t="shared" si="104"/>
        <v>-2.8098391294583198</v>
      </c>
      <c r="M407" s="12"/>
      <c r="N407" s="11">
        <f t="shared" si="110"/>
        <v>-48.340340468909268</v>
      </c>
    </row>
    <row r="408" spans="1:14" x14ac:dyDescent="0.3">
      <c r="A408">
        <v>1</v>
      </c>
      <c r="B408">
        <v>20</v>
      </c>
      <c r="C408">
        <v>2</v>
      </c>
      <c r="D408" s="16">
        <v>20</v>
      </c>
      <c r="E408" s="9">
        <v>10.28056351</v>
      </c>
      <c r="F408" s="7">
        <f t="shared" si="95"/>
        <v>19.45418651472345</v>
      </c>
      <c r="G408" s="6">
        <v>7.0444000000000004</v>
      </c>
      <c r="H408" s="8">
        <v>3.7885200000000001E-3</v>
      </c>
      <c r="I408" s="17">
        <f t="shared" si="109"/>
        <v>51.41526939128957</v>
      </c>
      <c r="J408" s="16">
        <v>4.5</v>
      </c>
      <c r="K408" s="7">
        <v>30.27</v>
      </c>
      <c r="L408" s="10">
        <f t="shared" si="104"/>
        <v>-3.5923508652953644</v>
      </c>
      <c r="M408" s="12"/>
      <c r="N408" s="11">
        <f t="shared" si="110"/>
        <v>-79.391637614678885</v>
      </c>
    </row>
    <row r="409" spans="1:14" x14ac:dyDescent="0.3">
      <c r="A409">
        <v>1</v>
      </c>
      <c r="B409">
        <v>20</v>
      </c>
      <c r="C409">
        <v>4</v>
      </c>
      <c r="D409" s="16">
        <v>2.8</v>
      </c>
      <c r="E409" s="9">
        <v>10.28056351</v>
      </c>
      <c r="F409" s="7">
        <f t="shared" si="95"/>
        <v>2.723586112061283</v>
      </c>
      <c r="G409" s="6">
        <v>7.0444000000000004</v>
      </c>
      <c r="H409" s="8">
        <v>1.89426E-3</v>
      </c>
      <c r="I409" s="17">
        <f>F409/((E409*10^-4)/(G409*10^-2)*9.81)^(1/2)</f>
        <v>7.1981377147805405</v>
      </c>
      <c r="J409" s="16">
        <v>4.5</v>
      </c>
      <c r="K409" s="7">
        <v>0.65</v>
      </c>
      <c r="L409" s="10">
        <f t="shared" si="104"/>
        <v>26.606546734178405</v>
      </c>
      <c r="M409" s="12"/>
      <c r="N409" s="11">
        <f>-(1.7*K409^2)/19.62</f>
        <v>-3.6608053007135578E-2</v>
      </c>
    </row>
    <row r="410" spans="1:14" x14ac:dyDescent="0.3">
      <c r="A410">
        <v>1</v>
      </c>
      <c r="B410">
        <v>20</v>
      </c>
      <c r="C410">
        <v>4</v>
      </c>
      <c r="D410" s="16">
        <v>5.6</v>
      </c>
      <c r="E410" s="9">
        <v>10.28056351</v>
      </c>
      <c r="F410" s="7">
        <f t="shared" si="95"/>
        <v>5.447172224122566</v>
      </c>
      <c r="G410" s="6">
        <v>7.0444000000000004</v>
      </c>
      <c r="H410" s="8">
        <v>1.89426E-3</v>
      </c>
      <c r="I410" s="17">
        <f t="shared" ref="I410:I415" si="111">F410/((E410*10^-4)/(G410*10^-2)*9.81)^(1/2)</f>
        <v>14.396275429561081</v>
      </c>
      <c r="J410" s="16">
        <v>4.5</v>
      </c>
      <c r="K410" s="7">
        <v>2.66</v>
      </c>
      <c r="L410" s="10">
        <f t="shared" si="104"/>
        <v>6.2704561099168599</v>
      </c>
      <c r="M410" s="12"/>
      <c r="N410" s="11">
        <f t="shared" ref="N410:N415" si="112">-(1.7*K410^2)/19.62</f>
        <v>-0.61307441386340467</v>
      </c>
    </row>
    <row r="411" spans="1:14" x14ac:dyDescent="0.3">
      <c r="A411">
        <v>1</v>
      </c>
      <c r="B411">
        <v>20</v>
      </c>
      <c r="C411">
        <v>4</v>
      </c>
      <c r="D411" s="16">
        <v>8.4</v>
      </c>
      <c r="E411" s="9">
        <v>10.28056351</v>
      </c>
      <c r="F411" s="7">
        <f t="shared" si="95"/>
        <v>8.1707583361838498</v>
      </c>
      <c r="G411" s="6">
        <v>7.0444000000000004</v>
      </c>
      <c r="H411" s="8">
        <v>1.89426E-3</v>
      </c>
      <c r="I411" s="17">
        <f t="shared" si="111"/>
        <v>21.594413144341623</v>
      </c>
      <c r="J411" s="16">
        <v>4.5</v>
      </c>
      <c r="K411" s="7">
        <v>5.55</v>
      </c>
      <c r="L411" s="10">
        <f t="shared" si="104"/>
        <v>2.1826909889945907</v>
      </c>
      <c r="M411" s="12"/>
      <c r="N411" s="11">
        <f t="shared" si="112"/>
        <v>-2.6689220183486237</v>
      </c>
    </row>
    <row r="412" spans="1:14" x14ac:dyDescent="0.3">
      <c r="A412">
        <v>1</v>
      </c>
      <c r="B412">
        <v>20</v>
      </c>
      <c r="C412">
        <v>4</v>
      </c>
      <c r="D412" s="16">
        <v>11.2</v>
      </c>
      <c r="E412" s="9">
        <v>10.28056351</v>
      </c>
      <c r="F412" s="7">
        <f t="shared" si="95"/>
        <v>10.894344448245132</v>
      </c>
      <c r="G412" s="6">
        <v>7.0444000000000004</v>
      </c>
      <c r="H412" s="8">
        <v>1.89426E-3</v>
      </c>
      <c r="I412" s="17">
        <f t="shared" si="111"/>
        <v>28.792550859122162</v>
      </c>
      <c r="J412" s="16">
        <v>4.5</v>
      </c>
      <c r="K412" s="7">
        <v>10.31</v>
      </c>
      <c r="L412" s="10">
        <f t="shared" si="104"/>
        <v>0.14643716610514562</v>
      </c>
      <c r="M412" s="12"/>
      <c r="N412" s="11">
        <f t="shared" si="112"/>
        <v>-9.2101615698267079</v>
      </c>
    </row>
    <row r="413" spans="1:14" x14ac:dyDescent="0.3">
      <c r="A413">
        <v>1</v>
      </c>
      <c r="B413">
        <v>20</v>
      </c>
      <c r="C413">
        <v>4</v>
      </c>
      <c r="D413" s="16">
        <v>14</v>
      </c>
      <c r="E413" s="9">
        <v>10.28056351</v>
      </c>
      <c r="F413" s="7">
        <f t="shared" si="95"/>
        <v>13.617930560306414</v>
      </c>
      <c r="G413" s="6">
        <v>7.0444000000000004</v>
      </c>
      <c r="H413" s="8">
        <v>1.89426E-3</v>
      </c>
      <c r="I413" s="17">
        <f t="shared" si="111"/>
        <v>35.990688573902702</v>
      </c>
      <c r="J413" s="16">
        <v>4.5</v>
      </c>
      <c r="K413" s="7">
        <v>15.99</v>
      </c>
      <c r="L413" s="10">
        <f t="shared" si="104"/>
        <v>-1.2756816370485917</v>
      </c>
      <c r="M413" s="12"/>
      <c r="N413" s="11">
        <f t="shared" si="112"/>
        <v>-22.153729357798166</v>
      </c>
    </row>
    <row r="414" spans="1:14" x14ac:dyDescent="0.3">
      <c r="A414">
        <v>1</v>
      </c>
      <c r="B414">
        <v>20</v>
      </c>
      <c r="C414">
        <v>4</v>
      </c>
      <c r="D414" s="16">
        <v>16.8</v>
      </c>
      <c r="E414" s="9">
        <v>10.28056351</v>
      </c>
      <c r="F414" s="7">
        <f t="shared" si="95"/>
        <v>16.3415166723677</v>
      </c>
      <c r="G414" s="6">
        <v>7.0444000000000004</v>
      </c>
      <c r="H414" s="8">
        <v>1.89426E-3</v>
      </c>
      <c r="I414" s="17">
        <f t="shared" si="111"/>
        <v>43.188826288683245</v>
      </c>
      <c r="J414" s="16">
        <v>4.5</v>
      </c>
      <c r="K414" s="7">
        <v>19.77</v>
      </c>
      <c r="L414" s="10">
        <f t="shared" si="104"/>
        <v>-1.7463952445629822</v>
      </c>
      <c r="M414" s="12"/>
      <c r="N414" s="11">
        <f t="shared" si="112"/>
        <v>-33.865949541284401</v>
      </c>
    </row>
    <row r="415" spans="1:14" x14ac:dyDescent="0.3">
      <c r="A415">
        <v>1</v>
      </c>
      <c r="B415">
        <v>20</v>
      </c>
      <c r="C415">
        <v>4</v>
      </c>
      <c r="D415" s="16">
        <v>20</v>
      </c>
      <c r="E415" s="9">
        <v>10.28056351</v>
      </c>
      <c r="F415" s="7">
        <f t="shared" si="95"/>
        <v>19.45418651472345</v>
      </c>
      <c r="G415" s="6">
        <v>7.0444000000000004</v>
      </c>
      <c r="H415" s="8">
        <v>1.89426E-3</v>
      </c>
      <c r="I415" s="17">
        <f t="shared" si="111"/>
        <v>51.41526939128957</v>
      </c>
      <c r="J415" s="16">
        <v>4.5</v>
      </c>
      <c r="K415" s="7">
        <v>28.62</v>
      </c>
      <c r="L415" s="10">
        <f t="shared" si="104"/>
        <v>-3.1558870252547679</v>
      </c>
      <c r="M415" s="12"/>
      <c r="N415" s="11">
        <f t="shared" si="112"/>
        <v>-70.972348623853208</v>
      </c>
    </row>
    <row r="416" spans="1:14" x14ac:dyDescent="0.3">
      <c r="A416">
        <v>1</v>
      </c>
      <c r="B416">
        <v>20</v>
      </c>
      <c r="C416">
        <v>6</v>
      </c>
      <c r="D416" s="16">
        <v>2.8</v>
      </c>
      <c r="E416" s="9">
        <v>10.28056351</v>
      </c>
      <c r="F416" s="7">
        <f t="shared" si="95"/>
        <v>2.723586112061283</v>
      </c>
      <c r="G416" s="6">
        <v>7.0444000000000004</v>
      </c>
      <c r="H416" s="8">
        <v>1.2628400000000001E-3</v>
      </c>
      <c r="I416" s="17">
        <f>F416/((E416*10^-4)/(G416*10^-2)*9.81)^(1/2)</f>
        <v>7.1981377147805405</v>
      </c>
      <c r="J416" s="16">
        <v>4.5</v>
      </c>
      <c r="K416" s="7">
        <v>0.72</v>
      </c>
      <c r="L416" s="10">
        <f t="shared" si="104"/>
        <v>26.584568879036652</v>
      </c>
      <c r="M416" s="12"/>
      <c r="N416" s="11">
        <f>-(1.7*K416^2)/19.62</f>
        <v>-4.4917431192660548E-2</v>
      </c>
    </row>
    <row r="417" spans="1:14" x14ac:dyDescent="0.3">
      <c r="A417">
        <v>1</v>
      </c>
      <c r="B417">
        <v>20</v>
      </c>
      <c r="C417">
        <v>6</v>
      </c>
      <c r="D417" s="16">
        <v>5.6</v>
      </c>
      <c r="E417" s="9">
        <v>10.28056351</v>
      </c>
      <c r="F417" s="7">
        <f t="shared" si="95"/>
        <v>5.447172224122566</v>
      </c>
      <c r="G417" s="6">
        <v>7.0444000000000004</v>
      </c>
      <c r="H417" s="8">
        <v>1.2628400000000001E-3</v>
      </c>
      <c r="I417" s="17">
        <f t="shared" ref="I417:I422" si="113">F417/((E417*10^-4)/(G417*10^-2)*9.81)^(1/2)</f>
        <v>14.396275429561081</v>
      </c>
      <c r="J417" s="16">
        <v>4.5</v>
      </c>
      <c r="K417" s="7">
        <v>2.4500000000000002</v>
      </c>
      <c r="L417" s="10">
        <f t="shared" si="104"/>
        <v>6.3319379565086633</v>
      </c>
      <c r="M417" s="12"/>
      <c r="N417" s="11">
        <f t="shared" ref="N417:N422" si="114">-(1.7*K417^2)/19.62</f>
        <v>-0.52009429153924569</v>
      </c>
    </row>
    <row r="418" spans="1:14" x14ac:dyDescent="0.3">
      <c r="A418">
        <v>1</v>
      </c>
      <c r="B418">
        <v>20</v>
      </c>
      <c r="C418">
        <v>6</v>
      </c>
      <c r="D418" s="16">
        <v>8.4</v>
      </c>
      <c r="E418" s="9">
        <v>10.28056351</v>
      </c>
      <c r="F418" s="7">
        <f t="shared" si="95"/>
        <v>8.1707583361838498</v>
      </c>
      <c r="G418" s="6">
        <v>7.0444000000000004</v>
      </c>
      <c r="H418" s="8">
        <v>1.2628400000000001E-3</v>
      </c>
      <c r="I418" s="17">
        <f t="shared" si="113"/>
        <v>21.594413144341623</v>
      </c>
      <c r="J418" s="16">
        <v>4.5</v>
      </c>
      <c r="K418" s="7">
        <v>5.89</v>
      </c>
      <c r="L418" s="10">
        <f t="shared" si="104"/>
        <v>2.0836467700635688</v>
      </c>
      <c r="M418" s="12"/>
      <c r="N418" s="11">
        <f t="shared" si="114"/>
        <v>-3.0059413863404685</v>
      </c>
    </row>
    <row r="419" spans="1:14" x14ac:dyDescent="0.3">
      <c r="A419">
        <v>1</v>
      </c>
      <c r="B419">
        <v>20</v>
      </c>
      <c r="C419">
        <v>6</v>
      </c>
      <c r="D419" s="16">
        <v>11.2</v>
      </c>
      <c r="E419" s="9">
        <v>10.28056351</v>
      </c>
      <c r="F419" s="7">
        <f t="shared" si="95"/>
        <v>10.894344448245132</v>
      </c>
      <c r="G419" s="6">
        <v>7.0444000000000004</v>
      </c>
      <c r="H419" s="8">
        <v>1.2628400000000001E-3</v>
      </c>
      <c r="I419" s="17">
        <f t="shared" si="113"/>
        <v>28.792550859122162</v>
      </c>
      <c r="J419" s="16">
        <v>4.5</v>
      </c>
      <c r="K419" s="7">
        <v>10.08</v>
      </c>
      <c r="L419" s="10">
        <f t="shared" si="104"/>
        <v>0.21360970733186765</v>
      </c>
      <c r="M419" s="12"/>
      <c r="N419" s="11">
        <f t="shared" si="114"/>
        <v>-8.8038165137614683</v>
      </c>
    </row>
    <row r="420" spans="1:14" x14ac:dyDescent="0.3">
      <c r="A420">
        <v>1</v>
      </c>
      <c r="B420">
        <v>20</v>
      </c>
      <c r="C420">
        <v>6</v>
      </c>
      <c r="D420" s="16">
        <v>14</v>
      </c>
      <c r="E420" s="9">
        <v>10.28056351</v>
      </c>
      <c r="F420" s="7">
        <f t="shared" si="95"/>
        <v>13.617930560306414</v>
      </c>
      <c r="G420" s="6">
        <v>7.0444000000000004</v>
      </c>
      <c r="H420" s="8">
        <v>1.2628400000000001E-3</v>
      </c>
      <c r="I420" s="17">
        <f t="shared" si="113"/>
        <v>35.990688573902702</v>
      </c>
      <c r="J420" s="16">
        <v>4.5</v>
      </c>
      <c r="K420" s="7">
        <v>12.09</v>
      </c>
      <c r="L420" s="10">
        <f t="shared" si="104"/>
        <v>-0.27178638270709798</v>
      </c>
      <c r="M420" s="12"/>
      <c r="N420" s="11">
        <f t="shared" si="114"/>
        <v>-12.664922018348623</v>
      </c>
    </row>
    <row r="421" spans="1:14" x14ac:dyDescent="0.3">
      <c r="A421">
        <v>1</v>
      </c>
      <c r="B421">
        <v>20</v>
      </c>
      <c r="C421">
        <v>6</v>
      </c>
      <c r="D421" s="16">
        <v>16.8</v>
      </c>
      <c r="E421" s="9">
        <v>10.28056351</v>
      </c>
      <c r="F421" s="7">
        <f t="shared" ref="F421:F484" si="115">(D421*10^-3)/(E421*10^-4)</f>
        <v>16.3415166723677</v>
      </c>
      <c r="G421" s="6">
        <v>7.0444000000000004</v>
      </c>
      <c r="H421" s="8">
        <v>1.2628400000000001E-3</v>
      </c>
      <c r="I421" s="17">
        <f t="shared" si="113"/>
        <v>43.188826288683245</v>
      </c>
      <c r="J421" s="16">
        <v>4.5</v>
      </c>
      <c r="K421" s="7">
        <v>16.46</v>
      </c>
      <c r="L421" s="10">
        <f t="shared" si="104"/>
        <v>-0.98298053021621268</v>
      </c>
      <c r="M421" s="12"/>
      <c r="N421" s="11">
        <f t="shared" si="114"/>
        <v>-23.475215086646276</v>
      </c>
    </row>
    <row r="422" spans="1:14" x14ac:dyDescent="0.3">
      <c r="A422">
        <v>1</v>
      </c>
      <c r="B422">
        <v>20</v>
      </c>
      <c r="C422">
        <v>6</v>
      </c>
      <c r="D422" s="16">
        <v>20.100000000000001</v>
      </c>
      <c r="E422" s="9">
        <v>10.28056351</v>
      </c>
      <c r="F422" s="7">
        <f t="shared" si="115"/>
        <v>19.551457447297068</v>
      </c>
      <c r="G422" s="6">
        <v>7.0444000000000004</v>
      </c>
      <c r="H422" s="8">
        <v>1.2628400000000001E-3</v>
      </c>
      <c r="I422" s="17">
        <f t="shared" si="113"/>
        <v>51.672345738246023</v>
      </c>
      <c r="J422" s="16">
        <v>4.5</v>
      </c>
      <c r="K422" s="7">
        <v>22.51</v>
      </c>
      <c r="L422" s="10">
        <f t="shared" si="104"/>
        <v>-1.7352261232978536</v>
      </c>
      <c r="M422" s="12"/>
      <c r="N422" s="11">
        <f t="shared" si="114"/>
        <v>-43.903678389398578</v>
      </c>
    </row>
    <row r="423" spans="1:14" x14ac:dyDescent="0.3">
      <c r="A423">
        <v>1</v>
      </c>
      <c r="B423">
        <v>30</v>
      </c>
      <c r="C423">
        <v>1</v>
      </c>
      <c r="D423" s="16">
        <v>3.6</v>
      </c>
      <c r="E423" s="9">
        <v>15.42084526</v>
      </c>
      <c r="F423" s="6">
        <f t="shared" si="115"/>
        <v>2.3345023825237452</v>
      </c>
      <c r="G423" s="6">
        <v>7.6656000000000004</v>
      </c>
      <c r="H423" s="8">
        <v>9.1083599999999994E-3</v>
      </c>
      <c r="I423" s="17">
        <f>F423/((E423*10^-4)/(G423*10^-2)*9.81)^(1/2)</f>
        <v>5.255073624228574</v>
      </c>
      <c r="J423" s="16">
        <v>4.5</v>
      </c>
      <c r="K423" s="7">
        <v>0</v>
      </c>
      <c r="L423" s="10">
        <f t="shared" si="104"/>
        <v>36.346257740493073</v>
      </c>
      <c r="M423" s="12"/>
      <c r="N423" s="11">
        <f>-(1.7*K423^2)/19.62</f>
        <v>0</v>
      </c>
    </row>
    <row r="424" spans="1:14" x14ac:dyDescent="0.3">
      <c r="A424">
        <v>1</v>
      </c>
      <c r="B424">
        <v>30</v>
      </c>
      <c r="C424">
        <v>1</v>
      </c>
      <c r="D424" s="16">
        <v>7.2</v>
      </c>
      <c r="E424" s="9">
        <v>15.42084526</v>
      </c>
      <c r="F424" s="6">
        <f t="shared" si="115"/>
        <v>4.6690047650474904</v>
      </c>
      <c r="G424" s="6">
        <v>7.6656000000000004</v>
      </c>
      <c r="H424" s="8">
        <v>9.1083599999999994E-3</v>
      </c>
      <c r="I424" s="17">
        <f t="shared" ref="I424:I429" si="116">F424/((E424*10^-4)/(G424*10^-2)*9.81)^(1/2)</f>
        <v>10.510147248457148</v>
      </c>
      <c r="J424" s="16">
        <v>4.5</v>
      </c>
      <c r="K424" s="7">
        <v>1.39</v>
      </c>
      <c r="L424" s="10">
        <f t="shared" si="104"/>
        <v>8.9358933598784773</v>
      </c>
      <c r="M424" s="12"/>
      <c r="N424" s="11">
        <f t="shared" ref="N424:N429" si="117">-(1.7*K424^2)/19.62</f>
        <v>-0.16740927624872576</v>
      </c>
    </row>
    <row r="425" spans="1:14" x14ac:dyDescent="0.3">
      <c r="A425">
        <v>1</v>
      </c>
      <c r="B425">
        <v>30</v>
      </c>
      <c r="C425">
        <v>1</v>
      </c>
      <c r="D425" s="16">
        <v>10.8</v>
      </c>
      <c r="E425" s="9">
        <v>15.42084526</v>
      </c>
      <c r="F425" s="6">
        <f t="shared" si="115"/>
        <v>7.0035071475712352</v>
      </c>
      <c r="G425" s="6">
        <v>7.6656000000000004</v>
      </c>
      <c r="H425" s="8">
        <v>9.1083599999999994E-3</v>
      </c>
      <c r="I425" s="17">
        <f t="shared" si="116"/>
        <v>15.765220872685722</v>
      </c>
      <c r="J425" s="16">
        <v>4.5</v>
      </c>
      <c r="K425" s="7">
        <v>3.34</v>
      </c>
      <c r="L425" s="10">
        <f t="shared" si="104"/>
        <v>3.6518295920042991</v>
      </c>
      <c r="M425" s="12"/>
      <c r="N425" s="11">
        <f t="shared" si="117"/>
        <v>-0.96659123343527009</v>
      </c>
    </row>
    <row r="426" spans="1:14" x14ac:dyDescent="0.3">
      <c r="A426">
        <v>1</v>
      </c>
      <c r="B426">
        <v>30</v>
      </c>
      <c r="C426">
        <v>1</v>
      </c>
      <c r="D426" s="16">
        <v>14.4</v>
      </c>
      <c r="E426" s="9">
        <v>15.42084526</v>
      </c>
      <c r="F426" s="6">
        <f t="shared" si="115"/>
        <v>9.3380095300949808</v>
      </c>
      <c r="G426" s="6">
        <v>7.6656000000000004</v>
      </c>
      <c r="H426" s="8">
        <v>9.1083599999999994E-3</v>
      </c>
      <c r="I426" s="17">
        <f t="shared" si="116"/>
        <v>21.020294496914296</v>
      </c>
      <c r="J426" s="16">
        <v>4.5</v>
      </c>
      <c r="K426" s="7">
        <v>6.22</v>
      </c>
      <c r="L426" s="10">
        <f t="shared" si="104"/>
        <v>1.517381129030736</v>
      </c>
      <c r="M426" s="12"/>
      <c r="N426" s="11">
        <f t="shared" si="117"/>
        <v>-3.3522059123343517</v>
      </c>
    </row>
    <row r="427" spans="1:14" x14ac:dyDescent="0.3">
      <c r="A427">
        <v>1</v>
      </c>
      <c r="B427">
        <v>30</v>
      </c>
      <c r="C427">
        <v>1</v>
      </c>
      <c r="D427" s="16">
        <v>18</v>
      </c>
      <c r="E427" s="9">
        <v>15.42084526</v>
      </c>
      <c r="F427" s="6">
        <f t="shared" si="115"/>
        <v>11.672511912618726</v>
      </c>
      <c r="G427" s="6">
        <v>7.6656000000000004</v>
      </c>
      <c r="H427" s="8">
        <v>9.1083599999999994E-3</v>
      </c>
      <c r="I427" s="17">
        <f t="shared" si="116"/>
        <v>26.275368121142872</v>
      </c>
      <c r="J427" s="16">
        <v>4.5</v>
      </c>
      <c r="K427" s="7">
        <v>10.039999999999999</v>
      </c>
      <c r="L427" s="10">
        <f t="shared" si="104"/>
        <v>0.19611951238188197</v>
      </c>
      <c r="M427" s="12"/>
      <c r="N427" s="11">
        <f t="shared" si="117"/>
        <v>-8.7340835881753289</v>
      </c>
    </row>
    <row r="428" spans="1:14" x14ac:dyDescent="0.3">
      <c r="A428">
        <v>1</v>
      </c>
      <c r="B428">
        <v>30</v>
      </c>
      <c r="C428">
        <v>1</v>
      </c>
      <c r="D428" s="16">
        <v>21.6</v>
      </c>
      <c r="E428" s="9">
        <v>15.42084526</v>
      </c>
      <c r="F428" s="6">
        <f t="shared" si="115"/>
        <v>14.00701429514247</v>
      </c>
      <c r="G428" s="6">
        <v>7.6656000000000004</v>
      </c>
      <c r="H428" s="8">
        <v>9.1083599999999994E-3</v>
      </c>
      <c r="I428" s="17">
        <f t="shared" si="116"/>
        <v>31.530441745371444</v>
      </c>
      <c r="J428" s="16">
        <v>4.5</v>
      </c>
      <c r="K428" s="7">
        <v>14.66</v>
      </c>
      <c r="L428" s="10">
        <f t="shared" si="104"/>
        <v>-0.85257913920820116</v>
      </c>
      <c r="M428" s="12"/>
      <c r="N428" s="11">
        <f t="shared" si="117"/>
        <v>-18.621637104994903</v>
      </c>
    </row>
    <row r="429" spans="1:14" x14ac:dyDescent="0.3">
      <c r="A429">
        <v>1</v>
      </c>
      <c r="B429">
        <v>30</v>
      </c>
      <c r="C429">
        <v>1</v>
      </c>
      <c r="D429" s="16">
        <v>25.6</v>
      </c>
      <c r="E429" s="9">
        <v>15.42084526</v>
      </c>
      <c r="F429" s="6">
        <f t="shared" si="115"/>
        <v>16.600905831279963</v>
      </c>
      <c r="G429" s="6">
        <v>7.6656000000000004</v>
      </c>
      <c r="H429" s="8">
        <v>9.1083599999999994E-3</v>
      </c>
      <c r="I429" s="17">
        <f t="shared" si="116"/>
        <v>37.369412438958747</v>
      </c>
      <c r="J429" s="16">
        <v>4.5</v>
      </c>
      <c r="K429" s="7">
        <v>20.54</v>
      </c>
      <c r="L429" s="10">
        <f t="shared" si="104"/>
        <v>-1.8837115273269152</v>
      </c>
      <c r="M429" s="12"/>
      <c r="N429" s="11">
        <f t="shared" si="117"/>
        <v>-36.555337410805294</v>
      </c>
    </row>
    <row r="430" spans="1:14" x14ac:dyDescent="0.3">
      <c r="A430">
        <v>1</v>
      </c>
      <c r="B430">
        <v>30</v>
      </c>
      <c r="C430">
        <v>2</v>
      </c>
      <c r="D430" s="16">
        <v>3.6</v>
      </c>
      <c r="E430" s="9">
        <v>15.42084526</v>
      </c>
      <c r="F430" s="6">
        <f t="shared" si="115"/>
        <v>2.3345023825237452</v>
      </c>
      <c r="G430" s="6">
        <v>7.6656000000000004</v>
      </c>
      <c r="H430" s="8">
        <v>4.5541799999999997E-3</v>
      </c>
      <c r="I430" s="17">
        <f>F430/((E430*10^-4)/(G430*10^-2)*9.81)^(1/2)</f>
        <v>5.255073624228574</v>
      </c>
      <c r="J430" s="16">
        <v>4.5</v>
      </c>
      <c r="K430" s="7">
        <v>0.54</v>
      </c>
      <c r="L430" s="10">
        <f t="shared" si="104"/>
        <v>36.25529829627925</v>
      </c>
      <c r="M430" s="12"/>
      <c r="N430" s="11">
        <f>-(1.7*K430^2)/19.62</f>
        <v>-2.5266055045871563E-2</v>
      </c>
    </row>
    <row r="431" spans="1:14" x14ac:dyDescent="0.3">
      <c r="A431">
        <v>1</v>
      </c>
      <c r="B431">
        <v>30</v>
      </c>
      <c r="C431">
        <v>2</v>
      </c>
      <c r="D431" s="16">
        <v>7.2</v>
      </c>
      <c r="E431" s="9">
        <v>15.42084526</v>
      </c>
      <c r="F431" s="6">
        <f t="shared" si="115"/>
        <v>4.6690047650474904</v>
      </c>
      <c r="G431" s="6">
        <v>7.6656000000000004</v>
      </c>
      <c r="H431" s="8">
        <v>4.5541799999999997E-3</v>
      </c>
      <c r="I431" s="17">
        <f t="shared" ref="I431:I436" si="118">F431/((E431*10^-4)/(G431*10^-2)*9.81)^(1/2)</f>
        <v>10.510147248457148</v>
      </c>
      <c r="J431" s="16">
        <v>4.5</v>
      </c>
      <c r="K431" s="7">
        <v>2.02</v>
      </c>
      <c r="L431" s="10">
        <f t="shared" si="104"/>
        <v>8.7683623465000906</v>
      </c>
      <c r="M431" s="12"/>
      <c r="N431" s="11">
        <f t="shared" ref="N431:N436" si="119">-(1.7*K431^2)/19.62</f>
        <v>-0.35355147808358817</v>
      </c>
    </row>
    <row r="432" spans="1:14" x14ac:dyDescent="0.3">
      <c r="A432">
        <v>1</v>
      </c>
      <c r="B432">
        <v>30</v>
      </c>
      <c r="C432">
        <v>2</v>
      </c>
      <c r="D432" s="16">
        <v>10.8</v>
      </c>
      <c r="E432" s="9">
        <v>15.42084526</v>
      </c>
      <c r="F432" s="6">
        <f t="shared" si="115"/>
        <v>7.0035071475712352</v>
      </c>
      <c r="G432" s="6">
        <v>7.6656000000000004</v>
      </c>
      <c r="H432" s="8">
        <v>4.5541799999999997E-3</v>
      </c>
      <c r="I432" s="17">
        <f t="shared" si="118"/>
        <v>15.765220872685722</v>
      </c>
      <c r="J432" s="16">
        <v>4.5</v>
      </c>
      <c r="K432" s="7">
        <v>4.88</v>
      </c>
      <c r="L432" s="10">
        <f t="shared" si="104"/>
        <v>3.2130864840886186</v>
      </c>
      <c r="M432" s="12"/>
      <c r="N432" s="11">
        <f t="shared" si="119"/>
        <v>-2.0634291539245666</v>
      </c>
    </row>
    <row r="433" spans="1:14" x14ac:dyDescent="0.3">
      <c r="A433">
        <v>1</v>
      </c>
      <c r="B433">
        <v>30</v>
      </c>
      <c r="C433">
        <v>2</v>
      </c>
      <c r="D433" s="16">
        <v>14.4</v>
      </c>
      <c r="E433" s="9">
        <v>15.42084526</v>
      </c>
      <c r="F433" s="6">
        <f t="shared" si="115"/>
        <v>9.3380095300949808</v>
      </c>
      <c r="G433" s="6">
        <v>7.6656000000000004</v>
      </c>
      <c r="H433" s="8">
        <v>4.5541799999999997E-3</v>
      </c>
      <c r="I433" s="17">
        <f t="shared" si="118"/>
        <v>21.020294496914296</v>
      </c>
      <c r="J433" s="16">
        <v>4.5</v>
      </c>
      <c r="K433" s="7">
        <v>7.53</v>
      </c>
      <c r="L433" s="10">
        <f t="shared" si="104"/>
        <v>1.1662136502709954</v>
      </c>
      <c r="M433" s="12"/>
      <c r="N433" s="11">
        <f t="shared" si="119"/>
        <v>-4.912922018348624</v>
      </c>
    </row>
    <row r="434" spans="1:14" x14ac:dyDescent="0.3">
      <c r="A434">
        <v>1</v>
      </c>
      <c r="B434">
        <v>30</v>
      </c>
      <c r="C434">
        <v>2</v>
      </c>
      <c r="D434" s="16">
        <v>18</v>
      </c>
      <c r="E434" s="9">
        <v>15.42084526</v>
      </c>
      <c r="F434" s="6">
        <f t="shared" si="115"/>
        <v>11.672511912618726</v>
      </c>
      <c r="G434" s="6">
        <v>7.6656000000000004</v>
      </c>
      <c r="H434" s="8">
        <v>4.5541799999999997E-3</v>
      </c>
      <c r="I434" s="17">
        <f t="shared" si="118"/>
        <v>26.275368121142872</v>
      </c>
      <c r="J434" s="16">
        <v>4.5</v>
      </c>
      <c r="K434" s="7">
        <v>12.25</v>
      </c>
      <c r="L434" s="10">
        <f t="shared" si="104"/>
        <v>-0.41852302334824143</v>
      </c>
      <c r="M434" s="12"/>
      <c r="N434" s="11">
        <f t="shared" si="119"/>
        <v>-13.002357288481141</v>
      </c>
    </row>
    <row r="435" spans="1:14" x14ac:dyDescent="0.3">
      <c r="A435">
        <v>1</v>
      </c>
      <c r="B435">
        <v>30</v>
      </c>
      <c r="C435">
        <v>2</v>
      </c>
      <c r="D435" s="16">
        <v>21.6</v>
      </c>
      <c r="E435" s="9">
        <v>15.42084526</v>
      </c>
      <c r="F435" s="6">
        <f t="shared" si="115"/>
        <v>14.00701429514247</v>
      </c>
      <c r="G435" s="6">
        <v>7.6656000000000004</v>
      </c>
      <c r="H435" s="8">
        <v>4.5541799999999997E-3</v>
      </c>
      <c r="I435" s="17">
        <f t="shared" si="118"/>
        <v>31.530441745371444</v>
      </c>
      <c r="J435" s="16">
        <v>4.5</v>
      </c>
      <c r="K435" s="7">
        <v>16.510000000000002</v>
      </c>
      <c r="L435" s="10">
        <f t="shared" si="104"/>
        <v>-1.3522296184480147</v>
      </c>
      <c r="M435" s="12"/>
      <c r="N435" s="11">
        <f t="shared" si="119"/>
        <v>-23.618051478083594</v>
      </c>
    </row>
    <row r="436" spans="1:14" x14ac:dyDescent="0.3">
      <c r="A436">
        <v>1</v>
      </c>
      <c r="B436">
        <v>30</v>
      </c>
      <c r="C436">
        <v>2</v>
      </c>
      <c r="D436" s="16">
        <v>25.7</v>
      </c>
      <c r="E436" s="9">
        <v>15.42084526</v>
      </c>
      <c r="F436" s="6">
        <f t="shared" si="115"/>
        <v>16.665753119683401</v>
      </c>
      <c r="G436" s="6">
        <v>7.6656000000000004</v>
      </c>
      <c r="H436" s="8">
        <v>4.5541799999999997E-3</v>
      </c>
      <c r="I436" s="17">
        <f t="shared" si="118"/>
        <v>37.515386706298429</v>
      </c>
      <c r="J436" s="16">
        <v>4.5</v>
      </c>
      <c r="K436" s="7">
        <v>22.84</v>
      </c>
      <c r="L436" s="10">
        <f t="shared" si="104"/>
        <v>-2.4797646383302299</v>
      </c>
      <c r="M436" s="12"/>
      <c r="N436" s="11">
        <f t="shared" si="119"/>
        <v>-45.200383282364932</v>
      </c>
    </row>
    <row r="437" spans="1:14" x14ac:dyDescent="0.3">
      <c r="A437">
        <v>1</v>
      </c>
      <c r="B437">
        <v>30</v>
      </c>
      <c r="C437">
        <v>4</v>
      </c>
      <c r="D437" s="16">
        <v>3.6</v>
      </c>
      <c r="E437" s="9">
        <v>15.42084526</v>
      </c>
      <c r="F437" s="6">
        <f t="shared" si="115"/>
        <v>2.3345023825237452</v>
      </c>
      <c r="G437" s="6">
        <v>7.6656000000000004</v>
      </c>
      <c r="H437" s="8">
        <v>2.2770899999999998E-3</v>
      </c>
      <c r="I437" s="17">
        <f>F437/((E437*10^-4)/(G437*10^-2)*9.81)^(1/2)</f>
        <v>5.255073624228574</v>
      </c>
      <c r="J437" s="16">
        <v>4.5</v>
      </c>
      <c r="K437" s="7">
        <v>0.62</v>
      </c>
      <c r="L437" s="10">
        <f t="shared" si="104"/>
        <v>36.226350983443027</v>
      </c>
      <c r="M437" s="12"/>
      <c r="N437" s="11">
        <f>-(1.7*K437^2)/19.62</f>
        <v>-3.3306829765545366E-2</v>
      </c>
    </row>
    <row r="438" spans="1:14" x14ac:dyDescent="0.3">
      <c r="A438">
        <v>1</v>
      </c>
      <c r="B438">
        <v>30</v>
      </c>
      <c r="C438">
        <v>4</v>
      </c>
      <c r="D438" s="16">
        <v>7.2</v>
      </c>
      <c r="E438" s="9">
        <v>15.42084526</v>
      </c>
      <c r="F438" s="6">
        <f t="shared" si="115"/>
        <v>4.6690047650474904</v>
      </c>
      <c r="G438" s="6">
        <v>7.6656000000000004</v>
      </c>
      <c r="H438" s="8">
        <v>2.2770899999999998E-3</v>
      </c>
      <c r="I438" s="17">
        <f t="shared" ref="I438:I443" si="120">F438/((E438*10^-4)/(G438*10^-2)*9.81)^(1/2)</f>
        <v>10.510147248457148</v>
      </c>
      <c r="J438" s="16">
        <v>4.5</v>
      </c>
      <c r="K438" s="7">
        <v>2.5099999999999998</v>
      </c>
      <c r="L438" s="10">
        <f t="shared" si="104"/>
        <v>8.5952633424522347</v>
      </c>
      <c r="M438" s="12"/>
      <c r="N438" s="11">
        <f t="shared" ref="N438:N443" si="121">-(1.7*K438^2)/19.62</f>
        <v>-0.54588022426095806</v>
      </c>
    </row>
    <row r="439" spans="1:14" x14ac:dyDescent="0.3">
      <c r="A439">
        <v>1</v>
      </c>
      <c r="B439">
        <v>30</v>
      </c>
      <c r="C439">
        <v>4</v>
      </c>
      <c r="D439" s="16">
        <v>10.8</v>
      </c>
      <c r="E439" s="9">
        <v>15.42084526</v>
      </c>
      <c r="F439" s="6">
        <f t="shared" si="115"/>
        <v>7.0035071475712352</v>
      </c>
      <c r="G439" s="6">
        <v>7.6656000000000004</v>
      </c>
      <c r="H439" s="8">
        <v>2.2770899999999998E-3</v>
      </c>
      <c r="I439" s="17">
        <f t="shared" si="120"/>
        <v>15.765220872685722</v>
      </c>
      <c r="J439" s="16">
        <v>4.5</v>
      </c>
      <c r="K439" s="7">
        <v>5.92</v>
      </c>
      <c r="L439" s="10">
        <f t="shared" si="104"/>
        <v>2.8237950356014849</v>
      </c>
      <c r="M439" s="12"/>
      <c r="N439" s="11">
        <f t="shared" si="121"/>
        <v>-3.0366401630988786</v>
      </c>
    </row>
    <row r="440" spans="1:14" x14ac:dyDescent="0.3">
      <c r="A440">
        <v>1</v>
      </c>
      <c r="B440">
        <v>30</v>
      </c>
      <c r="C440">
        <v>4</v>
      </c>
      <c r="D440" s="16">
        <v>14.4</v>
      </c>
      <c r="E440" s="9">
        <v>15.42084526</v>
      </c>
      <c r="F440" s="6">
        <f t="shared" si="115"/>
        <v>9.3380095300949808</v>
      </c>
      <c r="G440" s="6">
        <v>7.6656000000000004</v>
      </c>
      <c r="H440" s="8">
        <v>2.2770899999999998E-3</v>
      </c>
      <c r="I440" s="17">
        <f t="shared" si="120"/>
        <v>21.020294496914296</v>
      </c>
      <c r="J440" s="16">
        <v>4.5</v>
      </c>
      <c r="K440" s="7">
        <v>9.7899999999999991</v>
      </c>
      <c r="L440" s="10">
        <f t="shared" si="104"/>
        <v>0.40308699630356981</v>
      </c>
      <c r="M440" s="12"/>
      <c r="N440" s="11">
        <f t="shared" si="121"/>
        <v>-8.3045346585117201</v>
      </c>
    </row>
    <row r="441" spans="1:14" x14ac:dyDescent="0.3">
      <c r="A441">
        <v>1</v>
      </c>
      <c r="B441">
        <v>30</v>
      </c>
      <c r="C441">
        <v>4</v>
      </c>
      <c r="D441" s="16">
        <v>18</v>
      </c>
      <c r="E441" s="9">
        <v>15.42084526</v>
      </c>
      <c r="F441" s="6">
        <f t="shared" si="115"/>
        <v>11.672511912618726</v>
      </c>
      <c r="G441" s="6">
        <v>7.6656000000000004</v>
      </c>
      <c r="H441" s="8">
        <v>2.2770899999999998E-3</v>
      </c>
      <c r="I441" s="17">
        <f t="shared" si="120"/>
        <v>26.275368121142872</v>
      </c>
      <c r="J441" s="16">
        <v>4.5</v>
      </c>
      <c r="K441" s="7">
        <v>12.78</v>
      </c>
      <c r="L441" s="10">
        <f t="shared" si="104"/>
        <v>-0.5840455049663652</v>
      </c>
      <c r="M441" s="12"/>
      <c r="N441" s="11">
        <f t="shared" si="121"/>
        <v>-14.151798165137613</v>
      </c>
    </row>
    <row r="442" spans="1:14" x14ac:dyDescent="0.3">
      <c r="A442">
        <v>1</v>
      </c>
      <c r="B442">
        <v>30</v>
      </c>
      <c r="C442">
        <v>4</v>
      </c>
      <c r="D442" s="16">
        <v>21.6</v>
      </c>
      <c r="E442" s="9">
        <v>15.42084526</v>
      </c>
      <c r="F442" s="6">
        <f t="shared" si="115"/>
        <v>14.00701429514247</v>
      </c>
      <c r="G442" s="6">
        <v>7.6656000000000004</v>
      </c>
      <c r="H442" s="8">
        <v>2.2770899999999998E-3</v>
      </c>
      <c r="I442" s="17">
        <f t="shared" si="120"/>
        <v>31.530441745371444</v>
      </c>
      <c r="J442" s="16">
        <v>4.5</v>
      </c>
      <c r="K442" s="7">
        <v>14.98</v>
      </c>
      <c r="L442" s="10">
        <f t="shared" si="104"/>
        <v>-0.9347628894443738</v>
      </c>
      <c r="M442" s="12"/>
      <c r="N442" s="11">
        <f t="shared" si="121"/>
        <v>-19.443459734964321</v>
      </c>
    </row>
    <row r="443" spans="1:14" x14ac:dyDescent="0.3">
      <c r="A443">
        <v>1</v>
      </c>
      <c r="B443">
        <v>30</v>
      </c>
      <c r="C443">
        <v>4</v>
      </c>
      <c r="D443" s="16">
        <v>25.5</v>
      </c>
      <c r="E443" s="9">
        <v>15.42084526</v>
      </c>
      <c r="F443" s="6">
        <f t="shared" si="115"/>
        <v>16.536058542876528</v>
      </c>
      <c r="G443" s="6">
        <v>7.6656000000000004</v>
      </c>
      <c r="H443" s="8">
        <v>2.2770899999999998E-3</v>
      </c>
      <c r="I443" s="17">
        <f t="shared" si="120"/>
        <v>37.223438171619065</v>
      </c>
      <c r="J443" s="16">
        <v>4.5</v>
      </c>
      <c r="K443" s="7">
        <v>19.39</v>
      </c>
      <c r="L443" s="10">
        <f t="shared" si="104"/>
        <v>-1.6130305095493331</v>
      </c>
      <c r="M443" s="12"/>
      <c r="N443" s="11">
        <f t="shared" si="121"/>
        <v>-32.576583588175325</v>
      </c>
    </row>
    <row r="444" spans="1:14" x14ac:dyDescent="0.3">
      <c r="A444">
        <v>1</v>
      </c>
      <c r="B444">
        <v>30</v>
      </c>
      <c r="C444">
        <v>6</v>
      </c>
      <c r="D444" s="16">
        <v>3.6</v>
      </c>
      <c r="E444" s="9">
        <v>15.42084526</v>
      </c>
      <c r="F444" s="6">
        <f t="shared" si="115"/>
        <v>2.3345023825237452</v>
      </c>
      <c r="G444" s="6">
        <v>7.6656000000000004</v>
      </c>
      <c r="H444" s="8">
        <v>1.5180599999999999E-3</v>
      </c>
      <c r="I444" s="17">
        <f>F444/((E444*10^-4)/(G444*10^-2)*9.81)^(1/2)</f>
        <v>5.255073624228574</v>
      </c>
      <c r="J444" s="16">
        <v>4.5</v>
      </c>
      <c r="K444" s="7">
        <v>0.4</v>
      </c>
      <c r="L444" s="10">
        <f t="shared" si="104"/>
        <v>36.296348580430617</v>
      </c>
      <c r="M444" s="12"/>
      <c r="N444" s="11">
        <f>-(1.7*K444^2)/19.62</f>
        <v>-1.3863404689092763E-2</v>
      </c>
    </row>
    <row r="445" spans="1:14" x14ac:dyDescent="0.3">
      <c r="A445">
        <v>1</v>
      </c>
      <c r="B445">
        <v>30</v>
      </c>
      <c r="C445">
        <v>6</v>
      </c>
      <c r="D445" s="16">
        <v>7.2</v>
      </c>
      <c r="E445" s="9">
        <v>15.42084526</v>
      </c>
      <c r="F445" s="6">
        <f t="shared" si="115"/>
        <v>4.6690047650474904</v>
      </c>
      <c r="G445" s="6">
        <v>7.6656000000000004</v>
      </c>
      <c r="H445" s="8">
        <v>1.5180599999999999E-3</v>
      </c>
      <c r="I445" s="17">
        <f t="shared" ref="I445:I450" si="122">F445/((E445*10^-4)/(G445*10^-2)*9.81)^(1/2)</f>
        <v>10.510147248457148</v>
      </c>
      <c r="J445" s="16">
        <v>4.5</v>
      </c>
      <c r="K445" s="7">
        <v>2.62</v>
      </c>
      <c r="L445" s="10">
        <f t="shared" si="104"/>
        <v>8.5512575002284201</v>
      </c>
      <c r="M445" s="12"/>
      <c r="N445" s="11">
        <f t="shared" ref="N445:N450" si="123">-(1.7*K445^2)/19.62</f>
        <v>-0.59477471967380224</v>
      </c>
    </row>
    <row r="446" spans="1:14" x14ac:dyDescent="0.3">
      <c r="A446">
        <v>1</v>
      </c>
      <c r="B446">
        <v>30</v>
      </c>
      <c r="C446">
        <v>6</v>
      </c>
      <c r="D446" s="16">
        <v>10.8</v>
      </c>
      <c r="E446" s="9">
        <v>15.42084526</v>
      </c>
      <c r="F446" s="6">
        <f t="shared" si="115"/>
        <v>7.0035071475712352</v>
      </c>
      <c r="G446" s="6">
        <v>7.6656000000000004</v>
      </c>
      <c r="H446" s="8">
        <v>1.5180599999999999E-3</v>
      </c>
      <c r="I446" s="17">
        <f t="shared" si="122"/>
        <v>15.765220872685722</v>
      </c>
      <c r="J446" s="16">
        <v>4.5</v>
      </c>
      <c r="K446" s="7">
        <v>4.99</v>
      </c>
      <c r="L446" s="10">
        <f t="shared" si="104"/>
        <v>3.175457056949865</v>
      </c>
      <c r="M446" s="12"/>
      <c r="N446" s="11">
        <f t="shared" si="123"/>
        <v>-2.157501019367992</v>
      </c>
    </row>
    <row r="447" spans="1:14" x14ac:dyDescent="0.3">
      <c r="A447">
        <v>1</v>
      </c>
      <c r="B447">
        <v>30</v>
      </c>
      <c r="C447">
        <v>6</v>
      </c>
      <c r="D447" s="16">
        <v>14.4</v>
      </c>
      <c r="E447" s="9">
        <v>15.42084526</v>
      </c>
      <c r="F447" s="6">
        <f t="shared" si="115"/>
        <v>9.3380095300949808</v>
      </c>
      <c r="G447" s="6">
        <v>7.6656000000000004</v>
      </c>
      <c r="H447" s="8">
        <v>1.5180599999999999E-3</v>
      </c>
      <c r="I447" s="17">
        <f t="shared" si="122"/>
        <v>21.020294496914296</v>
      </c>
      <c r="J447" s="16">
        <v>4.5</v>
      </c>
      <c r="K447" s="7">
        <v>6.47</v>
      </c>
      <c r="L447" s="10">
        <f t="shared" si="104"/>
        <v>1.455530812508028</v>
      </c>
      <c r="M447" s="12"/>
      <c r="N447" s="11">
        <f t="shared" si="123"/>
        <v>-3.6270912334352698</v>
      </c>
    </row>
    <row r="448" spans="1:14" x14ac:dyDescent="0.3">
      <c r="A448">
        <v>1</v>
      </c>
      <c r="B448">
        <v>30</v>
      </c>
      <c r="C448">
        <v>6</v>
      </c>
      <c r="D448" s="16">
        <v>18</v>
      </c>
      <c r="E448" s="9">
        <v>15.42084526</v>
      </c>
      <c r="F448" s="6">
        <f t="shared" si="115"/>
        <v>11.672511912618726</v>
      </c>
      <c r="G448" s="6">
        <v>7.6656000000000004</v>
      </c>
      <c r="H448" s="8">
        <v>1.5180599999999999E-3</v>
      </c>
      <c r="I448" s="17">
        <f t="shared" si="122"/>
        <v>26.275368121142872</v>
      </c>
      <c r="J448" s="16">
        <v>4.5</v>
      </c>
      <c r="K448" s="7">
        <v>7.67</v>
      </c>
      <c r="L448" s="10">
        <f t="shared" si="104"/>
        <v>0.71982506302021221</v>
      </c>
      <c r="M448" s="12"/>
      <c r="N448" s="11">
        <f t="shared" si="123"/>
        <v>-5.0973053007135576</v>
      </c>
    </row>
    <row r="449" spans="1:14" x14ac:dyDescent="0.3">
      <c r="A449">
        <v>1</v>
      </c>
      <c r="B449">
        <v>30</v>
      </c>
      <c r="C449">
        <v>6</v>
      </c>
      <c r="D449" s="16">
        <v>21.6</v>
      </c>
      <c r="E449" s="9">
        <v>15.42084526</v>
      </c>
      <c r="F449" s="6">
        <f t="shared" si="115"/>
        <v>14.00701429514247</v>
      </c>
      <c r="G449" s="6">
        <v>7.6656000000000004</v>
      </c>
      <c r="H449" s="8">
        <v>1.5180599999999999E-3</v>
      </c>
      <c r="I449" s="17">
        <f t="shared" si="122"/>
        <v>31.530441745371444</v>
      </c>
      <c r="J449" s="16">
        <v>4.5</v>
      </c>
      <c r="K449" s="7">
        <v>10.36</v>
      </c>
      <c r="L449" s="10">
        <f t="shared" si="104"/>
        <v>7.9630391083304636E-2</v>
      </c>
      <c r="M449" s="12"/>
      <c r="N449" s="11">
        <f t="shared" si="123"/>
        <v>-9.2997104994903133</v>
      </c>
    </row>
    <row r="450" spans="1:14" x14ac:dyDescent="0.3">
      <c r="A450">
        <v>1</v>
      </c>
      <c r="B450">
        <v>30</v>
      </c>
      <c r="C450">
        <v>6</v>
      </c>
      <c r="D450" s="16">
        <v>25.5</v>
      </c>
      <c r="E450" s="9">
        <v>15.42084526</v>
      </c>
      <c r="F450" s="6">
        <f t="shared" si="115"/>
        <v>16.536058542876528</v>
      </c>
      <c r="G450" s="6">
        <v>7.6656000000000004</v>
      </c>
      <c r="H450" s="8">
        <v>1.5180599999999999E-3</v>
      </c>
      <c r="I450" s="17">
        <f t="shared" si="122"/>
        <v>37.223438171619065</v>
      </c>
      <c r="J450" s="16">
        <v>4.5</v>
      </c>
      <c r="K450" s="7">
        <v>13.31</v>
      </c>
      <c r="L450" s="10">
        <f t="shared" si="104"/>
        <v>-0.37697990605051046</v>
      </c>
      <c r="M450" s="12"/>
      <c r="N450" s="11">
        <f t="shared" si="123"/>
        <v>-15.349916921508663</v>
      </c>
    </row>
    <row r="451" spans="1:14" x14ac:dyDescent="0.3">
      <c r="A451">
        <v>1</v>
      </c>
      <c r="B451">
        <v>40</v>
      </c>
      <c r="C451">
        <v>1</v>
      </c>
      <c r="D451" s="16">
        <v>4.0999999999999996</v>
      </c>
      <c r="E451" s="9">
        <v>20.561127020000001</v>
      </c>
      <c r="F451" s="7">
        <f t="shared" si="115"/>
        <v>1.9940541177591533</v>
      </c>
      <c r="G451" s="6">
        <v>7.9885999999999999</v>
      </c>
      <c r="H451" s="8">
        <v>1.0389860000000001E-2</v>
      </c>
      <c r="I451" s="17">
        <f>F451/((E451*10^-4)/(G451*10^-2)*9.81)^(1/2)</f>
        <v>3.9683897296681891</v>
      </c>
      <c r="J451" s="16">
        <v>4.5</v>
      </c>
      <c r="K451" s="7">
        <v>0</v>
      </c>
      <c r="L451" s="10">
        <f t="shared" ref="L451:L506" si="124">(10.33+N451-0.234)/((F451^2)/19.62)</f>
        <v>49.81664359809659</v>
      </c>
      <c r="M451" s="12"/>
      <c r="N451" s="11">
        <f>-(1.7*K451^2)/19.62</f>
        <v>0</v>
      </c>
    </row>
    <row r="452" spans="1:14" x14ac:dyDescent="0.3">
      <c r="A452">
        <v>1</v>
      </c>
      <c r="B452">
        <v>40</v>
      </c>
      <c r="C452">
        <v>1</v>
      </c>
      <c r="D452" s="16">
        <v>8.1999999999999993</v>
      </c>
      <c r="E452" s="9">
        <v>20.561127020000001</v>
      </c>
      <c r="F452" s="7">
        <f t="shared" si="115"/>
        <v>3.9881082355183066</v>
      </c>
      <c r="G452" s="6">
        <v>7.9885999999999999</v>
      </c>
      <c r="H452" s="8">
        <v>1.0389860000000001E-2</v>
      </c>
      <c r="I452" s="17">
        <f t="shared" ref="I452:I457" si="125">F452/((E452*10^-4)/(G452*10^-2)*9.81)^(1/2)</f>
        <v>7.9367794593363783</v>
      </c>
      <c r="J452" s="16">
        <v>4.5</v>
      </c>
      <c r="K452" s="7">
        <v>1.44</v>
      </c>
      <c r="L452" s="10">
        <f t="shared" si="124"/>
        <v>12.232525037691065</v>
      </c>
      <c r="M452" s="12"/>
      <c r="N452" s="11">
        <f t="shared" ref="N452:N457" si="126">-(1.7*K452^2)/19.62</f>
        <v>-0.17966972477064219</v>
      </c>
    </row>
    <row r="453" spans="1:14" x14ac:dyDescent="0.3">
      <c r="A453">
        <v>1</v>
      </c>
      <c r="B453">
        <v>40</v>
      </c>
      <c r="C453">
        <v>1</v>
      </c>
      <c r="D453" s="16">
        <v>12.3</v>
      </c>
      <c r="E453" s="9">
        <v>20.561127020000001</v>
      </c>
      <c r="F453" s="7">
        <f t="shared" si="115"/>
        <v>5.9821623532774604</v>
      </c>
      <c r="G453" s="6">
        <v>7.9885999999999999</v>
      </c>
      <c r="H453" s="8">
        <v>1.0389860000000001E-2</v>
      </c>
      <c r="I453" s="17">
        <f t="shared" si="125"/>
        <v>11.905169189004567</v>
      </c>
      <c r="J453" s="16">
        <v>4.5</v>
      </c>
      <c r="K453" s="7">
        <v>3.32</v>
      </c>
      <c r="L453" s="10">
        <f t="shared" si="124"/>
        <v>5.0115716987706422</v>
      </c>
      <c r="M453" s="12"/>
      <c r="N453" s="11">
        <f t="shared" si="126"/>
        <v>-0.95504994903160034</v>
      </c>
    </row>
    <row r="454" spans="1:14" x14ac:dyDescent="0.3">
      <c r="A454">
        <v>1</v>
      </c>
      <c r="B454">
        <v>40</v>
      </c>
      <c r="C454">
        <v>1</v>
      </c>
      <c r="D454" s="16">
        <v>16.399999999999999</v>
      </c>
      <c r="E454" s="9">
        <v>20.561127020000001</v>
      </c>
      <c r="F454" s="7">
        <f t="shared" si="115"/>
        <v>7.9762164710366132</v>
      </c>
      <c r="G454" s="6">
        <v>7.9885999999999999</v>
      </c>
      <c r="H454" s="8">
        <v>1.0389860000000001E-2</v>
      </c>
      <c r="I454" s="17">
        <f t="shared" si="125"/>
        <v>15.873558918672757</v>
      </c>
      <c r="J454" s="16">
        <v>4.5</v>
      </c>
      <c r="K454" s="7">
        <v>7.58</v>
      </c>
      <c r="L454" s="10">
        <f t="shared" si="124"/>
        <v>1.5782394518502811</v>
      </c>
      <c r="M454" s="12"/>
      <c r="N454" s="11">
        <f t="shared" si="126"/>
        <v>-4.9783832823649341</v>
      </c>
    </row>
    <row r="455" spans="1:14" x14ac:dyDescent="0.3">
      <c r="A455">
        <v>1</v>
      </c>
      <c r="B455">
        <v>40</v>
      </c>
      <c r="C455">
        <v>1</v>
      </c>
      <c r="D455" s="16">
        <v>20.5</v>
      </c>
      <c r="E455" s="9">
        <v>20.561127020000001</v>
      </c>
      <c r="F455" s="7">
        <f t="shared" si="115"/>
        <v>9.9702705887957688</v>
      </c>
      <c r="G455" s="6">
        <v>7.9885999999999999</v>
      </c>
      <c r="H455" s="8">
        <v>1.0389860000000001E-2</v>
      </c>
      <c r="I455" s="17">
        <f t="shared" si="125"/>
        <v>19.841948648340949</v>
      </c>
      <c r="J455" s="16">
        <v>4.5</v>
      </c>
      <c r="K455" s="7">
        <v>12</v>
      </c>
      <c r="L455" s="10">
        <f t="shared" si="124"/>
        <v>-0.46995494311038188</v>
      </c>
      <c r="M455" s="12"/>
      <c r="N455" s="11">
        <f t="shared" si="126"/>
        <v>-12.477064220183484</v>
      </c>
    </row>
    <row r="456" spans="1:14" x14ac:dyDescent="0.3">
      <c r="A456">
        <v>1</v>
      </c>
      <c r="B456">
        <v>40</v>
      </c>
      <c r="C456">
        <v>1</v>
      </c>
      <c r="D456" s="16">
        <v>24.6</v>
      </c>
      <c r="E456" s="9">
        <v>20.561127020000001</v>
      </c>
      <c r="F456" s="7">
        <f t="shared" si="115"/>
        <v>11.964324706554921</v>
      </c>
      <c r="G456" s="6">
        <v>7.9885999999999999</v>
      </c>
      <c r="H456" s="8">
        <v>1.0389860000000001E-2</v>
      </c>
      <c r="I456" s="17">
        <f t="shared" si="125"/>
        <v>23.810338378009135</v>
      </c>
      <c r="J456" s="16">
        <v>4.5</v>
      </c>
      <c r="K456" s="7">
        <v>17.96</v>
      </c>
      <c r="L456" s="10">
        <f t="shared" si="124"/>
        <v>-2.4469666371423102</v>
      </c>
      <c r="M456" s="12"/>
      <c r="N456" s="11">
        <f t="shared" si="126"/>
        <v>-27.948762487257902</v>
      </c>
    </row>
    <row r="457" spans="1:14" x14ac:dyDescent="0.3">
      <c r="A457">
        <v>1</v>
      </c>
      <c r="B457">
        <v>40</v>
      </c>
      <c r="C457">
        <v>1</v>
      </c>
      <c r="D457" s="16">
        <v>29.3</v>
      </c>
      <c r="E457" s="9">
        <v>20.561127020000001</v>
      </c>
      <c r="F457" s="7">
        <f t="shared" si="115"/>
        <v>14.250191622034926</v>
      </c>
      <c r="G457" s="6">
        <v>7.9885999999999999</v>
      </c>
      <c r="H457" s="8">
        <v>1.0389860000000001E-2</v>
      </c>
      <c r="I457" s="17">
        <f t="shared" si="125"/>
        <v>28.359468068116573</v>
      </c>
      <c r="J457" s="16">
        <v>4.5</v>
      </c>
      <c r="K457" s="7">
        <v>23.14</v>
      </c>
      <c r="L457" s="10">
        <f t="shared" si="124"/>
        <v>-3.5071893939566201</v>
      </c>
      <c r="M457" s="12"/>
      <c r="N457" s="11">
        <f t="shared" si="126"/>
        <v>-46.395582059123342</v>
      </c>
    </row>
    <row r="458" spans="1:14" x14ac:dyDescent="0.3">
      <c r="A458">
        <v>1</v>
      </c>
      <c r="B458">
        <v>40</v>
      </c>
      <c r="C458">
        <v>2</v>
      </c>
      <c r="D458" s="16">
        <v>4.0999999999999996</v>
      </c>
      <c r="E458" s="9">
        <v>20.561127020000001</v>
      </c>
      <c r="F458" s="7">
        <f t="shared" si="115"/>
        <v>1.9940541177591533</v>
      </c>
      <c r="G458" s="6">
        <v>7.9885999999999999</v>
      </c>
      <c r="H458" s="8">
        <v>5.1949300000000004E-3</v>
      </c>
      <c r="I458" s="17">
        <f>F458/((E458*10^-4)/(G458*10^-2)*9.81)^(1/2)</f>
        <v>3.9683897296681891</v>
      </c>
      <c r="J458" s="16">
        <v>4.5</v>
      </c>
      <c r="K458" s="7">
        <v>0.4</v>
      </c>
      <c r="L458" s="10">
        <f t="shared" si="124"/>
        <v>49.748237467901191</v>
      </c>
      <c r="M458" s="12"/>
      <c r="N458" s="11">
        <f>-(1.7*K458^2)/19.62</f>
        <v>-1.3863404689092763E-2</v>
      </c>
    </row>
    <row r="459" spans="1:14" x14ac:dyDescent="0.3">
      <c r="A459">
        <v>1</v>
      </c>
      <c r="B459">
        <v>40</v>
      </c>
      <c r="C459">
        <v>2</v>
      </c>
      <c r="D459" s="16">
        <v>8.1999999999999993</v>
      </c>
      <c r="E459" s="9">
        <v>20.561127020000001</v>
      </c>
      <c r="F459" s="7">
        <f t="shared" si="115"/>
        <v>3.9881082355183066</v>
      </c>
      <c r="G459" s="6">
        <v>7.9885999999999999</v>
      </c>
      <c r="H459" s="8">
        <v>5.1949300000000004E-3</v>
      </c>
      <c r="I459" s="17">
        <f t="shared" ref="I459:I464" si="127">F459/((E459*10^-4)/(G459*10^-2)*9.81)^(1/2)</f>
        <v>7.9367794593363783</v>
      </c>
      <c r="J459" s="16">
        <v>4.5</v>
      </c>
      <c r="K459" s="7">
        <v>1.98</v>
      </c>
      <c r="L459" s="10">
        <f t="shared" si="124"/>
        <v>12.035130598245978</v>
      </c>
      <c r="M459" s="12"/>
      <c r="N459" s="11">
        <f t="shared" ref="N459:N464" si="128">-(1.7*K459^2)/19.62</f>
        <v>-0.33968807339449536</v>
      </c>
    </row>
    <row r="460" spans="1:14" x14ac:dyDescent="0.3">
      <c r="A460">
        <v>1</v>
      </c>
      <c r="B460">
        <v>40</v>
      </c>
      <c r="C460">
        <v>2</v>
      </c>
      <c r="D460" s="16">
        <v>12.3</v>
      </c>
      <c r="E460" s="9">
        <v>20.561127020000001</v>
      </c>
      <c r="F460" s="7">
        <f t="shared" si="115"/>
        <v>5.9821623532774604</v>
      </c>
      <c r="G460" s="6">
        <v>7.9885999999999999</v>
      </c>
      <c r="H460" s="8">
        <v>5.1949300000000004E-3</v>
      </c>
      <c r="I460" s="17">
        <f t="shared" si="127"/>
        <v>11.905169189004567</v>
      </c>
      <c r="J460" s="16">
        <v>4.5</v>
      </c>
      <c r="K460" s="7">
        <v>4.08</v>
      </c>
      <c r="L460" s="10">
        <f t="shared" si="124"/>
        <v>4.7444077569519569</v>
      </c>
      <c r="M460" s="12"/>
      <c r="N460" s="11">
        <f t="shared" si="128"/>
        <v>-1.4423486238532111</v>
      </c>
    </row>
    <row r="461" spans="1:14" x14ac:dyDescent="0.3">
      <c r="A461">
        <v>1</v>
      </c>
      <c r="B461">
        <v>40</v>
      </c>
      <c r="C461">
        <v>2</v>
      </c>
      <c r="D461" s="16">
        <v>16.399999999999999</v>
      </c>
      <c r="E461" s="9">
        <v>20.561127020000001</v>
      </c>
      <c r="F461" s="7">
        <f t="shared" si="115"/>
        <v>7.9762164710366132</v>
      </c>
      <c r="G461" s="6">
        <v>7.9885999999999999</v>
      </c>
      <c r="H461" s="8">
        <v>5.1949300000000004E-3</v>
      </c>
      <c r="I461" s="17">
        <f t="shared" si="127"/>
        <v>15.873558918672757</v>
      </c>
      <c r="J461" s="16">
        <v>4.5</v>
      </c>
      <c r="K461" s="7">
        <v>7.69</v>
      </c>
      <c r="L461" s="10">
        <f t="shared" si="124"/>
        <v>1.5333559452529348</v>
      </c>
      <c r="M461" s="12"/>
      <c r="N461" s="11">
        <f t="shared" si="128"/>
        <v>-5.1239230377166161</v>
      </c>
    </row>
    <row r="462" spans="1:14" x14ac:dyDescent="0.3">
      <c r="A462">
        <v>1</v>
      </c>
      <c r="B462">
        <v>40</v>
      </c>
      <c r="C462">
        <v>2</v>
      </c>
      <c r="D462" s="16">
        <v>20.5</v>
      </c>
      <c r="E462" s="9">
        <v>20.561127020000001</v>
      </c>
      <c r="F462" s="7">
        <f t="shared" si="115"/>
        <v>9.9702705887957688</v>
      </c>
      <c r="G462" s="6">
        <v>7.9885999999999999</v>
      </c>
      <c r="H462" s="8">
        <v>5.1949300000000004E-3</v>
      </c>
      <c r="I462" s="17">
        <f t="shared" si="127"/>
        <v>19.841948648340949</v>
      </c>
      <c r="J462" s="16">
        <v>4.5</v>
      </c>
      <c r="K462" s="7">
        <v>12.49</v>
      </c>
      <c r="L462" s="10">
        <f t="shared" si="124"/>
        <v>-0.6751750438498243</v>
      </c>
      <c r="M462" s="12"/>
      <c r="N462" s="11">
        <f t="shared" si="128"/>
        <v>-13.516828236493375</v>
      </c>
    </row>
    <row r="463" spans="1:14" x14ac:dyDescent="0.3">
      <c r="A463">
        <v>1</v>
      </c>
      <c r="B463">
        <v>40</v>
      </c>
      <c r="C463">
        <v>2</v>
      </c>
      <c r="D463" s="16">
        <v>24.6</v>
      </c>
      <c r="E463" s="9">
        <v>20.561127020000001</v>
      </c>
      <c r="F463" s="7">
        <f t="shared" si="115"/>
        <v>11.964324706554921</v>
      </c>
      <c r="G463" s="6">
        <v>7.9885999999999999</v>
      </c>
      <c r="H463" s="8">
        <v>5.1949300000000004E-3</v>
      </c>
      <c r="I463" s="17">
        <f t="shared" si="127"/>
        <v>23.810338378009135</v>
      </c>
      <c r="J463" s="16">
        <v>4.5</v>
      </c>
      <c r="K463" s="7">
        <v>15.37</v>
      </c>
      <c r="L463" s="10">
        <f t="shared" si="124"/>
        <v>-1.4217689518509065</v>
      </c>
      <c r="M463" s="12"/>
      <c r="N463" s="11">
        <f t="shared" si="128"/>
        <v>-20.469048419979607</v>
      </c>
    </row>
    <row r="464" spans="1:14" x14ac:dyDescent="0.3">
      <c r="A464">
        <v>1</v>
      </c>
      <c r="B464">
        <v>40</v>
      </c>
      <c r="C464">
        <v>2</v>
      </c>
      <c r="D464" s="16">
        <v>29.4</v>
      </c>
      <c r="E464" s="9">
        <v>20.561127020000001</v>
      </c>
      <c r="F464" s="7">
        <f t="shared" si="115"/>
        <v>14.298827088321735</v>
      </c>
      <c r="G464" s="6">
        <v>7.9885999999999999</v>
      </c>
      <c r="H464" s="8">
        <v>5.1949300000000004E-3</v>
      </c>
      <c r="I464" s="17">
        <f t="shared" si="127"/>
        <v>28.456258061523116</v>
      </c>
      <c r="J464" s="16">
        <v>4.5</v>
      </c>
      <c r="K464" s="7">
        <v>18.600000000000001</v>
      </c>
      <c r="L464" s="10">
        <f t="shared" si="124"/>
        <v>-1.9077337416331761</v>
      </c>
      <c r="M464" s="12"/>
      <c r="N464" s="11">
        <f t="shared" si="128"/>
        <v>-29.976146788990828</v>
      </c>
    </row>
    <row r="465" spans="1:14" x14ac:dyDescent="0.3">
      <c r="A465">
        <v>1</v>
      </c>
      <c r="B465">
        <v>40</v>
      </c>
      <c r="C465">
        <v>4</v>
      </c>
      <c r="D465" s="16">
        <v>4.0999999999999996</v>
      </c>
      <c r="E465" s="9">
        <v>20.561127020000001</v>
      </c>
      <c r="F465" s="7">
        <f t="shared" si="115"/>
        <v>1.9940541177591533</v>
      </c>
      <c r="G465" s="6">
        <v>7.9885999999999999</v>
      </c>
      <c r="H465" s="8">
        <v>2.5974700000000002E-3</v>
      </c>
      <c r="I465" s="17">
        <f>F465/((E465*10^-4)/(G465*10^-2)*9.81)^(1/2)</f>
        <v>3.9683897296681891</v>
      </c>
      <c r="J465" s="16">
        <v>4.5</v>
      </c>
      <c r="K465" s="7">
        <v>0.4</v>
      </c>
      <c r="L465" s="10">
        <f t="shared" si="124"/>
        <v>49.748237467901191</v>
      </c>
      <c r="M465" s="12"/>
      <c r="N465" s="11">
        <f>-(1.7*K465^2)/19.62</f>
        <v>-1.3863404689092763E-2</v>
      </c>
    </row>
    <row r="466" spans="1:14" x14ac:dyDescent="0.3">
      <c r="A466">
        <v>1</v>
      </c>
      <c r="B466">
        <v>40</v>
      </c>
      <c r="C466">
        <v>4</v>
      </c>
      <c r="D466" s="16">
        <v>8.1999999999999993</v>
      </c>
      <c r="E466" s="9">
        <v>20.561127020000001</v>
      </c>
      <c r="F466" s="7">
        <f t="shared" si="115"/>
        <v>3.9881082355183066</v>
      </c>
      <c r="G466" s="6">
        <v>7.9885999999999999</v>
      </c>
      <c r="H466" s="8">
        <v>2.5974700000000002E-3</v>
      </c>
      <c r="I466" s="17">
        <f t="shared" ref="I466:I471" si="129">F466/((E466*10^-4)/(G466*10^-2)*9.81)^(1/2)</f>
        <v>7.9367794593363783</v>
      </c>
      <c r="J466" s="16">
        <v>4.5</v>
      </c>
      <c r="K466" s="7">
        <v>1.96</v>
      </c>
      <c r="L466" s="10">
        <f t="shared" si="124"/>
        <v>12.043553103026285</v>
      </c>
      <c r="M466" s="12"/>
      <c r="N466" s="11">
        <f t="shared" ref="N466:N471" si="130">-(1.7*K466^2)/19.62</f>
        <v>-0.33286034658511721</v>
      </c>
    </row>
    <row r="467" spans="1:14" x14ac:dyDescent="0.3">
      <c r="A467">
        <v>1</v>
      </c>
      <c r="B467">
        <v>40</v>
      </c>
      <c r="C467">
        <v>4</v>
      </c>
      <c r="D467" s="16">
        <v>12.3</v>
      </c>
      <c r="E467" s="9">
        <v>20.561127020000001</v>
      </c>
      <c r="F467" s="7">
        <f t="shared" si="115"/>
        <v>5.9821623532774604</v>
      </c>
      <c r="G467" s="6">
        <v>7.9885999999999999</v>
      </c>
      <c r="H467" s="8">
        <v>2.5974700000000002E-3</v>
      </c>
      <c r="I467" s="17">
        <f t="shared" si="129"/>
        <v>11.905169189004567</v>
      </c>
      <c r="J467" s="16">
        <v>4.5</v>
      </c>
      <c r="K467" s="7">
        <v>4.05</v>
      </c>
      <c r="L467" s="10">
        <f t="shared" si="124"/>
        <v>4.7559940452538028</v>
      </c>
      <c r="M467" s="12"/>
      <c r="N467" s="11">
        <f t="shared" si="130"/>
        <v>-1.4212155963302751</v>
      </c>
    </row>
    <row r="468" spans="1:14" x14ac:dyDescent="0.3">
      <c r="A468">
        <v>1</v>
      </c>
      <c r="B468">
        <v>40</v>
      </c>
      <c r="C468">
        <v>4</v>
      </c>
      <c r="D468" s="16">
        <v>16.399999999999999</v>
      </c>
      <c r="E468" s="9">
        <v>20.561127020000001</v>
      </c>
      <c r="F468" s="7">
        <f t="shared" si="115"/>
        <v>7.9762164710366132</v>
      </c>
      <c r="G468" s="6">
        <v>7.9885999999999999</v>
      </c>
      <c r="H468" s="8">
        <v>2.5974700000000002E-3</v>
      </c>
      <c r="I468" s="17">
        <f t="shared" si="129"/>
        <v>15.873558918672757</v>
      </c>
      <c r="J468" s="16">
        <v>4.5</v>
      </c>
      <c r="K468" s="7">
        <v>6.88</v>
      </c>
      <c r="L468" s="10">
        <f t="shared" si="124"/>
        <v>1.8487108775681704</v>
      </c>
      <c r="M468" s="12"/>
      <c r="N468" s="11">
        <f t="shared" si="130"/>
        <v>-4.1013496432212015</v>
      </c>
    </row>
    <row r="469" spans="1:14" x14ac:dyDescent="0.3">
      <c r="A469">
        <v>1</v>
      </c>
      <c r="B469">
        <v>40</v>
      </c>
      <c r="C469">
        <v>4</v>
      </c>
      <c r="D469" s="16">
        <v>20.5</v>
      </c>
      <c r="E469" s="9">
        <v>20.561127020000001</v>
      </c>
      <c r="F469" s="7">
        <f t="shared" si="115"/>
        <v>9.9702705887957688</v>
      </c>
      <c r="G469" s="6">
        <v>7.9885999999999999</v>
      </c>
      <c r="H469" s="8">
        <v>2.5974700000000002E-3</v>
      </c>
      <c r="I469" s="17">
        <f t="shared" si="129"/>
        <v>19.841948648340949</v>
      </c>
      <c r="J469" s="16">
        <v>4.5</v>
      </c>
      <c r="K469" s="7">
        <v>7.39</v>
      </c>
      <c r="L469" s="10">
        <f t="shared" si="124"/>
        <v>1.0587151382128708</v>
      </c>
      <c r="M469" s="12"/>
      <c r="N469" s="11">
        <f t="shared" si="130"/>
        <v>-4.7319352701325172</v>
      </c>
    </row>
    <row r="470" spans="1:14" x14ac:dyDescent="0.3">
      <c r="A470">
        <v>1</v>
      </c>
      <c r="B470">
        <v>40</v>
      </c>
      <c r="C470">
        <v>4</v>
      </c>
      <c r="D470" s="16">
        <v>24.6</v>
      </c>
      <c r="E470" s="9">
        <v>20.561127020000001</v>
      </c>
      <c r="F470" s="7">
        <f t="shared" si="115"/>
        <v>11.964324706554921</v>
      </c>
      <c r="G470" s="6">
        <v>7.9885999999999999</v>
      </c>
      <c r="H470" s="8">
        <v>2.5974700000000002E-3</v>
      </c>
      <c r="I470" s="17">
        <f t="shared" si="129"/>
        <v>23.810338378009135</v>
      </c>
      <c r="J470" s="16">
        <v>4.5</v>
      </c>
      <c r="K470" s="7">
        <v>8.58</v>
      </c>
      <c r="L470" s="10">
        <f t="shared" si="124"/>
        <v>0.50952255777415367</v>
      </c>
      <c r="M470" s="12"/>
      <c r="N470" s="11">
        <f t="shared" si="130"/>
        <v>-6.3785871559633023</v>
      </c>
    </row>
    <row r="471" spans="1:14" x14ac:dyDescent="0.3">
      <c r="A471">
        <v>1</v>
      </c>
      <c r="B471">
        <v>40</v>
      </c>
      <c r="C471">
        <v>4</v>
      </c>
      <c r="D471" s="16">
        <v>29.5</v>
      </c>
      <c r="E471" s="9">
        <v>20.561127020000001</v>
      </c>
      <c r="F471" s="7">
        <f t="shared" si="115"/>
        <v>14.347462554608544</v>
      </c>
      <c r="G471" s="6">
        <v>7.9885999999999999</v>
      </c>
      <c r="H471" s="8">
        <v>2.5974700000000002E-3</v>
      </c>
      <c r="I471" s="17">
        <f t="shared" si="129"/>
        <v>28.553048054929658</v>
      </c>
      <c r="J471" s="16">
        <v>4.5</v>
      </c>
      <c r="K471" s="7">
        <v>12.23</v>
      </c>
      <c r="L471" s="10">
        <f t="shared" si="124"/>
        <v>-0.27296816551134173</v>
      </c>
      <c r="M471" s="12"/>
      <c r="N471" s="11">
        <f t="shared" si="130"/>
        <v>-12.959935270132517</v>
      </c>
    </row>
    <row r="472" spans="1:14" x14ac:dyDescent="0.3">
      <c r="A472">
        <v>1</v>
      </c>
      <c r="B472">
        <v>40</v>
      </c>
      <c r="C472">
        <v>6</v>
      </c>
      <c r="D472" s="16">
        <v>4.0999999999999996</v>
      </c>
      <c r="E472" s="9">
        <v>20.561127020000001</v>
      </c>
      <c r="F472" s="7">
        <f t="shared" si="115"/>
        <v>1.9940541177591533</v>
      </c>
      <c r="G472" s="6">
        <v>7.9885999999999999</v>
      </c>
      <c r="H472" s="8">
        <v>1.73164E-3</v>
      </c>
      <c r="I472" s="17">
        <f>F472/((E472*10^-4)/(G472*10^-2)*9.81)^(1/2)</f>
        <v>3.9683897296681891</v>
      </c>
      <c r="J472" s="16">
        <v>4.5</v>
      </c>
      <c r="K472" s="7">
        <v>0</v>
      </c>
      <c r="L472" s="10">
        <f t="shared" si="124"/>
        <v>49.81664359809659</v>
      </c>
      <c r="M472" s="12"/>
      <c r="N472" s="11">
        <f>-(1.7*K472^2)/19.62</f>
        <v>0</v>
      </c>
    </row>
    <row r="473" spans="1:14" x14ac:dyDescent="0.3">
      <c r="A473">
        <v>1</v>
      </c>
      <c r="B473">
        <v>40</v>
      </c>
      <c r="C473">
        <v>6</v>
      </c>
      <c r="D473" s="16">
        <v>8.1999999999999993</v>
      </c>
      <c r="E473" s="9">
        <v>20.561127020000001</v>
      </c>
      <c r="F473" s="7">
        <f t="shared" si="115"/>
        <v>3.9881082355183066</v>
      </c>
      <c r="G473" s="6">
        <v>7.9885999999999999</v>
      </c>
      <c r="H473" s="8">
        <v>1.73164E-3</v>
      </c>
      <c r="I473" s="17">
        <f t="shared" ref="I473:I478" si="131">F473/((E473*10^-4)/(G473*10^-2)*9.81)^(1/2)</f>
        <v>7.9367794593363783</v>
      </c>
      <c r="J473" s="16">
        <v>4.5</v>
      </c>
      <c r="K473" s="7">
        <v>1.33</v>
      </c>
      <c r="L473" s="10">
        <f t="shared" si="124"/>
        <v>12.26509276873878</v>
      </c>
      <c r="M473" s="12"/>
      <c r="N473" s="11">
        <f t="shared" ref="N473:N478" si="132">-(1.7*K473^2)/19.62</f>
        <v>-0.15326860346585117</v>
      </c>
    </row>
    <row r="474" spans="1:14" x14ac:dyDescent="0.3">
      <c r="A474">
        <v>1</v>
      </c>
      <c r="B474">
        <v>40</v>
      </c>
      <c r="C474">
        <v>6</v>
      </c>
      <c r="D474" s="16">
        <v>12.3</v>
      </c>
      <c r="E474" s="9">
        <v>20.561127020000001</v>
      </c>
      <c r="F474" s="7">
        <f t="shared" si="115"/>
        <v>5.9821623532774604</v>
      </c>
      <c r="G474" s="6">
        <v>7.9885999999999999</v>
      </c>
      <c r="H474" s="8">
        <v>1.73164E-3</v>
      </c>
      <c r="I474" s="17">
        <f t="shared" si="131"/>
        <v>11.905169189004567</v>
      </c>
      <c r="J474" s="16">
        <v>4.5</v>
      </c>
      <c r="K474" s="7">
        <v>2.1</v>
      </c>
      <c r="L474" s="10">
        <f t="shared" si="124"/>
        <v>5.3256888482873332</v>
      </c>
      <c r="M474" s="12"/>
      <c r="N474" s="11">
        <f t="shared" si="132"/>
        <v>-0.38211009174311922</v>
      </c>
    </row>
    <row r="475" spans="1:14" x14ac:dyDescent="0.3">
      <c r="A475">
        <v>1</v>
      </c>
      <c r="B475">
        <v>40</v>
      </c>
      <c r="C475">
        <v>6</v>
      </c>
      <c r="D475" s="16">
        <v>16.399999999999999</v>
      </c>
      <c r="E475" s="9">
        <v>20.561127020000001</v>
      </c>
      <c r="F475" s="7">
        <f t="shared" si="115"/>
        <v>7.9762164710366132</v>
      </c>
      <c r="G475" s="6">
        <v>7.9885999999999999</v>
      </c>
      <c r="H475" s="8">
        <v>1.73164E-3</v>
      </c>
      <c r="I475" s="17">
        <f t="shared" si="131"/>
        <v>15.873558918672757</v>
      </c>
      <c r="J475" s="16">
        <v>4.5</v>
      </c>
      <c r="K475" s="7">
        <v>2.44</v>
      </c>
      <c r="L475" s="10">
        <f t="shared" si="124"/>
        <v>2.9544532183453698</v>
      </c>
      <c r="M475" s="12"/>
      <c r="N475" s="11">
        <f t="shared" si="132"/>
        <v>-0.51585728848114165</v>
      </c>
    </row>
    <row r="476" spans="1:14" x14ac:dyDescent="0.3">
      <c r="A476">
        <v>1</v>
      </c>
      <c r="B476">
        <v>40</v>
      </c>
      <c r="C476">
        <v>6</v>
      </c>
      <c r="D476" s="16">
        <v>20.5</v>
      </c>
      <c r="E476" s="9">
        <v>20.561127020000001</v>
      </c>
      <c r="F476" s="7">
        <f t="shared" si="115"/>
        <v>9.9702705887957688</v>
      </c>
      <c r="G476" s="6">
        <v>7.9885999999999999</v>
      </c>
      <c r="H476" s="8">
        <v>1.73164E-3</v>
      </c>
      <c r="I476" s="17">
        <f t="shared" si="131"/>
        <v>19.841948648340949</v>
      </c>
      <c r="J476" s="16">
        <v>4.5</v>
      </c>
      <c r="K476" s="7">
        <v>4.57</v>
      </c>
      <c r="L476" s="10">
        <f t="shared" si="124"/>
        <v>1.6355019467944083</v>
      </c>
      <c r="M476" s="12"/>
      <c r="N476" s="11">
        <f t="shared" si="132"/>
        <v>-1.8095988786952091</v>
      </c>
    </row>
    <row r="477" spans="1:14" x14ac:dyDescent="0.3">
      <c r="A477">
        <v>1</v>
      </c>
      <c r="B477">
        <v>40</v>
      </c>
      <c r="C477">
        <v>6</v>
      </c>
      <c r="D477" s="16">
        <v>24.6</v>
      </c>
      <c r="E477" s="9">
        <v>20.561127020000001</v>
      </c>
      <c r="F477" s="7">
        <f t="shared" si="115"/>
        <v>11.964324706554921</v>
      </c>
      <c r="G477" s="6">
        <v>7.9885999999999999</v>
      </c>
      <c r="H477" s="8">
        <v>1.73164E-3</v>
      </c>
      <c r="I477" s="17">
        <f t="shared" si="131"/>
        <v>23.810338378009135</v>
      </c>
      <c r="J477" s="16">
        <v>4.5</v>
      </c>
      <c r="K477" s="7">
        <v>6.01</v>
      </c>
      <c r="L477" s="10">
        <f t="shared" si="124"/>
        <v>0.95483102646262874</v>
      </c>
      <c r="M477" s="12"/>
      <c r="N477" s="11">
        <f t="shared" si="132"/>
        <v>-3.1296722731906215</v>
      </c>
    </row>
    <row r="478" spans="1:14" x14ac:dyDescent="0.3">
      <c r="A478">
        <v>1</v>
      </c>
      <c r="B478">
        <v>40</v>
      </c>
      <c r="C478">
        <v>6</v>
      </c>
      <c r="D478" s="16">
        <v>29.1</v>
      </c>
      <c r="E478" s="9">
        <v>20.561127020000001</v>
      </c>
      <c r="F478" s="7">
        <f t="shared" si="115"/>
        <v>14.152920689461309</v>
      </c>
      <c r="G478" s="6">
        <v>7.9885999999999999</v>
      </c>
      <c r="H478" s="8">
        <v>1.73164E-3</v>
      </c>
      <c r="I478" s="17">
        <f t="shared" si="131"/>
        <v>28.165888081303493</v>
      </c>
      <c r="J478" s="16">
        <v>4.5</v>
      </c>
      <c r="K478" s="7">
        <v>8.32</v>
      </c>
      <c r="L478" s="10">
        <f t="shared" si="124"/>
        <v>0.40141471331746365</v>
      </c>
      <c r="M478" s="12"/>
      <c r="N478" s="11">
        <f t="shared" si="132"/>
        <v>-5.9978634046890926</v>
      </c>
    </row>
    <row r="479" spans="1:14" x14ac:dyDescent="0.3">
      <c r="A479">
        <v>1</v>
      </c>
      <c r="B479">
        <v>60</v>
      </c>
      <c r="C479">
        <v>1</v>
      </c>
      <c r="D479" s="16">
        <v>4.7</v>
      </c>
      <c r="E479" s="9">
        <v>30.84169052</v>
      </c>
      <c r="F479" s="6">
        <f t="shared" si="115"/>
        <v>1.5239112774807779</v>
      </c>
      <c r="G479" s="6">
        <v>7.9885999999999999</v>
      </c>
      <c r="H479" s="8">
        <v>1.2535019999999999E-2</v>
      </c>
      <c r="I479" s="17">
        <f>F479/((E479*10^-4)/(G479*10^-2)*9.81)^(1/2)</f>
        <v>2.4762325599840134</v>
      </c>
      <c r="J479" s="16">
        <v>4.5</v>
      </c>
      <c r="K479" s="7">
        <v>0</v>
      </c>
      <c r="L479" s="10">
        <f t="shared" si="124"/>
        <v>85.296061623683187</v>
      </c>
      <c r="M479" s="12"/>
      <c r="N479" s="11">
        <f>-(1.7*K479^2)/19.62</f>
        <v>0</v>
      </c>
    </row>
    <row r="480" spans="1:14" x14ac:dyDescent="0.3">
      <c r="A480">
        <v>1</v>
      </c>
      <c r="B480">
        <v>60</v>
      </c>
      <c r="C480">
        <v>1</v>
      </c>
      <c r="D480" s="16">
        <v>9.4</v>
      </c>
      <c r="E480" s="9">
        <v>30.84169052</v>
      </c>
      <c r="F480" s="6">
        <f t="shared" si="115"/>
        <v>3.0478225549615559</v>
      </c>
      <c r="G480" s="6">
        <v>7.9885999999999999</v>
      </c>
      <c r="H480" s="8">
        <v>1.2535019999999999E-2</v>
      </c>
      <c r="I480" s="17">
        <f t="shared" ref="I480:I485" si="133">F480/((E480*10^-4)/(G480*10^-2)*9.81)^(1/2)</f>
        <v>4.9524651199680267</v>
      </c>
      <c r="J480" s="16">
        <v>4.5</v>
      </c>
      <c r="K480" s="7">
        <v>1.02</v>
      </c>
      <c r="L480" s="10">
        <f t="shared" si="124"/>
        <v>21.133614106670137</v>
      </c>
      <c r="M480" s="12"/>
      <c r="N480" s="11">
        <f t="shared" ref="N480:N485" si="134">-(1.7*K480^2)/19.62</f>
        <v>-9.0146788990825691E-2</v>
      </c>
    </row>
    <row r="481" spans="1:14" x14ac:dyDescent="0.3">
      <c r="A481">
        <v>1</v>
      </c>
      <c r="B481">
        <v>60</v>
      </c>
      <c r="C481">
        <v>1</v>
      </c>
      <c r="D481" s="16">
        <v>14.1</v>
      </c>
      <c r="E481" s="9">
        <v>30.84169052</v>
      </c>
      <c r="F481" s="6">
        <f t="shared" si="115"/>
        <v>4.5717338324423338</v>
      </c>
      <c r="G481" s="6">
        <v>7.9885999999999999</v>
      </c>
      <c r="H481" s="8">
        <v>1.2535019999999999E-2</v>
      </c>
      <c r="I481" s="17">
        <f t="shared" si="133"/>
        <v>7.4286976799520401</v>
      </c>
      <c r="J481" s="16">
        <v>4.5</v>
      </c>
      <c r="K481" s="7">
        <v>2.71</v>
      </c>
      <c r="L481" s="10">
        <f t="shared" si="124"/>
        <v>8.8799946373160843</v>
      </c>
      <c r="M481" s="12"/>
      <c r="N481" s="11">
        <f t="shared" si="134"/>
        <v>-0.63633893985728851</v>
      </c>
    </row>
    <row r="482" spans="1:14" x14ac:dyDescent="0.3">
      <c r="A482">
        <v>1</v>
      </c>
      <c r="B482">
        <v>60</v>
      </c>
      <c r="C482">
        <v>1</v>
      </c>
      <c r="D482" s="16">
        <v>18.8</v>
      </c>
      <c r="E482" s="9">
        <v>30.84169052</v>
      </c>
      <c r="F482" s="6">
        <f t="shared" si="115"/>
        <v>6.0956451099231117</v>
      </c>
      <c r="G482" s="6">
        <v>7.9885999999999999</v>
      </c>
      <c r="H482" s="8">
        <v>1.2535019999999999E-2</v>
      </c>
      <c r="I482" s="17">
        <f t="shared" si="133"/>
        <v>9.9049302399360535</v>
      </c>
      <c r="J482" s="16">
        <v>4.5</v>
      </c>
      <c r="K482" s="7">
        <v>4.59</v>
      </c>
      <c r="L482" s="10">
        <f t="shared" si="124"/>
        <v>4.3670972740237364</v>
      </c>
      <c r="M482" s="12"/>
      <c r="N482" s="11">
        <f t="shared" si="134"/>
        <v>-1.8254724770642197</v>
      </c>
    </row>
    <row r="483" spans="1:14" x14ac:dyDescent="0.3">
      <c r="A483">
        <v>1</v>
      </c>
      <c r="B483">
        <v>60</v>
      </c>
      <c r="C483">
        <v>1</v>
      </c>
      <c r="D483" s="16">
        <v>23.5</v>
      </c>
      <c r="E483" s="9">
        <v>30.84169052</v>
      </c>
      <c r="F483" s="6">
        <f t="shared" si="115"/>
        <v>7.6195563874038896</v>
      </c>
      <c r="G483" s="6">
        <v>7.9885999999999999</v>
      </c>
      <c r="H483" s="8">
        <v>1.2535019999999999E-2</v>
      </c>
      <c r="I483" s="17">
        <f t="shared" si="133"/>
        <v>12.381162799920066</v>
      </c>
      <c r="J483" s="16">
        <v>4.5</v>
      </c>
      <c r="K483" s="7">
        <v>6.81</v>
      </c>
      <c r="L483" s="10">
        <f t="shared" si="124"/>
        <v>2.053892492755323</v>
      </c>
      <c r="M483" s="12"/>
      <c r="N483" s="11">
        <f t="shared" si="134"/>
        <v>-4.0183165137614667</v>
      </c>
    </row>
    <row r="484" spans="1:14" x14ac:dyDescent="0.3">
      <c r="A484">
        <v>1</v>
      </c>
      <c r="B484">
        <v>60</v>
      </c>
      <c r="C484">
        <v>1</v>
      </c>
      <c r="D484" s="16">
        <v>28.2</v>
      </c>
      <c r="E484" s="9">
        <v>30.84169052</v>
      </c>
      <c r="F484" s="6">
        <f t="shared" si="115"/>
        <v>9.1434676648846676</v>
      </c>
      <c r="G484" s="6">
        <v>7.9885999999999999</v>
      </c>
      <c r="H484" s="8">
        <v>1.2535019999999999E-2</v>
      </c>
      <c r="I484" s="17">
        <f t="shared" si="133"/>
        <v>14.85739535990408</v>
      </c>
      <c r="J484" s="16">
        <v>4.5</v>
      </c>
      <c r="K484" s="7">
        <v>9.59</v>
      </c>
      <c r="L484" s="10">
        <f t="shared" si="124"/>
        <v>0.49923746194897489</v>
      </c>
      <c r="M484" s="12"/>
      <c r="N484" s="11">
        <f t="shared" si="134"/>
        <v>-7.9686936799184496</v>
      </c>
    </row>
    <row r="485" spans="1:14" x14ac:dyDescent="0.3">
      <c r="A485">
        <v>1</v>
      </c>
      <c r="B485">
        <v>60</v>
      </c>
      <c r="C485">
        <v>1</v>
      </c>
      <c r="D485" s="16">
        <v>33.299999999999997</v>
      </c>
      <c r="E485" s="9">
        <v>30.84169052</v>
      </c>
      <c r="F485" s="6">
        <f t="shared" ref="F485:F506" si="135">(D485*10^-3)/(E485*10^-4)</f>
        <v>10.797073519172319</v>
      </c>
      <c r="G485" s="6">
        <v>7.9885999999999999</v>
      </c>
      <c r="H485" s="8">
        <v>1.2535019999999999E-2</v>
      </c>
      <c r="I485" s="17">
        <f t="shared" si="133"/>
        <v>17.544371116482473</v>
      </c>
      <c r="J485" s="16">
        <v>4.5</v>
      </c>
      <c r="K485" s="7">
        <v>10.31</v>
      </c>
      <c r="L485" s="10">
        <f t="shared" si="124"/>
        <v>0.14908755867476359</v>
      </c>
      <c r="M485" s="12"/>
      <c r="N485" s="11">
        <f t="shared" si="134"/>
        <v>-9.2101615698267079</v>
      </c>
    </row>
    <row r="486" spans="1:14" x14ac:dyDescent="0.3">
      <c r="A486">
        <v>1</v>
      </c>
      <c r="B486">
        <v>60</v>
      </c>
      <c r="C486">
        <v>2</v>
      </c>
      <c r="D486" s="16">
        <v>4.7</v>
      </c>
      <c r="E486" s="9">
        <v>30.84169052</v>
      </c>
      <c r="F486" s="6">
        <f t="shared" si="135"/>
        <v>1.5239112774807779</v>
      </c>
      <c r="G486" s="6">
        <v>7.9885999999999999</v>
      </c>
      <c r="H486" s="8">
        <v>6.2675099999999996E-3</v>
      </c>
      <c r="I486" s="17">
        <f>F486/((E486*10^-4)/(G486*10^-2)*9.81)^(1/2)</f>
        <v>2.4762325599840134</v>
      </c>
      <c r="J486" s="16">
        <v>4.5</v>
      </c>
      <c r="K486" s="7">
        <v>0.4</v>
      </c>
      <c r="L486" s="10">
        <f t="shared" si="124"/>
        <v>85.178936641445162</v>
      </c>
      <c r="M486" s="12"/>
      <c r="N486" s="11">
        <f>-(1.7*K486^2)/19.62</f>
        <v>-1.3863404689092763E-2</v>
      </c>
    </row>
    <row r="487" spans="1:14" x14ac:dyDescent="0.3">
      <c r="A487">
        <v>1</v>
      </c>
      <c r="B487">
        <v>60</v>
      </c>
      <c r="C487">
        <v>2</v>
      </c>
      <c r="D487" s="16">
        <v>9.4</v>
      </c>
      <c r="E487" s="9">
        <v>30.84169052</v>
      </c>
      <c r="F487" s="6">
        <f t="shared" si="135"/>
        <v>3.0478225549615559</v>
      </c>
      <c r="G487" s="6">
        <v>7.9885999999999999</v>
      </c>
      <c r="H487" s="8">
        <v>6.2675099999999996E-3</v>
      </c>
      <c r="I487" s="17">
        <f t="shared" ref="I487:I492" si="136">F487/((E487*10^-4)/(G487*10^-2)*9.81)^(1/2)</f>
        <v>4.9524651199680267</v>
      </c>
      <c r="J487" s="16">
        <v>4.5</v>
      </c>
      <c r="K487" s="7">
        <v>1.0900000000000001</v>
      </c>
      <c r="L487" s="10">
        <f t="shared" si="124"/>
        <v>21.106583856863022</v>
      </c>
      <c r="M487" s="12"/>
      <c r="N487" s="11">
        <f t="shared" ref="N487:N492" si="137">-(1.7*K487^2)/19.62</f>
        <v>-0.10294444444444445</v>
      </c>
    </row>
    <row r="488" spans="1:14" x14ac:dyDescent="0.3">
      <c r="A488">
        <v>1</v>
      </c>
      <c r="B488">
        <v>60</v>
      </c>
      <c r="C488">
        <v>2</v>
      </c>
      <c r="D488" s="16">
        <v>14.1</v>
      </c>
      <c r="E488" s="9">
        <v>30.84169052</v>
      </c>
      <c r="F488" s="6">
        <f t="shared" si="135"/>
        <v>4.5717338324423338</v>
      </c>
      <c r="G488" s="6">
        <v>7.9885999999999999</v>
      </c>
      <c r="H488" s="8">
        <v>6.2675099999999996E-3</v>
      </c>
      <c r="I488" s="17">
        <f t="shared" si="136"/>
        <v>7.4286976799520401</v>
      </c>
      <c r="J488" s="16">
        <v>4.5</v>
      </c>
      <c r="K488" s="7">
        <v>2.87</v>
      </c>
      <c r="L488" s="10">
        <f t="shared" si="124"/>
        <v>8.8073771483285217</v>
      </c>
      <c r="M488" s="12"/>
      <c r="N488" s="11">
        <f t="shared" si="137"/>
        <v>-0.71369673802242606</v>
      </c>
    </row>
    <row r="489" spans="1:14" x14ac:dyDescent="0.3">
      <c r="A489">
        <v>1</v>
      </c>
      <c r="B489">
        <v>60</v>
      </c>
      <c r="C489">
        <v>2</v>
      </c>
      <c r="D489" s="16">
        <v>18.8</v>
      </c>
      <c r="E489" s="9">
        <v>30.84169052</v>
      </c>
      <c r="F489" s="6">
        <f t="shared" si="135"/>
        <v>6.0956451099231117</v>
      </c>
      <c r="G489" s="6">
        <v>7.9885999999999999</v>
      </c>
      <c r="H489" s="8">
        <v>6.2675099999999996E-3</v>
      </c>
      <c r="I489" s="17">
        <f t="shared" si="136"/>
        <v>9.9049302399360535</v>
      </c>
      <c r="J489" s="16">
        <v>4.5</v>
      </c>
      <c r="K489" s="7">
        <v>4.25</v>
      </c>
      <c r="L489" s="10">
        <f t="shared" si="124"/>
        <v>4.5046093234825451</v>
      </c>
      <c r="M489" s="12"/>
      <c r="N489" s="11">
        <f t="shared" si="137"/>
        <v>-1.5650484199796126</v>
      </c>
    </row>
    <row r="490" spans="1:14" x14ac:dyDescent="0.3">
      <c r="A490">
        <v>1</v>
      </c>
      <c r="B490">
        <v>60</v>
      </c>
      <c r="C490">
        <v>2</v>
      </c>
      <c r="D490" s="16">
        <v>23.5</v>
      </c>
      <c r="E490" s="9">
        <v>30.84169052</v>
      </c>
      <c r="F490" s="6">
        <f t="shared" si="135"/>
        <v>7.6195563874038896</v>
      </c>
      <c r="G490" s="6">
        <v>7.9885999999999999</v>
      </c>
      <c r="H490" s="8">
        <v>6.2675099999999996E-3</v>
      </c>
      <c r="I490" s="17">
        <f t="shared" si="136"/>
        <v>12.381162799920066</v>
      </c>
      <c r="J490" s="16">
        <v>4.5</v>
      </c>
      <c r="K490" s="7">
        <v>5.21</v>
      </c>
      <c r="L490" s="10">
        <f t="shared" si="124"/>
        <v>2.6170294073556586</v>
      </c>
      <c r="M490" s="12"/>
      <c r="N490" s="11">
        <f t="shared" si="137"/>
        <v>-2.3519352701325174</v>
      </c>
    </row>
    <row r="491" spans="1:14" x14ac:dyDescent="0.3">
      <c r="A491">
        <v>1</v>
      </c>
      <c r="B491">
        <v>60</v>
      </c>
      <c r="C491">
        <v>2</v>
      </c>
      <c r="D491" s="16">
        <v>28.2</v>
      </c>
      <c r="E491" s="9">
        <v>30.84169052</v>
      </c>
      <c r="F491" s="6">
        <f t="shared" si="135"/>
        <v>9.1434676648846676</v>
      </c>
      <c r="G491" s="6">
        <v>7.9885999999999999</v>
      </c>
      <c r="H491" s="8">
        <v>6.2675099999999996E-3</v>
      </c>
      <c r="I491" s="17">
        <f t="shared" si="136"/>
        <v>14.85739535990408</v>
      </c>
      <c r="J491" s="16">
        <v>4.5</v>
      </c>
      <c r="K491" s="7">
        <v>6.74</v>
      </c>
      <c r="L491" s="10">
        <f t="shared" si="124"/>
        <v>1.4456012181725761</v>
      </c>
      <c r="M491" s="12"/>
      <c r="N491" s="11">
        <f t="shared" si="137"/>
        <v>-3.9361325178389399</v>
      </c>
    </row>
    <row r="492" spans="1:14" x14ac:dyDescent="0.3">
      <c r="A492">
        <v>1</v>
      </c>
      <c r="B492">
        <v>60</v>
      </c>
      <c r="C492">
        <v>2</v>
      </c>
      <c r="D492" s="16">
        <v>33.299999999999997</v>
      </c>
      <c r="E492" s="9">
        <v>30.84169052</v>
      </c>
      <c r="F492" s="6">
        <f t="shared" si="135"/>
        <v>10.797073519172319</v>
      </c>
      <c r="G492" s="6">
        <v>7.9885999999999999</v>
      </c>
      <c r="H492" s="8">
        <v>6.2675099999999996E-3</v>
      </c>
      <c r="I492" s="17">
        <f t="shared" si="136"/>
        <v>17.544371116482473</v>
      </c>
      <c r="J492" s="16">
        <v>4.5</v>
      </c>
      <c r="K492" s="7">
        <v>7.7</v>
      </c>
      <c r="L492" s="10">
        <f t="shared" si="124"/>
        <v>0.83456161822528951</v>
      </c>
      <c r="M492" s="12"/>
      <c r="N492" s="11">
        <f t="shared" si="137"/>
        <v>-5.1372579001019369</v>
      </c>
    </row>
    <row r="493" spans="1:14" x14ac:dyDescent="0.3">
      <c r="A493">
        <v>1</v>
      </c>
      <c r="B493">
        <v>60</v>
      </c>
      <c r="C493">
        <v>4</v>
      </c>
      <c r="D493" s="16">
        <v>4.7</v>
      </c>
      <c r="E493" s="9">
        <v>30.84169052</v>
      </c>
      <c r="F493" s="6">
        <f t="shared" si="135"/>
        <v>1.5239112774807779</v>
      </c>
      <c r="G493" s="6">
        <v>7.9885999999999999</v>
      </c>
      <c r="H493" s="8">
        <v>3.1337600000000002E-3</v>
      </c>
      <c r="I493" s="17">
        <f>F493/((E493*10^-4)/(G493*10^-2)*9.81)^(1/2)</f>
        <v>2.4762325599840134</v>
      </c>
      <c r="J493" s="16">
        <v>4.5</v>
      </c>
      <c r="K493" s="7">
        <v>0</v>
      </c>
      <c r="L493" s="10">
        <f t="shared" si="124"/>
        <v>85.296061623683187</v>
      </c>
      <c r="M493" s="12"/>
      <c r="N493" s="11">
        <f>-(1.7*K493^2)/19.62</f>
        <v>0</v>
      </c>
    </row>
    <row r="494" spans="1:14" x14ac:dyDescent="0.3">
      <c r="A494">
        <v>1</v>
      </c>
      <c r="B494">
        <v>60</v>
      </c>
      <c r="C494">
        <v>4</v>
      </c>
      <c r="D494" s="16">
        <v>9.4</v>
      </c>
      <c r="E494" s="9">
        <v>30.84169052</v>
      </c>
      <c r="F494" s="6">
        <f t="shared" si="135"/>
        <v>3.0478225549615559</v>
      </c>
      <c r="G494" s="6">
        <v>7.9885999999999999</v>
      </c>
      <c r="H494" s="8">
        <v>3.1337600000000002E-3</v>
      </c>
      <c r="I494" s="17">
        <f t="shared" ref="I494:I499" si="138">F494/((E494*10^-4)/(G494*10^-2)*9.81)^(1/2)</f>
        <v>4.9524651199680267</v>
      </c>
      <c r="J494" s="16">
        <v>4.5</v>
      </c>
      <c r="K494" s="7">
        <v>0</v>
      </c>
      <c r="L494" s="10">
        <f t="shared" si="124"/>
        <v>21.324015405920797</v>
      </c>
      <c r="M494" s="12"/>
      <c r="N494" s="11">
        <f t="shared" ref="N494:N499" si="139">-(1.7*K494^2)/19.62</f>
        <v>0</v>
      </c>
    </row>
    <row r="495" spans="1:14" x14ac:dyDescent="0.3">
      <c r="A495">
        <v>1</v>
      </c>
      <c r="B495">
        <v>60</v>
      </c>
      <c r="C495">
        <v>4</v>
      </c>
      <c r="D495" s="16">
        <v>14.1</v>
      </c>
      <c r="E495" s="9">
        <v>30.84169052</v>
      </c>
      <c r="F495" s="6">
        <f t="shared" si="135"/>
        <v>4.5717338324423338</v>
      </c>
      <c r="G495" s="6">
        <v>7.9885999999999999</v>
      </c>
      <c r="H495" s="8">
        <v>3.1337600000000002E-3</v>
      </c>
      <c r="I495" s="17">
        <f t="shared" si="138"/>
        <v>7.4286976799520401</v>
      </c>
      <c r="J495" s="16">
        <v>4.5</v>
      </c>
      <c r="K495" s="7">
        <v>0.4</v>
      </c>
      <c r="L495" s="10">
        <f t="shared" si="124"/>
        <v>9.4643262934939063</v>
      </c>
      <c r="M495" s="12"/>
      <c r="N495" s="11">
        <f t="shared" si="139"/>
        <v>-1.3863404689092763E-2</v>
      </c>
    </row>
    <row r="496" spans="1:14" x14ac:dyDescent="0.3">
      <c r="A496">
        <v>1</v>
      </c>
      <c r="B496">
        <v>60</v>
      </c>
      <c r="C496">
        <v>4</v>
      </c>
      <c r="D496" s="16">
        <v>18.8</v>
      </c>
      <c r="E496" s="9">
        <v>30.84169052</v>
      </c>
      <c r="F496" s="6">
        <f t="shared" si="135"/>
        <v>6.0956451099231117</v>
      </c>
      <c r="G496" s="6">
        <v>7.9885999999999999</v>
      </c>
      <c r="H496" s="8">
        <v>3.1337600000000002E-3</v>
      </c>
      <c r="I496" s="17">
        <f t="shared" si="138"/>
        <v>9.9049302399360535</v>
      </c>
      <c r="J496" s="16">
        <v>4.5</v>
      </c>
      <c r="K496" s="7">
        <v>1.05</v>
      </c>
      <c r="L496" s="10">
        <f t="shared" si="124"/>
        <v>5.2805623308093379</v>
      </c>
      <c r="M496" s="12"/>
      <c r="N496" s="11">
        <f t="shared" si="139"/>
        <v>-9.5527522935779804E-2</v>
      </c>
    </row>
    <row r="497" spans="1:14" x14ac:dyDescent="0.3">
      <c r="A497">
        <v>1</v>
      </c>
      <c r="B497">
        <v>60</v>
      </c>
      <c r="C497">
        <v>4</v>
      </c>
      <c r="D497" s="16">
        <v>23.5</v>
      </c>
      <c r="E497" s="9">
        <v>30.84169052</v>
      </c>
      <c r="F497" s="6">
        <f t="shared" si="135"/>
        <v>7.6195563874038896</v>
      </c>
      <c r="G497" s="6">
        <v>7.9885999999999999</v>
      </c>
      <c r="H497" s="8">
        <v>3.1337600000000002E-3</v>
      </c>
      <c r="I497" s="17">
        <f t="shared" si="138"/>
        <v>12.381162799920066</v>
      </c>
      <c r="J497" s="16">
        <v>4.5</v>
      </c>
      <c r="K497" s="7">
        <v>1.41</v>
      </c>
      <c r="L497" s="10">
        <f t="shared" si="124"/>
        <v>3.3536284206504816</v>
      </c>
      <c r="M497" s="12"/>
      <c r="N497" s="11">
        <f t="shared" si="139"/>
        <v>-0.17226146788990823</v>
      </c>
    </row>
    <row r="498" spans="1:14" x14ac:dyDescent="0.3">
      <c r="A498">
        <v>1</v>
      </c>
      <c r="B498">
        <v>60</v>
      </c>
      <c r="C498">
        <v>4</v>
      </c>
      <c r="D498" s="16">
        <v>28.2</v>
      </c>
      <c r="E498" s="9">
        <v>30.84169052</v>
      </c>
      <c r="F498" s="6">
        <f t="shared" si="135"/>
        <v>9.1434676648846676</v>
      </c>
      <c r="G498" s="6">
        <v>7.9885999999999999</v>
      </c>
      <c r="H498" s="8">
        <v>3.1337600000000002E-3</v>
      </c>
      <c r="I498" s="17">
        <f t="shared" si="138"/>
        <v>14.85739535990408</v>
      </c>
      <c r="J498" s="16">
        <v>4.5</v>
      </c>
      <c r="K498" s="7">
        <v>2.06</v>
      </c>
      <c r="L498" s="10">
        <f t="shared" si="124"/>
        <v>2.2830448411743234</v>
      </c>
      <c r="M498" s="12"/>
      <c r="N498" s="11">
        <f t="shared" si="139"/>
        <v>-0.36769215086646273</v>
      </c>
    </row>
    <row r="499" spans="1:14" x14ac:dyDescent="0.3">
      <c r="A499">
        <v>1</v>
      </c>
      <c r="B499">
        <v>60</v>
      </c>
      <c r="C499">
        <v>4</v>
      </c>
      <c r="D499" s="16">
        <v>33.299999999999997</v>
      </c>
      <c r="E499" s="9">
        <v>30.84169052</v>
      </c>
      <c r="F499" s="6">
        <f t="shared" si="135"/>
        <v>10.797073519172319</v>
      </c>
      <c r="G499" s="6">
        <v>7.9885999999999999</v>
      </c>
      <c r="H499" s="8">
        <v>3.1337600000000002E-3</v>
      </c>
      <c r="I499" s="17">
        <f t="shared" si="138"/>
        <v>17.544371116482473</v>
      </c>
      <c r="J499" s="16">
        <v>4.5</v>
      </c>
      <c r="K499" s="7">
        <v>2.21</v>
      </c>
      <c r="L499" s="10">
        <f t="shared" si="124"/>
        <v>1.6279444586757834</v>
      </c>
      <c r="M499" s="12"/>
      <c r="N499" s="11">
        <f t="shared" si="139"/>
        <v>-0.42318909276248723</v>
      </c>
    </row>
    <row r="500" spans="1:14" x14ac:dyDescent="0.3">
      <c r="A500">
        <v>1</v>
      </c>
      <c r="B500">
        <v>60</v>
      </c>
      <c r="C500">
        <v>6</v>
      </c>
      <c r="D500" s="16">
        <v>4.7</v>
      </c>
      <c r="E500" s="9">
        <v>30.84169052</v>
      </c>
      <c r="F500" s="6">
        <f t="shared" si="135"/>
        <v>1.5239112774807779</v>
      </c>
      <c r="G500" s="6">
        <v>7.9885999999999999</v>
      </c>
      <c r="H500" s="8">
        <v>2.08917E-3</v>
      </c>
      <c r="I500" s="17">
        <f>F500/((E500*10^-4)/(G500*10^-2)*9.81)^(1/2)</f>
        <v>2.4762325599840134</v>
      </c>
      <c r="J500" s="16">
        <v>4.5</v>
      </c>
      <c r="K500" s="7">
        <v>0</v>
      </c>
      <c r="L500" s="10">
        <f t="shared" si="124"/>
        <v>85.296061623683187</v>
      </c>
      <c r="M500" s="12"/>
      <c r="N500" s="11">
        <f>-(1.7*K500^2)/19.62</f>
        <v>0</v>
      </c>
    </row>
    <row r="501" spans="1:14" x14ac:dyDescent="0.3">
      <c r="A501">
        <v>1</v>
      </c>
      <c r="B501">
        <v>60</v>
      </c>
      <c r="C501">
        <v>6</v>
      </c>
      <c r="D501" s="16">
        <v>9.4</v>
      </c>
      <c r="E501" s="9">
        <v>30.84169052</v>
      </c>
      <c r="F501" s="6">
        <f t="shared" si="135"/>
        <v>3.0478225549615559</v>
      </c>
      <c r="G501" s="6">
        <v>7.9885999999999999</v>
      </c>
      <c r="H501" s="8">
        <v>2.08917E-3</v>
      </c>
      <c r="I501" s="17">
        <f t="shared" ref="I501:I506" si="140">F501/((E501*10^-4)/(G501*10^-2)*9.81)^(1/2)</f>
        <v>4.9524651199680267</v>
      </c>
      <c r="J501" s="16">
        <v>4.5</v>
      </c>
      <c r="K501" s="7">
        <v>0</v>
      </c>
      <c r="L501" s="10">
        <f t="shared" si="124"/>
        <v>21.324015405920797</v>
      </c>
      <c r="M501" s="12"/>
      <c r="N501" s="11">
        <f t="shared" ref="N501:N506" si="141">-(1.7*K501^2)/19.62</f>
        <v>0</v>
      </c>
    </row>
    <row r="502" spans="1:14" x14ac:dyDescent="0.3">
      <c r="A502">
        <v>1</v>
      </c>
      <c r="B502">
        <v>60</v>
      </c>
      <c r="C502">
        <v>6</v>
      </c>
      <c r="D502" s="16">
        <v>14.1</v>
      </c>
      <c r="E502" s="9">
        <v>30.84169052</v>
      </c>
      <c r="F502" s="6">
        <f t="shared" si="135"/>
        <v>4.5717338324423338</v>
      </c>
      <c r="G502" s="6">
        <v>7.9885999999999999</v>
      </c>
      <c r="H502" s="8">
        <v>2.08917E-3</v>
      </c>
      <c r="I502" s="17">
        <f t="shared" si="140"/>
        <v>7.4286976799520401</v>
      </c>
      <c r="J502" s="16">
        <v>4.5</v>
      </c>
      <c r="K502" s="7">
        <v>0</v>
      </c>
      <c r="L502" s="10">
        <f t="shared" si="124"/>
        <v>9.4773401804092412</v>
      </c>
      <c r="M502" s="12"/>
      <c r="N502" s="11">
        <f t="shared" si="141"/>
        <v>0</v>
      </c>
    </row>
    <row r="503" spans="1:14" x14ac:dyDescent="0.3">
      <c r="A503">
        <v>1</v>
      </c>
      <c r="B503">
        <v>60</v>
      </c>
      <c r="C503">
        <v>6</v>
      </c>
      <c r="D503" s="16">
        <v>18.8</v>
      </c>
      <c r="E503" s="9">
        <v>30.84169052</v>
      </c>
      <c r="F503" s="6">
        <f t="shared" si="135"/>
        <v>6.0956451099231117</v>
      </c>
      <c r="G503" s="6">
        <v>7.9885999999999999</v>
      </c>
      <c r="H503" s="8">
        <v>2.08917E-3</v>
      </c>
      <c r="I503" s="17">
        <f t="shared" si="140"/>
        <v>9.9049302399360535</v>
      </c>
      <c r="J503" s="16">
        <v>4.5</v>
      </c>
      <c r="K503" s="7">
        <v>0</v>
      </c>
      <c r="L503" s="10">
        <f t="shared" si="124"/>
        <v>5.3310038514801992</v>
      </c>
      <c r="M503" s="12"/>
      <c r="N503" s="11">
        <f t="shared" si="141"/>
        <v>0</v>
      </c>
    </row>
    <row r="504" spans="1:14" x14ac:dyDescent="0.3">
      <c r="A504">
        <v>1</v>
      </c>
      <c r="B504">
        <v>60</v>
      </c>
      <c r="C504">
        <v>6</v>
      </c>
      <c r="D504" s="16">
        <v>23.5</v>
      </c>
      <c r="E504" s="9">
        <v>30.84169052</v>
      </c>
      <c r="F504" s="6">
        <f t="shared" si="135"/>
        <v>7.6195563874038896</v>
      </c>
      <c r="G504" s="6">
        <v>7.9885999999999999</v>
      </c>
      <c r="H504" s="8">
        <v>2.08917E-3</v>
      </c>
      <c r="I504" s="17">
        <f t="shared" si="140"/>
        <v>12.381162799920066</v>
      </c>
      <c r="J504" s="16">
        <v>4.5</v>
      </c>
      <c r="K504" s="7">
        <v>0</v>
      </c>
      <c r="L504" s="10">
        <f t="shared" si="124"/>
        <v>3.4118424649473273</v>
      </c>
      <c r="M504" s="12"/>
      <c r="N504" s="11">
        <f t="shared" si="141"/>
        <v>0</v>
      </c>
    </row>
    <row r="505" spans="1:14" x14ac:dyDescent="0.3">
      <c r="A505">
        <v>1</v>
      </c>
      <c r="B505">
        <v>60</v>
      </c>
      <c r="C505">
        <v>6</v>
      </c>
      <c r="D505" s="16">
        <v>28.2</v>
      </c>
      <c r="E505" s="9">
        <v>30.84169052</v>
      </c>
      <c r="F505" s="6">
        <f t="shared" si="135"/>
        <v>9.1434676648846676</v>
      </c>
      <c r="G505" s="6">
        <v>7.9885999999999999</v>
      </c>
      <c r="H505" s="8">
        <v>2.08917E-3</v>
      </c>
      <c r="I505" s="17">
        <f t="shared" si="140"/>
        <v>14.85739535990408</v>
      </c>
      <c r="J505" s="16">
        <v>4.5</v>
      </c>
      <c r="K505" s="7">
        <v>0</v>
      </c>
      <c r="L505" s="10">
        <f t="shared" si="124"/>
        <v>2.3693350451023103</v>
      </c>
      <c r="M505" s="12"/>
      <c r="N505" s="11">
        <f t="shared" si="141"/>
        <v>0</v>
      </c>
    </row>
    <row r="506" spans="1:14" x14ac:dyDescent="0.3">
      <c r="A506">
        <v>1</v>
      </c>
      <c r="B506">
        <v>60</v>
      </c>
      <c r="C506">
        <v>6</v>
      </c>
      <c r="D506" s="16">
        <v>33.299999999999997</v>
      </c>
      <c r="E506" s="9">
        <v>30.84169052</v>
      </c>
      <c r="F506" s="6">
        <f t="shared" si="135"/>
        <v>10.797073519172319</v>
      </c>
      <c r="G506" s="6">
        <v>7.9885999999999999</v>
      </c>
      <c r="H506" s="8">
        <v>2.08917E-3</v>
      </c>
      <c r="I506" s="17">
        <f t="shared" si="140"/>
        <v>17.544371116482473</v>
      </c>
      <c r="J506" s="16">
        <v>4.5</v>
      </c>
      <c r="K506" s="7">
        <v>0</v>
      </c>
      <c r="L506" s="10">
        <f t="shared" si="124"/>
        <v>1.6991676372473032</v>
      </c>
      <c r="M506" s="12"/>
      <c r="N506" s="11">
        <f t="shared" si="141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42A14-A026-49F9-B328-E416940B1D2D}">
  <dimension ref="A1:R506"/>
  <sheetViews>
    <sheetView workbookViewId="0">
      <selection activeCell="P4" sqref="P4"/>
    </sheetView>
  </sheetViews>
  <sheetFormatPr defaultColWidth="13.5546875" defaultRowHeight="14.4" x14ac:dyDescent="0.3"/>
  <cols>
    <col min="3" max="3" width="13.5546875" customWidth="1"/>
    <col min="16" max="16" width="13.5546875" customWidth="1"/>
  </cols>
  <sheetData>
    <row r="1" spans="1:18" ht="43.8" customHeight="1" x14ac:dyDescent="0.35">
      <c r="A1" t="s">
        <v>18</v>
      </c>
      <c r="B1" t="s">
        <v>0</v>
      </c>
      <c r="C1" t="s">
        <v>1</v>
      </c>
      <c r="D1" s="5" t="s">
        <v>20</v>
      </c>
      <c r="E1" s="1" t="s">
        <v>2</v>
      </c>
      <c r="F1" s="2" t="s">
        <v>3</v>
      </c>
      <c r="G1" s="3" t="s">
        <v>4</v>
      </c>
      <c r="H1" s="3" t="s">
        <v>5</v>
      </c>
      <c r="I1" s="1" t="s">
        <v>6</v>
      </c>
      <c r="J1" s="3" t="s">
        <v>7</v>
      </c>
      <c r="K1" s="3" t="s">
        <v>8</v>
      </c>
      <c r="L1" s="4" t="s">
        <v>9</v>
      </c>
      <c r="N1" s="11" t="s">
        <v>17</v>
      </c>
      <c r="O1" s="3" t="s">
        <v>22</v>
      </c>
      <c r="P1" s="5" t="s">
        <v>24</v>
      </c>
      <c r="Q1" t="s">
        <v>23</v>
      </c>
      <c r="R1" t="s">
        <v>28</v>
      </c>
    </row>
    <row r="2" spans="1:18" ht="16.8" customHeight="1" x14ac:dyDescent="0.3">
      <c r="A2" s="14" t="s">
        <v>12</v>
      </c>
      <c r="B2" t="s">
        <v>16</v>
      </c>
      <c r="C2" t="s">
        <v>11</v>
      </c>
      <c r="D2" s="5" t="s">
        <v>14</v>
      </c>
      <c r="E2" s="1" t="s">
        <v>10</v>
      </c>
      <c r="F2" s="2" t="s">
        <v>15</v>
      </c>
      <c r="G2" s="3" t="s">
        <v>11</v>
      </c>
      <c r="H2" s="3" t="s">
        <v>12</v>
      </c>
      <c r="I2" s="1" t="s">
        <v>12</v>
      </c>
      <c r="J2" s="3" t="s">
        <v>13</v>
      </c>
      <c r="K2" s="3" t="s">
        <v>15</v>
      </c>
      <c r="L2" s="4" t="s">
        <v>12</v>
      </c>
      <c r="N2" s="11" t="s">
        <v>13</v>
      </c>
      <c r="O2" t="s">
        <v>12</v>
      </c>
      <c r="P2" s="5" t="s">
        <v>14</v>
      </c>
      <c r="Q2" t="s">
        <v>12</v>
      </c>
    </row>
    <row r="3" spans="1:18" x14ac:dyDescent="0.3">
      <c r="A3">
        <v>0.6</v>
      </c>
      <c r="B3">
        <v>10</v>
      </c>
      <c r="C3">
        <v>1</v>
      </c>
      <c r="D3" s="3">
        <v>1.6</v>
      </c>
      <c r="E3" s="1">
        <v>5.0759999999999996</v>
      </c>
      <c r="F3" s="6">
        <f>(D3*10^-3)/(E3*10^-4)</f>
        <v>3.1520882584712373</v>
      </c>
      <c r="G3" s="7">
        <v>0.94</v>
      </c>
      <c r="H3" s="8">
        <v>4.0000000000000001E-3</v>
      </c>
      <c r="I3" s="9">
        <f t="shared" ref="I3:I66" si="0">(F3)/((9.81*G3*10^-2))^(1/2)</f>
        <v>10.380061789358871</v>
      </c>
      <c r="J3" s="7">
        <v>3</v>
      </c>
      <c r="K3" s="7">
        <v>0</v>
      </c>
      <c r="L3" s="10">
        <f>(10.33+N3-0.234)/((F3^2)/19.62)</f>
        <v>19.936623459420002</v>
      </c>
      <c r="N3" s="11">
        <f>-(1.7*K3^2)/19.62</f>
        <v>0</v>
      </c>
      <c r="O3">
        <f>K3/F3</f>
        <v>0</v>
      </c>
      <c r="P3">
        <f t="shared" ref="P3:P67" si="1">K3*PI()*(J3^2)/40</f>
        <v>0</v>
      </c>
      <c r="Q3">
        <f>P3/D3</f>
        <v>0</v>
      </c>
      <c r="R3">
        <f>C3*H3</f>
        <v>4.0000000000000001E-3</v>
      </c>
    </row>
    <row r="4" spans="1:18" x14ac:dyDescent="0.3">
      <c r="A4">
        <v>0.6</v>
      </c>
      <c r="B4">
        <v>10</v>
      </c>
      <c r="C4">
        <v>1</v>
      </c>
      <c r="D4" s="3">
        <v>3.2</v>
      </c>
      <c r="E4" s="1">
        <v>5.0759999999999996</v>
      </c>
      <c r="F4" s="6">
        <f t="shared" ref="F4:F9" si="2">(D4*10^-3)/(E4*10^-4)</f>
        <v>6.3041765169424746</v>
      </c>
      <c r="G4" s="7">
        <v>0.94</v>
      </c>
      <c r="H4" s="8">
        <v>4.0000000000000001E-3</v>
      </c>
      <c r="I4" s="9">
        <f t="shared" si="0"/>
        <v>20.760123578717742</v>
      </c>
      <c r="J4" s="7">
        <v>4.5</v>
      </c>
      <c r="K4" s="7">
        <v>2.1800000000000002</v>
      </c>
      <c r="L4" s="10">
        <f>(10.33+N4-0.234)/((F4^2)/19.62)</f>
        <v>4.7808709375443756</v>
      </c>
      <c r="N4" s="11">
        <f t="shared" ref="N4:N9" si="3">-(1.7*K4^2)/19.62</f>
        <v>-0.4117777777777778</v>
      </c>
      <c r="O4">
        <f t="shared" ref="O4:O67" si="4">K4/F4</f>
        <v>0.34580250000000001</v>
      </c>
      <c r="P4">
        <f t="shared" si="1"/>
        <v>3.4671401923180354</v>
      </c>
      <c r="Q4">
        <f t="shared" ref="Q4:Q67" si="5">P4/D4</f>
        <v>1.0834813100993861</v>
      </c>
      <c r="R4">
        <f t="shared" ref="R4:R67" si="6">C4*H4</f>
        <v>4.0000000000000001E-3</v>
      </c>
    </row>
    <row r="5" spans="1:18" x14ac:dyDescent="0.3">
      <c r="A5">
        <v>0.6</v>
      </c>
      <c r="B5">
        <v>10</v>
      </c>
      <c r="C5">
        <v>1</v>
      </c>
      <c r="D5" s="3">
        <v>4.8</v>
      </c>
      <c r="E5" s="1">
        <v>5.0759999999999996</v>
      </c>
      <c r="F5" s="6">
        <f t="shared" si="2"/>
        <v>9.456264775413711</v>
      </c>
      <c r="G5" s="7">
        <v>0.94</v>
      </c>
      <c r="H5" s="8">
        <v>4.0000000000000001E-3</v>
      </c>
      <c r="I5" s="9">
        <f t="shared" si="0"/>
        <v>31.140185368076612</v>
      </c>
      <c r="J5" s="7">
        <v>4.5</v>
      </c>
      <c r="K5" s="7">
        <v>6.82</v>
      </c>
      <c r="L5" s="10">
        <f t="shared" ref="L5:L68" si="7">(10.33+N5-0.234)/((F5^2)/19.62)</f>
        <v>1.3309235547975002</v>
      </c>
      <c r="N5" s="11">
        <f t="shared" si="3"/>
        <v>-4.030126401630989</v>
      </c>
      <c r="O5">
        <f t="shared" si="4"/>
        <v>0.72121500000000005</v>
      </c>
      <c r="P5">
        <f t="shared" si="1"/>
        <v>10.846741335600459</v>
      </c>
      <c r="Q5">
        <f t="shared" si="5"/>
        <v>2.2597377782500958</v>
      </c>
      <c r="R5">
        <f t="shared" si="6"/>
        <v>4.0000000000000001E-3</v>
      </c>
    </row>
    <row r="6" spans="1:18" x14ac:dyDescent="0.3">
      <c r="A6">
        <v>0.6</v>
      </c>
      <c r="B6">
        <v>10</v>
      </c>
      <c r="C6">
        <v>1</v>
      </c>
      <c r="D6" s="3">
        <v>6.4</v>
      </c>
      <c r="E6" s="1">
        <v>5.0759999999999996</v>
      </c>
      <c r="F6" s="6">
        <f t="shared" si="2"/>
        <v>12.608353033884949</v>
      </c>
      <c r="G6" s="7">
        <v>0.94</v>
      </c>
      <c r="H6" s="8">
        <v>4.0000000000000001E-3</v>
      </c>
      <c r="I6" s="9">
        <f t="shared" si="0"/>
        <v>41.520247157435485</v>
      </c>
      <c r="J6" s="7">
        <v>4.5</v>
      </c>
      <c r="K6" s="7">
        <v>10.49</v>
      </c>
      <c r="L6" s="10">
        <f t="shared" si="7"/>
        <v>6.9291757974023468E-2</v>
      </c>
      <c r="N6" s="11">
        <f t="shared" si="3"/>
        <v>-9.5345652395514779</v>
      </c>
      <c r="O6">
        <f t="shared" si="4"/>
        <v>0.83198812499999997</v>
      </c>
      <c r="P6">
        <f t="shared" si="1"/>
        <v>16.683624136429447</v>
      </c>
      <c r="Q6">
        <f t="shared" si="5"/>
        <v>2.606816271317101</v>
      </c>
      <c r="R6">
        <f t="shared" si="6"/>
        <v>4.0000000000000001E-3</v>
      </c>
    </row>
    <row r="7" spans="1:18" x14ac:dyDescent="0.3">
      <c r="A7">
        <v>0.6</v>
      </c>
      <c r="B7">
        <v>10</v>
      </c>
      <c r="C7">
        <v>1</v>
      </c>
      <c r="D7" s="3">
        <v>8</v>
      </c>
      <c r="E7" s="1">
        <v>5.0759999999999996</v>
      </c>
      <c r="F7" s="6">
        <f t="shared" si="2"/>
        <v>15.760441292356187</v>
      </c>
      <c r="G7" s="7">
        <v>0.94</v>
      </c>
      <c r="H7" s="8">
        <v>4.0000000000000001E-3</v>
      </c>
      <c r="I7" s="9">
        <f t="shared" si="0"/>
        <v>51.900308946794361</v>
      </c>
      <c r="J7" s="7">
        <v>4.5</v>
      </c>
      <c r="K7" s="7">
        <v>14.75</v>
      </c>
      <c r="L7" s="10">
        <f t="shared" si="7"/>
        <v>-0.69154026313882477</v>
      </c>
      <c r="N7" s="11">
        <f t="shared" si="3"/>
        <v>-18.850981141692149</v>
      </c>
      <c r="O7">
        <f t="shared" si="4"/>
        <v>0.93588749999999987</v>
      </c>
      <c r="P7">
        <f t="shared" si="1"/>
        <v>23.458861392977532</v>
      </c>
      <c r="Q7">
        <f t="shared" si="5"/>
        <v>2.9323576741221915</v>
      </c>
      <c r="R7">
        <f t="shared" si="6"/>
        <v>4.0000000000000001E-3</v>
      </c>
    </row>
    <row r="8" spans="1:18" x14ac:dyDescent="0.3">
      <c r="A8">
        <v>0.6</v>
      </c>
      <c r="B8">
        <v>10</v>
      </c>
      <c r="C8">
        <v>1</v>
      </c>
      <c r="D8" s="3">
        <v>9.6</v>
      </c>
      <c r="E8" s="1">
        <v>5.0759999999999996</v>
      </c>
      <c r="F8" s="6">
        <f t="shared" si="2"/>
        <v>18.912529550827422</v>
      </c>
      <c r="G8" s="7">
        <v>0.94</v>
      </c>
      <c r="H8" s="8">
        <v>4.0000000000000001E-3</v>
      </c>
      <c r="I8" s="9">
        <f t="shared" si="0"/>
        <v>62.280370736153223</v>
      </c>
      <c r="J8" s="7">
        <v>4.5</v>
      </c>
      <c r="K8" s="7">
        <v>18.57</v>
      </c>
      <c r="L8" s="10">
        <f t="shared" si="7"/>
        <v>-1.0851842834451564</v>
      </c>
      <c r="N8" s="11">
        <f t="shared" si="3"/>
        <v>-29.879527522935774</v>
      </c>
      <c r="O8">
        <f t="shared" si="4"/>
        <v>0.98188875000000009</v>
      </c>
      <c r="P8">
        <f t="shared" si="1"/>
        <v>29.534308885938493</v>
      </c>
      <c r="Q8">
        <f t="shared" si="5"/>
        <v>3.0764905089519266</v>
      </c>
      <c r="R8">
        <f t="shared" si="6"/>
        <v>4.0000000000000001E-3</v>
      </c>
    </row>
    <row r="9" spans="1:18" x14ac:dyDescent="0.3">
      <c r="A9">
        <v>0.6</v>
      </c>
      <c r="B9">
        <v>10</v>
      </c>
      <c r="C9">
        <v>1</v>
      </c>
      <c r="D9" s="7">
        <v>11.55</v>
      </c>
      <c r="E9" s="1">
        <v>5.0759999999999996</v>
      </c>
      <c r="F9" s="6">
        <f t="shared" si="2"/>
        <v>22.754137115839246</v>
      </c>
      <c r="G9" s="7">
        <v>0.94</v>
      </c>
      <c r="H9" s="8">
        <v>4.0000000000000001E-3</v>
      </c>
      <c r="I9" s="9">
        <f t="shared" si="0"/>
        <v>74.931071041934359</v>
      </c>
      <c r="J9" s="7">
        <v>4.5</v>
      </c>
      <c r="K9" s="7">
        <v>23.23</v>
      </c>
      <c r="L9" s="10">
        <f t="shared" si="7"/>
        <v>-1.3892638529682848</v>
      </c>
      <c r="N9" s="11">
        <f t="shared" si="3"/>
        <v>-46.757182976554539</v>
      </c>
      <c r="O9">
        <f t="shared" si="4"/>
        <v>1.0209132467532467</v>
      </c>
      <c r="P9">
        <f t="shared" si="1"/>
        <v>36.945718654838515</v>
      </c>
      <c r="Q9">
        <f t="shared" si="5"/>
        <v>3.1987635198994382</v>
      </c>
      <c r="R9">
        <f t="shared" si="6"/>
        <v>4.0000000000000001E-3</v>
      </c>
    </row>
    <row r="10" spans="1:18" x14ac:dyDescent="0.3">
      <c r="A10">
        <v>0.6</v>
      </c>
      <c r="B10">
        <v>10</v>
      </c>
      <c r="C10">
        <v>2</v>
      </c>
      <c r="D10" s="3">
        <v>1.6</v>
      </c>
      <c r="E10" s="1">
        <v>5.0759999999999996</v>
      </c>
      <c r="F10" s="6">
        <f>(D10*10^-3)/(E10*10^-4)</f>
        <v>3.1520882584712373</v>
      </c>
      <c r="G10" s="7">
        <v>0.94</v>
      </c>
      <c r="H10" s="8">
        <v>2E-3</v>
      </c>
      <c r="I10" s="9">
        <f t="shared" si="0"/>
        <v>10.380061789358871</v>
      </c>
      <c r="J10" s="7">
        <v>3</v>
      </c>
      <c r="K10" s="7">
        <v>0.44</v>
      </c>
      <c r="L10" s="10">
        <f t="shared" si="7"/>
        <v>19.903498333649999</v>
      </c>
      <c r="M10" s="12"/>
      <c r="N10" s="11">
        <f>-(1.7*K10^2)/19.62</f>
        <v>-1.677471967380224E-2</v>
      </c>
      <c r="O10">
        <f t="shared" si="4"/>
        <v>0.13958999999999999</v>
      </c>
      <c r="P10">
        <f t="shared" si="1"/>
        <v>0.31101767270538949</v>
      </c>
      <c r="Q10">
        <f t="shared" si="5"/>
        <v>0.19438604544086843</v>
      </c>
      <c r="R10">
        <f t="shared" si="6"/>
        <v>4.0000000000000001E-3</v>
      </c>
    </row>
    <row r="11" spans="1:18" x14ac:dyDescent="0.3">
      <c r="A11">
        <v>0.6</v>
      </c>
      <c r="B11">
        <v>10</v>
      </c>
      <c r="C11">
        <v>2</v>
      </c>
      <c r="D11" s="3">
        <v>3.2</v>
      </c>
      <c r="E11" s="1">
        <v>5.0759999999999996</v>
      </c>
      <c r="F11" s="6">
        <f t="shared" ref="F11:F16" si="8">(D11*10^-3)/(E11*10^-4)</f>
        <v>6.3041765169424746</v>
      </c>
      <c r="G11" s="7">
        <v>0.94</v>
      </c>
      <c r="H11" s="8">
        <v>2E-3</v>
      </c>
      <c r="I11" s="9">
        <f t="shared" si="0"/>
        <v>20.760123578717742</v>
      </c>
      <c r="J11" s="7">
        <v>4.5</v>
      </c>
      <c r="K11" s="7">
        <v>2.57</v>
      </c>
      <c r="L11" s="10">
        <f t="shared" si="7"/>
        <v>4.7016298534935945</v>
      </c>
      <c r="M11" s="12"/>
      <c r="N11" s="11">
        <f t="shared" ref="N11:N16" si="9">-(1.7*K11^2)/19.62</f>
        <v>-0.57229001019367975</v>
      </c>
      <c r="O11">
        <f t="shared" si="4"/>
        <v>0.40766624999999995</v>
      </c>
      <c r="P11">
        <f t="shared" si="1"/>
        <v>4.0874083918611692</v>
      </c>
      <c r="Q11">
        <f t="shared" si="5"/>
        <v>1.2773151224566153</v>
      </c>
      <c r="R11">
        <f t="shared" si="6"/>
        <v>4.0000000000000001E-3</v>
      </c>
    </row>
    <row r="12" spans="1:18" x14ac:dyDescent="0.3">
      <c r="A12">
        <v>0.6</v>
      </c>
      <c r="B12">
        <v>10</v>
      </c>
      <c r="C12">
        <v>2</v>
      </c>
      <c r="D12" s="3">
        <v>4.8</v>
      </c>
      <c r="E12" s="1">
        <v>5.0759999999999996</v>
      </c>
      <c r="F12" s="6">
        <f t="shared" si="8"/>
        <v>9.456264775413711</v>
      </c>
      <c r="G12" s="7">
        <v>0.94</v>
      </c>
      <c r="H12" s="8">
        <v>2E-3</v>
      </c>
      <c r="I12" s="9">
        <f t="shared" si="0"/>
        <v>31.140185368076612</v>
      </c>
      <c r="J12" s="7">
        <v>4.5</v>
      </c>
      <c r="K12" s="7">
        <v>6.83</v>
      </c>
      <c r="L12" s="10">
        <f t="shared" si="7"/>
        <v>1.3283285251443753</v>
      </c>
      <c r="M12" s="12"/>
      <c r="N12" s="11">
        <f t="shared" si="9"/>
        <v>-4.0419536187563709</v>
      </c>
      <c r="O12">
        <f t="shared" si="4"/>
        <v>0.72227250000000009</v>
      </c>
      <c r="P12">
        <f t="shared" si="1"/>
        <v>10.862645648409259</v>
      </c>
      <c r="Q12">
        <f t="shared" si="5"/>
        <v>2.263051176751929</v>
      </c>
      <c r="R12">
        <f t="shared" si="6"/>
        <v>4.0000000000000001E-3</v>
      </c>
    </row>
    <row r="13" spans="1:18" x14ac:dyDescent="0.3">
      <c r="A13">
        <v>0.6</v>
      </c>
      <c r="B13">
        <v>10</v>
      </c>
      <c r="C13">
        <v>2</v>
      </c>
      <c r="D13" s="3">
        <v>6.4</v>
      </c>
      <c r="E13" s="1">
        <v>5.0759999999999996</v>
      </c>
      <c r="F13" s="6">
        <f t="shared" si="8"/>
        <v>12.608353033884949</v>
      </c>
      <c r="G13" s="7">
        <v>0.94</v>
      </c>
      <c r="H13" s="8">
        <v>2E-3</v>
      </c>
      <c r="I13" s="9">
        <f t="shared" si="0"/>
        <v>41.520247157435485</v>
      </c>
      <c r="J13" s="7">
        <v>4.5</v>
      </c>
      <c r="K13" s="7">
        <v>11.28</v>
      </c>
      <c r="L13" s="10">
        <f t="shared" si="7"/>
        <v>-0.11462348302874979</v>
      </c>
      <c r="M13" s="12"/>
      <c r="N13" s="11">
        <f t="shared" si="9"/>
        <v>-11.024733944954127</v>
      </c>
      <c r="O13">
        <f t="shared" si="4"/>
        <v>0.89464499999999991</v>
      </c>
      <c r="P13">
        <f t="shared" si="1"/>
        <v>17.940064848324514</v>
      </c>
      <c r="Q13">
        <f t="shared" si="5"/>
        <v>2.8031351325507052</v>
      </c>
      <c r="R13">
        <f t="shared" si="6"/>
        <v>4.0000000000000001E-3</v>
      </c>
    </row>
    <row r="14" spans="1:18" x14ac:dyDescent="0.3">
      <c r="A14">
        <v>0.6</v>
      </c>
      <c r="B14">
        <v>10</v>
      </c>
      <c r="C14">
        <v>2</v>
      </c>
      <c r="D14" s="3">
        <v>8</v>
      </c>
      <c r="E14" s="1">
        <v>5.0759999999999996</v>
      </c>
      <c r="F14" s="6">
        <f t="shared" si="8"/>
        <v>15.760441292356187</v>
      </c>
      <c r="G14" s="7">
        <v>0.94</v>
      </c>
      <c r="H14" s="8">
        <v>2E-3</v>
      </c>
      <c r="I14" s="9">
        <f t="shared" si="0"/>
        <v>51.900308946794361</v>
      </c>
      <c r="J14" s="7">
        <v>4.5</v>
      </c>
      <c r="K14" s="7">
        <v>16.95</v>
      </c>
      <c r="L14" s="10">
        <f t="shared" si="7"/>
        <v>-1.1688432117338243</v>
      </c>
      <c r="M14" s="12"/>
      <c r="N14" s="11">
        <f t="shared" si="9"/>
        <v>-24.893692660550453</v>
      </c>
      <c r="O14">
        <f t="shared" si="4"/>
        <v>1.0754774999999999</v>
      </c>
      <c r="P14">
        <f t="shared" si="1"/>
        <v>26.957810210913163</v>
      </c>
      <c r="Q14">
        <f t="shared" si="5"/>
        <v>3.3697262763641453</v>
      </c>
      <c r="R14">
        <f t="shared" si="6"/>
        <v>4.0000000000000001E-3</v>
      </c>
    </row>
    <row r="15" spans="1:18" x14ac:dyDescent="0.3">
      <c r="A15">
        <v>0.6</v>
      </c>
      <c r="B15">
        <v>10</v>
      </c>
      <c r="C15">
        <v>2</v>
      </c>
      <c r="D15" s="3">
        <v>9.6</v>
      </c>
      <c r="E15" s="1">
        <v>5.0759999999999996</v>
      </c>
      <c r="F15" s="6">
        <f t="shared" si="8"/>
        <v>18.912529550827422</v>
      </c>
      <c r="G15" s="7">
        <v>0.94</v>
      </c>
      <c r="H15" s="8">
        <v>2E-3</v>
      </c>
      <c r="I15" s="9">
        <f t="shared" si="0"/>
        <v>62.280370736153223</v>
      </c>
      <c r="J15" s="7">
        <v>4.5</v>
      </c>
      <c r="K15" s="7">
        <v>21.99</v>
      </c>
      <c r="L15" s="10">
        <f t="shared" si="7"/>
        <v>-1.7444701027476561</v>
      </c>
      <c r="M15" s="12"/>
      <c r="N15" s="11">
        <f t="shared" si="9"/>
        <v>-41.898683486238518</v>
      </c>
      <c r="O15">
        <f t="shared" si="4"/>
        <v>1.1627212499999999</v>
      </c>
      <c r="P15">
        <f t="shared" si="1"/>
        <v>34.973583866547514</v>
      </c>
      <c r="Q15">
        <f t="shared" si="5"/>
        <v>3.6430816527653662</v>
      </c>
      <c r="R15">
        <f t="shared" si="6"/>
        <v>4.0000000000000001E-3</v>
      </c>
    </row>
    <row r="16" spans="1:18" x14ac:dyDescent="0.3">
      <c r="A16">
        <v>0.6</v>
      </c>
      <c r="B16">
        <v>10</v>
      </c>
      <c r="C16">
        <v>2</v>
      </c>
      <c r="D16" s="7">
        <v>11.5</v>
      </c>
      <c r="E16" s="1">
        <v>5.0759999999999996</v>
      </c>
      <c r="F16" s="6">
        <f t="shared" si="8"/>
        <v>22.655634357762018</v>
      </c>
      <c r="G16" s="7">
        <v>0.94</v>
      </c>
      <c r="H16" s="8">
        <v>2E-3</v>
      </c>
      <c r="I16" s="9">
        <f t="shared" si="0"/>
        <v>74.606694111016893</v>
      </c>
      <c r="J16" s="7">
        <v>4.5</v>
      </c>
      <c r="K16" s="7">
        <v>27.34</v>
      </c>
      <c r="L16" s="10">
        <f t="shared" si="7"/>
        <v>-2.0897554239697542</v>
      </c>
      <c r="M16" s="12"/>
      <c r="N16" s="11">
        <f t="shared" si="9"/>
        <v>-64.765979612640152</v>
      </c>
      <c r="O16">
        <f t="shared" si="4"/>
        <v>1.2067638260869564</v>
      </c>
      <c r="P16">
        <f t="shared" si="1"/>
        <v>43.482391219254623</v>
      </c>
      <c r="Q16">
        <f t="shared" si="5"/>
        <v>3.7810774973264891</v>
      </c>
      <c r="R16">
        <f t="shared" si="6"/>
        <v>4.0000000000000001E-3</v>
      </c>
    </row>
    <row r="17" spans="1:18" x14ac:dyDescent="0.3">
      <c r="A17">
        <v>0.6</v>
      </c>
      <c r="B17">
        <v>10</v>
      </c>
      <c r="C17">
        <v>4</v>
      </c>
      <c r="D17" s="3">
        <v>1.6</v>
      </c>
      <c r="E17" s="1">
        <v>5.0759999999999996</v>
      </c>
      <c r="F17" s="6">
        <f>(D17*10^-3)/(E17*10^-4)</f>
        <v>3.1520882584712373</v>
      </c>
      <c r="G17" s="7">
        <v>0.94</v>
      </c>
      <c r="H17" s="8">
        <v>1E-3</v>
      </c>
      <c r="I17" s="9">
        <f t="shared" si="0"/>
        <v>10.380061789358871</v>
      </c>
      <c r="J17" s="7">
        <v>3</v>
      </c>
      <c r="K17" s="7">
        <v>0</v>
      </c>
      <c r="L17" s="10">
        <f t="shared" si="7"/>
        <v>19.936623459420002</v>
      </c>
      <c r="M17" s="12"/>
      <c r="N17" s="11">
        <f>-(1.7*K17^2)/19.62</f>
        <v>0</v>
      </c>
      <c r="O17">
        <f t="shared" si="4"/>
        <v>0</v>
      </c>
      <c r="P17">
        <f t="shared" si="1"/>
        <v>0</v>
      </c>
      <c r="Q17">
        <f t="shared" si="5"/>
        <v>0</v>
      </c>
      <c r="R17">
        <f t="shared" si="6"/>
        <v>4.0000000000000001E-3</v>
      </c>
    </row>
    <row r="18" spans="1:18" x14ac:dyDescent="0.3">
      <c r="A18">
        <v>0.6</v>
      </c>
      <c r="B18">
        <v>10</v>
      </c>
      <c r="C18">
        <v>4</v>
      </c>
      <c r="D18" s="3">
        <v>3.2</v>
      </c>
      <c r="E18" s="1">
        <v>5.0759999999999996</v>
      </c>
      <c r="F18" s="6">
        <f t="shared" ref="F18:F23" si="10">(D18*10^-3)/(E18*10^-4)</f>
        <v>6.3041765169424746</v>
      </c>
      <c r="G18" s="7">
        <v>0.94</v>
      </c>
      <c r="H18" s="8">
        <v>1E-3</v>
      </c>
      <c r="I18" s="9">
        <f t="shared" si="0"/>
        <v>20.760123578717742</v>
      </c>
      <c r="J18" s="7">
        <v>4.5</v>
      </c>
      <c r="K18" s="7">
        <v>2.52</v>
      </c>
      <c r="L18" s="10">
        <f t="shared" si="7"/>
        <v>4.7125161454725006</v>
      </c>
      <c r="M18" s="12"/>
      <c r="N18" s="11">
        <f t="shared" ref="N18:N23" si="11">-(1.7*K18^2)/19.62</f>
        <v>-0.55023853211009177</v>
      </c>
      <c r="O18">
        <f t="shared" si="4"/>
        <v>0.39973500000000001</v>
      </c>
      <c r="P18">
        <f t="shared" si="1"/>
        <v>4.0078868278171784</v>
      </c>
      <c r="Q18">
        <f t="shared" si="5"/>
        <v>1.2524646336928682</v>
      </c>
      <c r="R18">
        <f t="shared" si="6"/>
        <v>4.0000000000000001E-3</v>
      </c>
    </row>
    <row r="19" spans="1:18" x14ac:dyDescent="0.3">
      <c r="A19">
        <v>0.6</v>
      </c>
      <c r="B19">
        <v>10</v>
      </c>
      <c r="C19">
        <v>4</v>
      </c>
      <c r="D19" s="3">
        <v>4.8</v>
      </c>
      <c r="E19" s="1">
        <v>5.0759999999999996</v>
      </c>
      <c r="F19" s="6">
        <f t="shared" si="10"/>
        <v>9.456264775413711</v>
      </c>
      <c r="G19" s="7">
        <v>0.94</v>
      </c>
      <c r="H19" s="8">
        <v>1E-3</v>
      </c>
      <c r="I19" s="9">
        <f t="shared" si="0"/>
        <v>31.140185368076612</v>
      </c>
      <c r="J19" s="7">
        <v>4.5</v>
      </c>
      <c r="K19" s="7">
        <v>6.56</v>
      </c>
      <c r="L19" s="10">
        <f t="shared" si="7"/>
        <v>1.3970597391000006</v>
      </c>
      <c r="M19" s="12"/>
      <c r="N19" s="11">
        <f t="shared" si="11"/>
        <v>-3.7287013251783887</v>
      </c>
      <c r="O19">
        <f t="shared" si="4"/>
        <v>0.69372</v>
      </c>
      <c r="P19">
        <f t="shared" si="1"/>
        <v>10.433229202571701</v>
      </c>
      <c r="Q19">
        <f t="shared" si="5"/>
        <v>2.1735894172024377</v>
      </c>
      <c r="R19">
        <f t="shared" si="6"/>
        <v>4.0000000000000001E-3</v>
      </c>
    </row>
    <row r="20" spans="1:18" x14ac:dyDescent="0.3">
      <c r="A20">
        <v>0.6</v>
      </c>
      <c r="B20">
        <v>10</v>
      </c>
      <c r="C20">
        <v>4</v>
      </c>
      <c r="D20" s="3">
        <v>6.4</v>
      </c>
      <c r="E20" s="1">
        <v>5.0759999999999996</v>
      </c>
      <c r="F20" s="6">
        <f t="shared" si="10"/>
        <v>12.608353033884949</v>
      </c>
      <c r="G20" s="7">
        <v>0.94</v>
      </c>
      <c r="H20" s="8">
        <v>1E-3</v>
      </c>
      <c r="I20" s="9">
        <f t="shared" si="0"/>
        <v>41.520247157435485</v>
      </c>
      <c r="J20" s="7">
        <v>4.5</v>
      </c>
      <c r="K20" s="7">
        <v>11.59</v>
      </c>
      <c r="L20" s="10">
        <f t="shared" si="7"/>
        <v>-0.19043934181347669</v>
      </c>
      <c r="M20" s="12"/>
      <c r="N20" s="11">
        <f t="shared" si="11"/>
        <v>-11.63903007135576</v>
      </c>
      <c r="O20">
        <f t="shared" si="4"/>
        <v>0.91923187499999992</v>
      </c>
      <c r="P20">
        <f t="shared" si="1"/>
        <v>18.433098545397261</v>
      </c>
      <c r="Q20">
        <f t="shared" si="5"/>
        <v>2.8801716477183219</v>
      </c>
      <c r="R20">
        <f t="shared" si="6"/>
        <v>4.0000000000000001E-3</v>
      </c>
    </row>
    <row r="21" spans="1:18" x14ac:dyDescent="0.3">
      <c r="A21">
        <v>0.6</v>
      </c>
      <c r="B21">
        <v>10</v>
      </c>
      <c r="C21">
        <v>4</v>
      </c>
      <c r="D21" s="3">
        <v>8</v>
      </c>
      <c r="E21" s="1">
        <v>5.0759999999999996</v>
      </c>
      <c r="F21" s="6">
        <f t="shared" si="10"/>
        <v>15.760441292356187</v>
      </c>
      <c r="G21" s="7">
        <v>0.94</v>
      </c>
      <c r="H21" s="8">
        <v>1E-3</v>
      </c>
      <c r="I21" s="9">
        <f t="shared" si="0"/>
        <v>51.900308946794361</v>
      </c>
      <c r="J21" s="7">
        <v>4.5</v>
      </c>
      <c r="K21" s="7">
        <v>16.3</v>
      </c>
      <c r="L21" s="10">
        <f t="shared" si="7"/>
        <v>-1.0209265215056997</v>
      </c>
      <c r="M21" s="12"/>
      <c r="N21" s="11">
        <f t="shared" si="11"/>
        <v>-23.0210499490316</v>
      </c>
      <c r="O21">
        <f t="shared" si="4"/>
        <v>1.034235</v>
      </c>
      <c r="P21">
        <f t="shared" si="1"/>
        <v>25.924029878341276</v>
      </c>
      <c r="Q21">
        <f t="shared" si="5"/>
        <v>3.2405037347926595</v>
      </c>
      <c r="R21">
        <f t="shared" si="6"/>
        <v>4.0000000000000001E-3</v>
      </c>
    </row>
    <row r="22" spans="1:18" x14ac:dyDescent="0.3">
      <c r="A22">
        <v>0.6</v>
      </c>
      <c r="B22">
        <v>10</v>
      </c>
      <c r="C22">
        <v>4</v>
      </c>
      <c r="D22" s="3">
        <v>9.6</v>
      </c>
      <c r="E22" s="1">
        <v>5.0759999999999996</v>
      </c>
      <c r="F22" s="6">
        <f t="shared" si="10"/>
        <v>18.912529550827422</v>
      </c>
      <c r="G22" s="7">
        <v>0.94</v>
      </c>
      <c r="H22" s="8">
        <v>1E-3</v>
      </c>
      <c r="I22" s="9">
        <f t="shared" si="0"/>
        <v>62.280370736153223</v>
      </c>
      <c r="J22" s="7">
        <v>4.5</v>
      </c>
      <c r="K22" s="7">
        <v>22.26</v>
      </c>
      <c r="L22" s="10">
        <f t="shared" si="7"/>
        <v>-1.8012541994156259</v>
      </c>
      <c r="M22" s="12"/>
      <c r="N22" s="11">
        <f t="shared" si="11"/>
        <v>-42.933889908256887</v>
      </c>
      <c r="O22">
        <f t="shared" si="4"/>
        <v>1.1769975000000001</v>
      </c>
      <c r="P22">
        <f t="shared" si="1"/>
        <v>35.403000312385082</v>
      </c>
      <c r="Q22">
        <f t="shared" si="5"/>
        <v>3.687812532540113</v>
      </c>
      <c r="R22">
        <f t="shared" si="6"/>
        <v>4.0000000000000001E-3</v>
      </c>
    </row>
    <row r="23" spans="1:18" x14ac:dyDescent="0.3">
      <c r="A23">
        <v>0.6</v>
      </c>
      <c r="B23">
        <v>10</v>
      </c>
      <c r="C23">
        <v>4</v>
      </c>
      <c r="D23" s="7">
        <v>11.45</v>
      </c>
      <c r="E23" s="1">
        <v>5.0759999999999996</v>
      </c>
      <c r="F23" s="6">
        <f t="shared" si="10"/>
        <v>22.557131599684791</v>
      </c>
      <c r="G23" s="7">
        <v>0.94</v>
      </c>
      <c r="H23" s="8">
        <v>1E-3</v>
      </c>
      <c r="I23" s="9">
        <f t="shared" si="0"/>
        <v>74.282317180099412</v>
      </c>
      <c r="J23" s="7">
        <v>4.5</v>
      </c>
      <c r="K23" s="7">
        <v>29.07</v>
      </c>
      <c r="L23" s="10">
        <f t="shared" si="7"/>
        <v>-2.4340957919532094</v>
      </c>
      <c r="M23" s="12"/>
      <c r="N23" s="11">
        <f t="shared" si="11"/>
        <v>-73.221729357798154</v>
      </c>
      <c r="O23">
        <f t="shared" si="4"/>
        <v>1.2887276855895198</v>
      </c>
      <c r="P23">
        <f t="shared" si="1"/>
        <v>46.233837335176737</v>
      </c>
      <c r="Q23">
        <f t="shared" si="5"/>
        <v>4.0378897235962219</v>
      </c>
      <c r="R23">
        <f t="shared" si="6"/>
        <v>4.0000000000000001E-3</v>
      </c>
    </row>
    <row r="24" spans="1:18" x14ac:dyDescent="0.3">
      <c r="A24">
        <v>0.6</v>
      </c>
      <c r="B24">
        <v>10</v>
      </c>
      <c r="C24">
        <v>6</v>
      </c>
      <c r="D24" s="3">
        <v>1.6</v>
      </c>
      <c r="E24" s="1">
        <v>5.0759999999999996</v>
      </c>
      <c r="F24" s="6">
        <f>(D24*10^-3)/(E24*10^-4)</f>
        <v>3.1520882584712373</v>
      </c>
      <c r="G24" s="7">
        <v>0.94</v>
      </c>
      <c r="H24" s="8">
        <v>6.6666999999999996E-4</v>
      </c>
      <c r="I24" s="9">
        <f t="shared" si="0"/>
        <v>10.380061789358871</v>
      </c>
      <c r="J24" s="7">
        <v>3</v>
      </c>
      <c r="K24" s="7">
        <v>0</v>
      </c>
      <c r="L24" s="10">
        <f t="shared" si="7"/>
        <v>19.936623459420002</v>
      </c>
      <c r="M24" s="12"/>
      <c r="N24" s="11">
        <f>-(1.7*K24^2)/19.62</f>
        <v>0</v>
      </c>
      <c r="O24">
        <f t="shared" si="4"/>
        <v>0</v>
      </c>
      <c r="P24">
        <f t="shared" si="1"/>
        <v>0</v>
      </c>
      <c r="Q24">
        <f t="shared" si="5"/>
        <v>0</v>
      </c>
      <c r="R24">
        <f t="shared" si="6"/>
        <v>4.00002E-3</v>
      </c>
    </row>
    <row r="25" spans="1:18" x14ac:dyDescent="0.3">
      <c r="A25">
        <v>0.6</v>
      </c>
      <c r="B25">
        <v>10</v>
      </c>
      <c r="C25">
        <v>6</v>
      </c>
      <c r="D25" s="3">
        <v>3.2</v>
      </c>
      <c r="E25" s="1">
        <v>5.0759999999999996</v>
      </c>
      <c r="F25" s="6">
        <f t="shared" ref="F25:F30" si="12">(D25*10^-3)/(E25*10^-4)</f>
        <v>6.3041765169424746</v>
      </c>
      <c r="G25" s="7">
        <v>0.94</v>
      </c>
      <c r="H25" s="8">
        <v>6.6666999999999996E-4</v>
      </c>
      <c r="I25" s="9">
        <f t="shared" si="0"/>
        <v>20.760123578717742</v>
      </c>
      <c r="J25" s="7">
        <v>4.5</v>
      </c>
      <c r="K25" s="7">
        <v>2.38</v>
      </c>
      <c r="L25" s="10">
        <f t="shared" si="7"/>
        <v>4.7418599423193752</v>
      </c>
      <c r="M25" s="12"/>
      <c r="N25" s="11">
        <f t="shared" ref="N25:N30" si="13">-(1.7*K25^2)/19.62</f>
        <v>-0.49079918450560645</v>
      </c>
      <c r="O25">
        <f t="shared" si="4"/>
        <v>0.37752749999999996</v>
      </c>
      <c r="P25">
        <f t="shared" si="1"/>
        <v>3.7852264484940017</v>
      </c>
      <c r="Q25">
        <f t="shared" si="5"/>
        <v>1.1828832651543755</v>
      </c>
      <c r="R25">
        <f t="shared" si="6"/>
        <v>4.00002E-3</v>
      </c>
    </row>
    <row r="26" spans="1:18" x14ac:dyDescent="0.3">
      <c r="A26">
        <v>0.6</v>
      </c>
      <c r="B26">
        <v>10</v>
      </c>
      <c r="C26">
        <v>6</v>
      </c>
      <c r="D26" s="3">
        <v>4.8</v>
      </c>
      <c r="E26" s="1">
        <v>5.0759999999999996</v>
      </c>
      <c r="F26" s="6">
        <f t="shared" si="12"/>
        <v>9.456264775413711</v>
      </c>
      <c r="G26" s="7">
        <v>0.94</v>
      </c>
      <c r="H26" s="8">
        <v>6.6666999999999996E-4</v>
      </c>
      <c r="I26" s="9">
        <f t="shared" si="0"/>
        <v>31.140185368076612</v>
      </c>
      <c r="J26" s="7">
        <v>4.5</v>
      </c>
      <c r="K26" s="7">
        <v>6.87</v>
      </c>
      <c r="L26" s="10">
        <f t="shared" si="7"/>
        <v>1.3179103841193753</v>
      </c>
      <c r="M26" s="12"/>
      <c r="N26" s="11">
        <f t="shared" si="13"/>
        <v>-4.0894357798165135</v>
      </c>
      <c r="O26">
        <f t="shared" si="4"/>
        <v>0.72650250000000005</v>
      </c>
      <c r="P26">
        <f t="shared" si="1"/>
        <v>10.926262899644453</v>
      </c>
      <c r="Q26">
        <f t="shared" si="5"/>
        <v>2.276304770759261</v>
      </c>
      <c r="R26">
        <f t="shared" si="6"/>
        <v>4.00002E-3</v>
      </c>
    </row>
    <row r="27" spans="1:18" x14ac:dyDescent="0.3">
      <c r="A27">
        <v>0.6</v>
      </c>
      <c r="B27">
        <v>10</v>
      </c>
      <c r="C27">
        <v>6</v>
      </c>
      <c r="D27" s="3">
        <v>6.4</v>
      </c>
      <c r="E27" s="1">
        <v>5.0759999999999996</v>
      </c>
      <c r="F27" s="6">
        <f t="shared" si="12"/>
        <v>12.608353033884949</v>
      </c>
      <c r="G27" s="7">
        <v>0.94</v>
      </c>
      <c r="H27" s="8">
        <v>6.6666999999999996E-4</v>
      </c>
      <c r="I27" s="9">
        <f t="shared" si="0"/>
        <v>41.520247157435485</v>
      </c>
      <c r="J27" s="7">
        <v>4.5</v>
      </c>
      <c r="K27" s="7">
        <v>10.96</v>
      </c>
      <c r="L27" s="10">
        <f t="shared" si="7"/>
        <v>-3.8517822168750035E-2</v>
      </c>
      <c r="M27" s="12"/>
      <c r="N27" s="11">
        <f t="shared" si="13"/>
        <v>-10.408089704383283</v>
      </c>
      <c r="O27">
        <f t="shared" si="4"/>
        <v>0.86926500000000007</v>
      </c>
      <c r="P27">
        <f t="shared" si="1"/>
        <v>17.431126838442971</v>
      </c>
      <c r="Q27">
        <f t="shared" si="5"/>
        <v>2.723613568506714</v>
      </c>
      <c r="R27">
        <f t="shared" si="6"/>
        <v>4.00002E-3</v>
      </c>
    </row>
    <row r="28" spans="1:18" x14ac:dyDescent="0.3">
      <c r="A28">
        <v>0.6</v>
      </c>
      <c r="B28">
        <v>10</v>
      </c>
      <c r="C28">
        <v>6</v>
      </c>
      <c r="D28" s="3">
        <v>8</v>
      </c>
      <c r="E28" s="1">
        <v>5.0759999999999996</v>
      </c>
      <c r="F28" s="6">
        <f t="shared" si="12"/>
        <v>15.760441292356187</v>
      </c>
      <c r="G28" s="7">
        <v>0.94</v>
      </c>
      <c r="H28" s="8">
        <v>6.6666999999999996E-4</v>
      </c>
      <c r="I28" s="9">
        <f t="shared" si="0"/>
        <v>51.900308946794361</v>
      </c>
      <c r="J28" s="7">
        <v>4.5</v>
      </c>
      <c r="K28" s="7">
        <v>17.079999999999998</v>
      </c>
      <c r="L28" s="10">
        <f t="shared" si="7"/>
        <v>-1.1991205348523992</v>
      </c>
      <c r="M28" s="12"/>
      <c r="N28" s="11">
        <f t="shared" si="13"/>
        <v>-25.277007135575936</v>
      </c>
      <c r="O28">
        <f t="shared" si="4"/>
        <v>1.0837259999999997</v>
      </c>
      <c r="P28">
        <f t="shared" si="1"/>
        <v>27.164566277427543</v>
      </c>
      <c r="Q28">
        <f t="shared" si="5"/>
        <v>3.3955707846784429</v>
      </c>
      <c r="R28">
        <f t="shared" si="6"/>
        <v>4.00002E-3</v>
      </c>
    </row>
    <row r="29" spans="1:18" x14ac:dyDescent="0.3">
      <c r="A29">
        <v>0.6</v>
      </c>
      <c r="B29">
        <v>10</v>
      </c>
      <c r="C29">
        <v>6</v>
      </c>
      <c r="D29" s="3">
        <v>9.6</v>
      </c>
      <c r="E29" s="1">
        <v>5.0759999999999996</v>
      </c>
      <c r="F29" s="6">
        <f t="shared" si="12"/>
        <v>18.912529550827422</v>
      </c>
      <c r="G29" s="7">
        <v>0.94</v>
      </c>
      <c r="H29" s="8">
        <v>6.6666999999999996E-4</v>
      </c>
      <c r="I29" s="9">
        <f t="shared" si="0"/>
        <v>62.280370736153223</v>
      </c>
      <c r="J29" s="7">
        <v>4.5</v>
      </c>
      <c r="K29" s="7">
        <v>20.75</v>
      </c>
      <c r="L29" s="10">
        <f t="shared" si="7"/>
        <v>-1.4925830266589064</v>
      </c>
      <c r="M29" s="12"/>
      <c r="N29" s="11">
        <f t="shared" si="13"/>
        <v>-37.306638634046884</v>
      </c>
      <c r="O29">
        <f t="shared" si="4"/>
        <v>1.0971562500000001</v>
      </c>
      <c r="P29">
        <f t="shared" si="1"/>
        <v>33.001449078256528</v>
      </c>
      <c r="Q29">
        <f t="shared" si="5"/>
        <v>3.4376509456517219</v>
      </c>
      <c r="R29">
        <f t="shared" si="6"/>
        <v>4.00002E-3</v>
      </c>
    </row>
    <row r="30" spans="1:18" x14ac:dyDescent="0.3">
      <c r="A30">
        <v>0.6</v>
      </c>
      <c r="B30">
        <v>10</v>
      </c>
      <c r="C30">
        <v>6</v>
      </c>
      <c r="D30" s="7">
        <v>11.45</v>
      </c>
      <c r="E30" s="1">
        <v>5.0759999999999996</v>
      </c>
      <c r="F30" s="6">
        <f t="shared" si="12"/>
        <v>22.557131599684791</v>
      </c>
      <c r="G30" s="7">
        <v>0.94</v>
      </c>
      <c r="H30" s="8">
        <v>6.6666999999999996E-4</v>
      </c>
      <c r="I30" s="9">
        <f t="shared" si="0"/>
        <v>74.282317180099412</v>
      </c>
      <c r="J30" s="7">
        <v>4.5</v>
      </c>
      <c r="K30" s="7">
        <v>25.46</v>
      </c>
      <c r="L30" s="10">
        <f t="shared" si="7"/>
        <v>-1.776401800189257</v>
      </c>
      <c r="M30" s="12"/>
      <c r="N30" s="11">
        <f t="shared" si="13"/>
        <v>-56.165123343527014</v>
      </c>
      <c r="O30">
        <f t="shared" si="4"/>
        <v>1.1286896069868997</v>
      </c>
      <c r="P30">
        <f t="shared" si="1"/>
        <v>40.492380411200543</v>
      </c>
      <c r="Q30">
        <f t="shared" si="5"/>
        <v>3.5364524376594364</v>
      </c>
      <c r="R30">
        <f t="shared" si="6"/>
        <v>4.00002E-3</v>
      </c>
    </row>
    <row r="31" spans="1:18" x14ac:dyDescent="0.3">
      <c r="A31">
        <v>0.6</v>
      </c>
      <c r="B31">
        <v>15</v>
      </c>
      <c r="C31">
        <v>1</v>
      </c>
      <c r="D31" s="3">
        <v>1.9</v>
      </c>
      <c r="E31" s="1">
        <v>7.6139999999999999</v>
      </c>
      <c r="F31" s="6">
        <f>(D31*10^-3)/(E31*10^-4)</f>
        <v>2.4954032046230625</v>
      </c>
      <c r="G31" s="7">
        <v>1.41</v>
      </c>
      <c r="H31" s="8">
        <v>5.7099999999999998E-3</v>
      </c>
      <c r="I31" s="9">
        <f t="shared" si="0"/>
        <v>6.7096005939904559</v>
      </c>
      <c r="J31" s="7">
        <v>3</v>
      </c>
      <c r="K31" s="7">
        <v>0</v>
      </c>
      <c r="L31" s="10">
        <f t="shared" si="7"/>
        <v>31.810235769046876</v>
      </c>
      <c r="M31" s="12"/>
      <c r="N31" s="11">
        <f>-(1.7*K31^2)/19.62</f>
        <v>0</v>
      </c>
      <c r="O31">
        <f t="shared" si="4"/>
        <v>0</v>
      </c>
      <c r="P31">
        <f t="shared" si="1"/>
        <v>0</v>
      </c>
      <c r="Q31">
        <f t="shared" si="5"/>
        <v>0</v>
      </c>
      <c r="R31">
        <f t="shared" si="6"/>
        <v>5.7099999999999998E-3</v>
      </c>
    </row>
    <row r="32" spans="1:18" x14ac:dyDescent="0.3">
      <c r="A32">
        <v>0.6</v>
      </c>
      <c r="B32">
        <v>15</v>
      </c>
      <c r="C32">
        <v>1</v>
      </c>
      <c r="D32" s="3">
        <v>3.8</v>
      </c>
      <c r="E32" s="1">
        <v>7.6139999999999999</v>
      </c>
      <c r="F32" s="6">
        <f t="shared" ref="F32:F37" si="14">(D32*10^-3)/(E32*10^-4)</f>
        <v>4.9908064092461251</v>
      </c>
      <c r="G32" s="7">
        <v>1.41</v>
      </c>
      <c r="H32" s="8">
        <v>5.7099999999999998E-3</v>
      </c>
      <c r="I32" s="9">
        <f t="shared" si="0"/>
        <v>13.419201187980912</v>
      </c>
      <c r="J32" s="7">
        <v>3</v>
      </c>
      <c r="K32" s="7">
        <v>1.25</v>
      </c>
      <c r="L32" s="10">
        <f t="shared" si="7"/>
        <v>7.8459171343496692</v>
      </c>
      <c r="M32" s="12"/>
      <c r="N32" s="11">
        <f t="shared" ref="N32:N37" si="15">-(1.7*K32^2)/19.62</f>
        <v>-0.13538481141692149</v>
      </c>
      <c r="O32">
        <f t="shared" si="4"/>
        <v>0.25046052631578952</v>
      </c>
      <c r="P32">
        <f t="shared" si="1"/>
        <v>0.88357293382212931</v>
      </c>
      <c r="Q32">
        <f t="shared" si="5"/>
        <v>0.23251919311108668</v>
      </c>
      <c r="R32">
        <f t="shared" si="6"/>
        <v>5.7099999999999998E-3</v>
      </c>
    </row>
    <row r="33" spans="1:18" x14ac:dyDescent="0.3">
      <c r="A33">
        <v>0.6</v>
      </c>
      <c r="B33">
        <v>15</v>
      </c>
      <c r="C33">
        <v>1</v>
      </c>
      <c r="D33" s="3">
        <v>5.7</v>
      </c>
      <c r="E33" s="1">
        <v>7.6139999999999999</v>
      </c>
      <c r="F33" s="6">
        <f t="shared" si="14"/>
        <v>7.486209613869188</v>
      </c>
      <c r="G33" s="7">
        <v>1.41</v>
      </c>
      <c r="H33" s="8">
        <v>5.7099999999999998E-3</v>
      </c>
      <c r="I33" s="9">
        <f t="shared" si="0"/>
        <v>20.128801781971369</v>
      </c>
      <c r="J33" s="7">
        <v>4.5</v>
      </c>
      <c r="K33" s="7">
        <v>2.0499999999999998</v>
      </c>
      <c r="L33" s="10">
        <f t="shared" si="7"/>
        <v>3.4069933936450973</v>
      </c>
      <c r="M33" s="12"/>
      <c r="N33" s="11">
        <f t="shared" si="15"/>
        <v>-0.36413098878695205</v>
      </c>
      <c r="O33">
        <f t="shared" si="4"/>
        <v>0.27383684210526316</v>
      </c>
      <c r="P33">
        <f t="shared" si="1"/>
        <v>3.2603841258036566</v>
      </c>
      <c r="Q33">
        <f t="shared" si="5"/>
        <v>0.57199721505327306</v>
      </c>
      <c r="R33">
        <f t="shared" si="6"/>
        <v>5.7099999999999998E-3</v>
      </c>
    </row>
    <row r="34" spans="1:18" x14ac:dyDescent="0.3">
      <c r="A34">
        <v>0.6</v>
      </c>
      <c r="B34">
        <v>15</v>
      </c>
      <c r="C34">
        <v>1</v>
      </c>
      <c r="D34" s="3">
        <v>7.6</v>
      </c>
      <c r="E34" s="1">
        <v>7.6139999999999999</v>
      </c>
      <c r="F34" s="6">
        <f t="shared" si="14"/>
        <v>9.9816128184922501</v>
      </c>
      <c r="G34" s="7">
        <v>1.41</v>
      </c>
      <c r="H34" s="8">
        <v>5.7099999999999998E-3</v>
      </c>
      <c r="I34" s="9">
        <f t="shared" si="0"/>
        <v>26.838402375961824</v>
      </c>
      <c r="J34" s="7">
        <v>4.5</v>
      </c>
      <c r="K34" s="7">
        <v>3.4</v>
      </c>
      <c r="L34" s="10">
        <f t="shared" si="7"/>
        <v>1.7908950476513024</v>
      </c>
      <c r="M34" s="12"/>
      <c r="N34" s="11">
        <f t="shared" si="15"/>
        <v>-1.0016309887869519</v>
      </c>
      <c r="O34">
        <f t="shared" si="4"/>
        <v>0.34062631578947372</v>
      </c>
      <c r="P34">
        <f t="shared" si="1"/>
        <v>5.4074663549914312</v>
      </c>
      <c r="Q34">
        <f t="shared" si="5"/>
        <v>0.71150873091992517</v>
      </c>
      <c r="R34">
        <f t="shared" si="6"/>
        <v>5.7099999999999998E-3</v>
      </c>
    </row>
    <row r="35" spans="1:18" x14ac:dyDescent="0.3">
      <c r="A35">
        <v>0.6</v>
      </c>
      <c r="B35">
        <v>15</v>
      </c>
      <c r="C35">
        <v>1</v>
      </c>
      <c r="D35" s="3">
        <v>9.5</v>
      </c>
      <c r="E35" s="1">
        <v>7.6139999999999999</v>
      </c>
      <c r="F35" s="6">
        <f t="shared" si="14"/>
        <v>12.477016023115313</v>
      </c>
      <c r="G35" s="7">
        <v>1.41</v>
      </c>
      <c r="H35" s="8">
        <v>5.7099999999999998E-3</v>
      </c>
      <c r="I35" s="9">
        <f t="shared" si="0"/>
        <v>33.548002969952286</v>
      </c>
      <c r="J35" s="7">
        <v>4.5</v>
      </c>
      <c r="K35" s="7">
        <v>4.93</v>
      </c>
      <c r="L35" s="10">
        <f t="shared" si="7"/>
        <v>1.0069969787046251</v>
      </c>
      <c r="M35" s="12"/>
      <c r="N35" s="11">
        <f t="shared" si="15"/>
        <v>-2.1059291539245666</v>
      </c>
      <c r="O35">
        <f t="shared" si="4"/>
        <v>0.39512652631578948</v>
      </c>
      <c r="P35">
        <f t="shared" si="1"/>
        <v>7.8408262147375751</v>
      </c>
      <c r="Q35">
        <f t="shared" si="5"/>
        <v>0.82535012786711315</v>
      </c>
      <c r="R35">
        <f t="shared" si="6"/>
        <v>5.7099999999999998E-3</v>
      </c>
    </row>
    <row r="36" spans="1:18" x14ac:dyDescent="0.3">
      <c r="A36">
        <v>0.6</v>
      </c>
      <c r="B36">
        <v>15</v>
      </c>
      <c r="C36">
        <v>1</v>
      </c>
      <c r="D36" s="3">
        <v>11.4</v>
      </c>
      <c r="E36" s="1">
        <v>7.6139999999999999</v>
      </c>
      <c r="F36" s="6">
        <f t="shared" si="14"/>
        <v>14.972419227738376</v>
      </c>
      <c r="G36" s="7">
        <v>1.41</v>
      </c>
      <c r="H36" s="8">
        <v>5.7099999999999998E-3</v>
      </c>
      <c r="I36" s="9">
        <f t="shared" si="0"/>
        <v>40.257603563942737</v>
      </c>
      <c r="J36" s="7">
        <v>4.5</v>
      </c>
      <c r="K36" s="7">
        <v>6.9</v>
      </c>
      <c r="L36" s="10">
        <f t="shared" si="7"/>
        <v>0.52257115538426602</v>
      </c>
      <c r="M36" s="12"/>
      <c r="N36" s="11">
        <f t="shared" si="15"/>
        <v>-4.1252293577981654</v>
      </c>
      <c r="O36">
        <f t="shared" si="4"/>
        <v>0.46084736842105267</v>
      </c>
      <c r="P36">
        <f t="shared" si="1"/>
        <v>10.973975838070846</v>
      </c>
      <c r="Q36">
        <f t="shared" si="5"/>
        <v>0.96262945947989875</v>
      </c>
      <c r="R36">
        <f t="shared" si="6"/>
        <v>5.7099999999999998E-3</v>
      </c>
    </row>
    <row r="37" spans="1:18" x14ac:dyDescent="0.3">
      <c r="A37">
        <v>0.6</v>
      </c>
      <c r="B37">
        <v>15</v>
      </c>
      <c r="C37">
        <v>1</v>
      </c>
      <c r="D37" s="7">
        <v>13.3</v>
      </c>
      <c r="E37" s="1">
        <v>7.6139999999999999</v>
      </c>
      <c r="F37" s="6">
        <f t="shared" si="14"/>
        <v>17.467822432361441</v>
      </c>
      <c r="G37" s="7">
        <v>1.41</v>
      </c>
      <c r="H37" s="8">
        <v>5.7099999999999998E-3</v>
      </c>
      <c r="I37" s="9">
        <f t="shared" si="0"/>
        <v>46.967204157933203</v>
      </c>
      <c r="J37" s="7">
        <v>4.5</v>
      </c>
      <c r="K37" s="7">
        <v>8.9499999999999993</v>
      </c>
      <c r="L37" s="10">
        <f t="shared" si="7"/>
        <v>0.20289817751557018</v>
      </c>
      <c r="M37" s="12"/>
      <c r="N37" s="11">
        <f t="shared" si="15"/>
        <v>-6.9405835881753299</v>
      </c>
      <c r="O37">
        <f t="shared" si="4"/>
        <v>0.5123706766917292</v>
      </c>
      <c r="P37">
        <f t="shared" si="1"/>
        <v>14.234359963874502</v>
      </c>
      <c r="Q37">
        <f t="shared" si="5"/>
        <v>1.0702526288627445</v>
      </c>
      <c r="R37">
        <f t="shared" si="6"/>
        <v>5.7099999999999998E-3</v>
      </c>
    </row>
    <row r="38" spans="1:18" x14ac:dyDescent="0.3">
      <c r="A38">
        <v>0.6</v>
      </c>
      <c r="B38">
        <v>15</v>
      </c>
      <c r="C38">
        <v>2</v>
      </c>
      <c r="D38" s="3">
        <v>1.9</v>
      </c>
      <c r="E38" s="1">
        <v>7.6139999999999999</v>
      </c>
      <c r="F38" s="6">
        <f>(D38*10^-3)/(E38*10^-4)</f>
        <v>2.4954032046230625</v>
      </c>
      <c r="G38" s="7">
        <v>1.41</v>
      </c>
      <c r="H38" s="8">
        <v>2.8549999999999999E-3</v>
      </c>
      <c r="I38" s="9">
        <f t="shared" si="0"/>
        <v>6.7096005939904559</v>
      </c>
      <c r="J38" s="7">
        <v>3</v>
      </c>
      <c r="K38" s="7">
        <v>0</v>
      </c>
      <c r="L38" s="10">
        <f t="shared" si="7"/>
        <v>31.810235769046876</v>
      </c>
      <c r="M38" s="12"/>
      <c r="N38" s="11">
        <f>-(1.7*K38^2)/19.62</f>
        <v>0</v>
      </c>
      <c r="O38">
        <f t="shared" si="4"/>
        <v>0</v>
      </c>
      <c r="P38">
        <f t="shared" si="1"/>
        <v>0</v>
      </c>
      <c r="Q38">
        <f t="shared" si="5"/>
        <v>0</v>
      </c>
      <c r="R38">
        <f t="shared" si="6"/>
        <v>5.7099999999999998E-3</v>
      </c>
    </row>
    <row r="39" spans="1:18" x14ac:dyDescent="0.3">
      <c r="A39">
        <v>0.6</v>
      </c>
      <c r="B39">
        <v>15</v>
      </c>
      <c r="C39">
        <v>2</v>
      </c>
      <c r="D39" s="3">
        <v>3.8</v>
      </c>
      <c r="E39" s="1">
        <v>7.6139999999999999</v>
      </c>
      <c r="F39" s="6">
        <f t="shared" ref="F39:F44" si="16">(D39*10^-3)/(E39*10^-4)</f>
        <v>4.9908064092461251</v>
      </c>
      <c r="G39" s="7">
        <v>1.41</v>
      </c>
      <c r="H39" s="8">
        <v>2.8549999999999999E-3</v>
      </c>
      <c r="I39" s="9">
        <f t="shared" si="0"/>
        <v>13.419201187980912</v>
      </c>
      <c r="J39" s="7">
        <v>4.5</v>
      </c>
      <c r="K39" s="7">
        <v>1.91</v>
      </c>
      <c r="L39" s="10">
        <f t="shared" si="7"/>
        <v>7.7035733554175909</v>
      </c>
      <c r="M39" s="12"/>
      <c r="N39" s="11">
        <f t="shared" ref="N39:N44" si="17">-(1.7*K39^2)/19.62</f>
        <v>-0.31609429153924562</v>
      </c>
      <c r="O39">
        <f t="shared" si="4"/>
        <v>0.38270368421052636</v>
      </c>
      <c r="P39">
        <f t="shared" si="1"/>
        <v>3.0377237464804803</v>
      </c>
      <c r="Q39">
        <f t="shared" si="5"/>
        <v>0.79940098591591591</v>
      </c>
      <c r="R39">
        <f t="shared" si="6"/>
        <v>5.7099999999999998E-3</v>
      </c>
    </row>
    <row r="40" spans="1:18" x14ac:dyDescent="0.3">
      <c r="A40">
        <v>0.6</v>
      </c>
      <c r="B40">
        <v>15</v>
      </c>
      <c r="C40">
        <v>2</v>
      </c>
      <c r="D40" s="3">
        <v>5.7</v>
      </c>
      <c r="E40" s="1">
        <v>7.6139999999999999</v>
      </c>
      <c r="F40" s="6">
        <f t="shared" si="16"/>
        <v>7.486209613869188</v>
      </c>
      <c r="G40" s="7">
        <v>1.41</v>
      </c>
      <c r="H40" s="8">
        <v>2.8549999999999999E-3</v>
      </c>
      <c r="I40" s="9">
        <f t="shared" si="0"/>
        <v>20.128801781971369</v>
      </c>
      <c r="J40" s="7">
        <v>4.5</v>
      </c>
      <c r="K40" s="7">
        <v>3.69</v>
      </c>
      <c r="L40" s="10">
        <f t="shared" si="7"/>
        <v>3.1214443595584491</v>
      </c>
      <c r="M40" s="12"/>
      <c r="N40" s="11">
        <f t="shared" si="17"/>
        <v>-1.1797844036697247</v>
      </c>
      <c r="O40">
        <f t="shared" si="4"/>
        <v>0.49290631578947369</v>
      </c>
      <c r="P40">
        <f t="shared" si="1"/>
        <v>5.868691426446583</v>
      </c>
      <c r="Q40">
        <f t="shared" si="5"/>
        <v>1.0295949870958918</v>
      </c>
      <c r="R40">
        <f t="shared" si="6"/>
        <v>5.7099999999999998E-3</v>
      </c>
    </row>
    <row r="41" spans="1:18" x14ac:dyDescent="0.3">
      <c r="A41">
        <v>0.6</v>
      </c>
      <c r="B41">
        <v>15</v>
      </c>
      <c r="C41">
        <v>2</v>
      </c>
      <c r="D41" s="3">
        <v>7.6</v>
      </c>
      <c r="E41" s="1">
        <v>7.6139999999999999</v>
      </c>
      <c r="F41" s="6">
        <f t="shared" si="16"/>
        <v>9.9816128184922501</v>
      </c>
      <c r="G41" s="7">
        <v>1.41</v>
      </c>
      <c r="H41" s="8">
        <v>2.8549999999999999E-3</v>
      </c>
      <c r="I41" s="9">
        <f t="shared" si="0"/>
        <v>26.838402375961824</v>
      </c>
      <c r="J41" s="7">
        <v>4.5</v>
      </c>
      <c r="K41" s="7">
        <v>7.28</v>
      </c>
      <c r="L41" s="10">
        <f t="shared" si="7"/>
        <v>1.0838445047740723</v>
      </c>
      <c r="M41" s="12"/>
      <c r="N41" s="11">
        <f t="shared" si="17"/>
        <v>-4.592114169215086</v>
      </c>
      <c r="O41">
        <f t="shared" si="4"/>
        <v>0.729341052631579</v>
      </c>
      <c r="P41">
        <f t="shared" si="1"/>
        <v>11.578339724805184</v>
      </c>
      <c r="Q41">
        <f t="shared" si="5"/>
        <v>1.52346575326384</v>
      </c>
      <c r="R41">
        <f t="shared" si="6"/>
        <v>5.7099999999999998E-3</v>
      </c>
    </row>
    <row r="42" spans="1:18" x14ac:dyDescent="0.3">
      <c r="A42">
        <v>0.6</v>
      </c>
      <c r="B42">
        <v>15</v>
      </c>
      <c r="C42">
        <v>2</v>
      </c>
      <c r="D42" s="3">
        <v>9.5</v>
      </c>
      <c r="E42" s="1">
        <v>7.6139999999999999</v>
      </c>
      <c r="F42" s="6">
        <f t="shared" si="16"/>
        <v>12.477016023115313</v>
      </c>
      <c r="G42" s="7">
        <v>1.41</v>
      </c>
      <c r="H42" s="8">
        <v>2.8549999999999999E-3</v>
      </c>
      <c r="I42" s="9">
        <f t="shared" si="0"/>
        <v>33.548002969952286</v>
      </c>
      <c r="J42" s="7">
        <v>4.5</v>
      </c>
      <c r="K42" s="7">
        <v>11.12</v>
      </c>
      <c r="L42" s="10">
        <f t="shared" si="7"/>
        <v>-7.7911595519574259E-2</v>
      </c>
      <c r="M42" s="12"/>
      <c r="N42" s="11">
        <f t="shared" si="17"/>
        <v>-10.714193679918449</v>
      </c>
      <c r="O42">
        <f t="shared" si="4"/>
        <v>0.89123873684210531</v>
      </c>
      <c r="P42">
        <f t="shared" si="1"/>
        <v>17.685595843383737</v>
      </c>
      <c r="Q42">
        <f t="shared" si="5"/>
        <v>1.8616416677246039</v>
      </c>
      <c r="R42">
        <f t="shared" si="6"/>
        <v>5.7099999999999998E-3</v>
      </c>
    </row>
    <row r="43" spans="1:18" x14ac:dyDescent="0.3">
      <c r="A43">
        <v>0.6</v>
      </c>
      <c r="B43">
        <v>15</v>
      </c>
      <c r="C43">
        <v>2</v>
      </c>
      <c r="D43" s="3">
        <v>11.4</v>
      </c>
      <c r="E43" s="1">
        <v>7.6139999999999999</v>
      </c>
      <c r="F43" s="6">
        <f t="shared" si="16"/>
        <v>14.972419227738376</v>
      </c>
      <c r="G43" s="7">
        <v>1.41</v>
      </c>
      <c r="H43" s="8">
        <v>2.8549999999999999E-3</v>
      </c>
      <c r="I43" s="9">
        <f t="shared" si="0"/>
        <v>40.257603563942737</v>
      </c>
      <c r="J43" s="7">
        <v>4.5</v>
      </c>
      <c r="K43" s="7">
        <v>17.23</v>
      </c>
      <c r="L43" s="10">
        <f t="shared" si="7"/>
        <v>-1.3676934704931027</v>
      </c>
      <c r="M43" s="12"/>
      <c r="N43" s="11">
        <f t="shared" si="17"/>
        <v>-25.722932212028542</v>
      </c>
      <c r="O43">
        <f t="shared" si="4"/>
        <v>1.1507826315789473</v>
      </c>
      <c r="P43">
        <f t="shared" si="1"/>
        <v>27.40313096955952</v>
      </c>
      <c r="Q43">
        <f t="shared" si="5"/>
        <v>2.4037834183824138</v>
      </c>
      <c r="R43">
        <f t="shared" si="6"/>
        <v>5.7099999999999998E-3</v>
      </c>
    </row>
    <row r="44" spans="1:18" x14ac:dyDescent="0.3">
      <c r="A44">
        <v>0.6</v>
      </c>
      <c r="B44">
        <v>15</v>
      </c>
      <c r="C44">
        <v>2</v>
      </c>
      <c r="D44" s="7">
        <v>13.3</v>
      </c>
      <c r="E44" s="1">
        <v>7.6139999999999999</v>
      </c>
      <c r="F44" s="6">
        <f t="shared" si="16"/>
        <v>17.467822432361441</v>
      </c>
      <c r="G44" s="7">
        <v>1.41</v>
      </c>
      <c r="H44" s="8">
        <v>2.8549999999999999E-3</v>
      </c>
      <c r="I44" s="9">
        <f t="shared" si="0"/>
        <v>46.967204157933203</v>
      </c>
      <c r="J44" s="7">
        <v>4.5</v>
      </c>
      <c r="K44" s="7">
        <v>22.12</v>
      </c>
      <c r="L44" s="10">
        <f t="shared" si="7"/>
        <v>-2.0769105538590176</v>
      </c>
      <c r="M44" s="12"/>
      <c r="N44" s="11">
        <f t="shared" si="17"/>
        <v>-42.395539245667692</v>
      </c>
      <c r="O44">
        <f t="shared" si="4"/>
        <v>1.2663284210526315</v>
      </c>
      <c r="P44">
        <f t="shared" si="1"/>
        <v>35.180339933061902</v>
      </c>
      <c r="Q44">
        <f t="shared" si="5"/>
        <v>2.6451383408317217</v>
      </c>
      <c r="R44">
        <f t="shared" si="6"/>
        <v>5.7099999999999998E-3</v>
      </c>
    </row>
    <row r="45" spans="1:18" x14ac:dyDescent="0.3">
      <c r="A45">
        <v>0.6</v>
      </c>
      <c r="B45">
        <v>15</v>
      </c>
      <c r="C45">
        <v>4</v>
      </c>
      <c r="D45" s="3">
        <v>1.9</v>
      </c>
      <c r="E45" s="1">
        <v>7.6139999999999999</v>
      </c>
      <c r="F45" s="6">
        <f>(D45*10^-3)/(E45*10^-4)</f>
        <v>2.4954032046230625</v>
      </c>
      <c r="G45" s="7">
        <v>1.41</v>
      </c>
      <c r="H45" s="8">
        <v>1.4274999999999999E-3</v>
      </c>
      <c r="I45" s="9">
        <f t="shared" si="0"/>
        <v>6.7096005939904559</v>
      </c>
      <c r="J45" s="7">
        <v>3</v>
      </c>
      <c r="K45" s="7">
        <v>0</v>
      </c>
      <c r="L45" s="10">
        <f t="shared" si="7"/>
        <v>31.810235769046876</v>
      </c>
      <c r="M45" s="12"/>
      <c r="N45" s="11">
        <f>-(1.7*K45^2)/19.62</f>
        <v>0</v>
      </c>
      <c r="O45">
        <f t="shared" si="4"/>
        <v>0</v>
      </c>
      <c r="P45">
        <f t="shared" si="1"/>
        <v>0</v>
      </c>
      <c r="Q45">
        <f t="shared" si="5"/>
        <v>0</v>
      </c>
      <c r="R45">
        <f t="shared" si="6"/>
        <v>5.7099999999999998E-3</v>
      </c>
    </row>
    <row r="46" spans="1:18" x14ac:dyDescent="0.3">
      <c r="A46">
        <v>0.6</v>
      </c>
      <c r="B46">
        <v>15</v>
      </c>
      <c r="C46">
        <v>4</v>
      </c>
      <c r="D46" s="3">
        <v>3.8</v>
      </c>
      <c r="E46" s="1">
        <v>7.6139999999999999</v>
      </c>
      <c r="F46" s="6">
        <f t="shared" ref="F46:F51" si="18">(D46*10^-3)/(E46*10^-4)</f>
        <v>4.9908064092461251</v>
      </c>
      <c r="G46" s="7">
        <v>1.41</v>
      </c>
      <c r="H46" s="8">
        <v>1.4274999999999999E-3</v>
      </c>
      <c r="I46" s="9">
        <f t="shared" si="0"/>
        <v>13.419201187980912</v>
      </c>
      <c r="J46" s="7">
        <v>4.5</v>
      </c>
      <c r="K46" s="7">
        <v>2</v>
      </c>
      <c r="L46" s="10">
        <f t="shared" si="7"/>
        <v>7.6795559140068717</v>
      </c>
      <c r="M46" s="12"/>
      <c r="N46" s="11">
        <f t="shared" ref="N46:N51" si="19">-(1.7*K46^2)/19.62</f>
        <v>-0.34658511722731905</v>
      </c>
      <c r="O46">
        <f t="shared" si="4"/>
        <v>0.40073684210526322</v>
      </c>
      <c r="P46">
        <f t="shared" si="1"/>
        <v>3.1808625617596653</v>
      </c>
      <c r="Q46">
        <f t="shared" si="5"/>
        <v>0.83706909519991202</v>
      </c>
      <c r="R46">
        <f t="shared" si="6"/>
        <v>5.7099999999999998E-3</v>
      </c>
    </row>
    <row r="47" spans="1:18" x14ac:dyDescent="0.3">
      <c r="A47">
        <v>0.6</v>
      </c>
      <c r="B47">
        <v>15</v>
      </c>
      <c r="C47">
        <v>4</v>
      </c>
      <c r="D47" s="3">
        <v>5.7</v>
      </c>
      <c r="E47" s="1">
        <v>7.6139999999999999</v>
      </c>
      <c r="F47" s="6">
        <f t="shared" si="18"/>
        <v>7.486209613869188</v>
      </c>
      <c r="G47" s="7">
        <v>1.41</v>
      </c>
      <c r="H47" s="8">
        <v>1.4274999999999999E-3</v>
      </c>
      <c r="I47" s="9">
        <f t="shared" si="0"/>
        <v>20.128801781971369</v>
      </c>
      <c r="J47" s="7">
        <v>4.5</v>
      </c>
      <c r="K47" s="7">
        <v>4.05</v>
      </c>
      <c r="L47" s="10">
        <f t="shared" si="7"/>
        <v>3.0369226220107484</v>
      </c>
      <c r="M47" s="12"/>
      <c r="N47" s="11">
        <f t="shared" si="19"/>
        <v>-1.4212155963302751</v>
      </c>
      <c r="O47">
        <f t="shared" si="4"/>
        <v>0.54099473684210531</v>
      </c>
      <c r="P47">
        <f t="shared" si="1"/>
        <v>6.4412466875633232</v>
      </c>
      <c r="Q47">
        <f t="shared" si="5"/>
        <v>1.1300432785198813</v>
      </c>
      <c r="R47">
        <f t="shared" si="6"/>
        <v>5.7099999999999998E-3</v>
      </c>
    </row>
    <row r="48" spans="1:18" x14ac:dyDescent="0.3">
      <c r="A48">
        <v>0.6</v>
      </c>
      <c r="B48">
        <v>15</v>
      </c>
      <c r="C48">
        <v>4</v>
      </c>
      <c r="D48" s="3">
        <v>7.6</v>
      </c>
      <c r="E48" s="1">
        <v>7.6139999999999999</v>
      </c>
      <c r="F48" s="6">
        <f t="shared" si="18"/>
        <v>9.9816128184922501</v>
      </c>
      <c r="G48" s="7">
        <v>1.41</v>
      </c>
      <c r="H48" s="8">
        <v>1.4274999999999999E-3</v>
      </c>
      <c r="I48" s="9">
        <f t="shared" si="0"/>
        <v>26.838402375961824</v>
      </c>
      <c r="J48" s="7">
        <v>4.5</v>
      </c>
      <c r="K48" s="7">
        <v>7.59</v>
      </c>
      <c r="L48" s="10">
        <f t="shared" si="7"/>
        <v>1.0051906260649239</v>
      </c>
      <c r="M48" s="12"/>
      <c r="N48" s="11">
        <f t="shared" si="19"/>
        <v>-4.9915275229357796</v>
      </c>
      <c r="O48">
        <f t="shared" si="4"/>
        <v>0.76039815789473686</v>
      </c>
      <c r="P48">
        <f t="shared" si="1"/>
        <v>12.071373421877929</v>
      </c>
      <c r="Q48">
        <f t="shared" si="5"/>
        <v>1.5883386081418329</v>
      </c>
      <c r="R48">
        <f t="shared" si="6"/>
        <v>5.7099999999999998E-3</v>
      </c>
    </row>
    <row r="49" spans="1:18" x14ac:dyDescent="0.3">
      <c r="A49">
        <v>0.6</v>
      </c>
      <c r="B49">
        <v>15</v>
      </c>
      <c r="C49">
        <v>4</v>
      </c>
      <c r="D49" s="3">
        <v>9.5</v>
      </c>
      <c r="E49" s="1">
        <v>7.6139999999999999</v>
      </c>
      <c r="F49" s="6">
        <f t="shared" si="18"/>
        <v>12.477016023115313</v>
      </c>
      <c r="G49" s="7">
        <v>1.41</v>
      </c>
      <c r="H49" s="8">
        <v>1.4274999999999999E-3</v>
      </c>
      <c r="I49" s="9">
        <f t="shared" si="0"/>
        <v>33.548002969952286</v>
      </c>
      <c r="J49" s="7">
        <v>4.5</v>
      </c>
      <c r="K49" s="7">
        <v>13.03</v>
      </c>
      <c r="L49" s="10">
        <f t="shared" si="7"/>
        <v>-0.58161856283146318</v>
      </c>
      <c r="M49" s="12"/>
      <c r="N49" s="11">
        <f t="shared" si="19"/>
        <v>-14.710883282364929</v>
      </c>
      <c r="O49">
        <f t="shared" si="4"/>
        <v>1.0443202105263159</v>
      </c>
      <c r="P49">
        <f t="shared" si="1"/>
        <v>20.723319589864222</v>
      </c>
      <c r="Q49">
        <f t="shared" si="5"/>
        <v>2.1814020620909709</v>
      </c>
      <c r="R49">
        <f t="shared" si="6"/>
        <v>5.7099999999999998E-3</v>
      </c>
    </row>
    <row r="50" spans="1:18" x14ac:dyDescent="0.3">
      <c r="A50">
        <v>0.6</v>
      </c>
      <c r="B50">
        <v>15</v>
      </c>
      <c r="C50">
        <v>4</v>
      </c>
      <c r="D50" s="3">
        <v>11.4</v>
      </c>
      <c r="E50" s="1">
        <v>7.6139999999999999</v>
      </c>
      <c r="F50" s="6">
        <f t="shared" si="18"/>
        <v>14.972419227738376</v>
      </c>
      <c r="G50" s="7">
        <v>1.41</v>
      </c>
      <c r="H50" s="8">
        <v>1.4274999999999999E-3</v>
      </c>
      <c r="I50" s="9">
        <f t="shared" si="0"/>
        <v>40.257603563942737</v>
      </c>
      <c r="J50" s="7">
        <v>4.5</v>
      </c>
      <c r="K50" s="7">
        <v>19.57</v>
      </c>
      <c r="L50" s="10">
        <f t="shared" si="7"/>
        <v>-2.020716714078699</v>
      </c>
      <c r="M50" s="12"/>
      <c r="N50" s="11">
        <f t="shared" si="19"/>
        <v>-33.184216615698269</v>
      </c>
      <c r="O50">
        <f t="shared" si="4"/>
        <v>1.3070700000000002</v>
      </c>
      <c r="P50">
        <f t="shared" si="1"/>
        <v>31.124740166818327</v>
      </c>
      <c r="Q50">
        <f t="shared" si="5"/>
        <v>2.7302403655103795</v>
      </c>
      <c r="R50">
        <f t="shared" si="6"/>
        <v>5.7099999999999998E-3</v>
      </c>
    </row>
    <row r="51" spans="1:18" x14ac:dyDescent="0.3">
      <c r="A51">
        <v>0.6</v>
      </c>
      <c r="B51">
        <v>15</v>
      </c>
      <c r="C51">
        <v>4</v>
      </c>
      <c r="D51" s="7">
        <v>13.3</v>
      </c>
      <c r="E51" s="1">
        <v>7.6139999999999999</v>
      </c>
      <c r="F51" s="6">
        <f t="shared" si="18"/>
        <v>17.467822432361441</v>
      </c>
      <c r="G51" s="7">
        <v>1.41</v>
      </c>
      <c r="H51" s="8">
        <v>1.4274999999999999E-3</v>
      </c>
      <c r="I51" s="9">
        <f t="shared" si="0"/>
        <v>46.967204157933203</v>
      </c>
      <c r="J51" s="7">
        <v>4.5</v>
      </c>
      <c r="K51" s="7">
        <v>25.54</v>
      </c>
      <c r="L51" s="10">
        <f t="shared" si="7"/>
        <v>-2.9850478844112827</v>
      </c>
      <c r="M51" s="12"/>
      <c r="N51" s="11">
        <f t="shared" si="19"/>
        <v>-56.518640163098866</v>
      </c>
      <c r="O51">
        <f t="shared" si="4"/>
        <v>1.4621169924812027</v>
      </c>
      <c r="P51">
        <f t="shared" si="1"/>
        <v>40.619614913670929</v>
      </c>
      <c r="Q51">
        <f t="shared" si="5"/>
        <v>3.0541063844865359</v>
      </c>
      <c r="R51">
        <f t="shared" si="6"/>
        <v>5.7099999999999998E-3</v>
      </c>
    </row>
    <row r="52" spans="1:18" x14ac:dyDescent="0.3">
      <c r="A52">
        <v>0.6</v>
      </c>
      <c r="B52">
        <v>15</v>
      </c>
      <c r="C52">
        <v>6</v>
      </c>
      <c r="D52" s="3">
        <v>1.9</v>
      </c>
      <c r="E52" s="1">
        <v>7.6139999999999999</v>
      </c>
      <c r="F52" s="6">
        <f>(D52*10^-3)/(E52*10^-4)</f>
        <v>2.4954032046230625</v>
      </c>
      <c r="G52" s="7">
        <v>1.41</v>
      </c>
      <c r="H52" s="8">
        <v>9.5166999999999995E-4</v>
      </c>
      <c r="I52" s="9">
        <f t="shared" si="0"/>
        <v>6.7096005939904559</v>
      </c>
      <c r="J52" s="7">
        <v>3</v>
      </c>
      <c r="K52" s="7">
        <v>0</v>
      </c>
      <c r="L52" s="10">
        <f t="shared" si="7"/>
        <v>31.810235769046876</v>
      </c>
      <c r="M52" s="12"/>
      <c r="N52" s="11">
        <f>-(1.7*K52^2)/19.62</f>
        <v>0</v>
      </c>
      <c r="O52">
        <f t="shared" si="4"/>
        <v>0</v>
      </c>
      <c r="P52">
        <f t="shared" si="1"/>
        <v>0</v>
      </c>
      <c r="Q52">
        <f t="shared" si="5"/>
        <v>0</v>
      </c>
      <c r="R52">
        <f t="shared" si="6"/>
        <v>5.7100199999999997E-3</v>
      </c>
    </row>
    <row r="53" spans="1:18" x14ac:dyDescent="0.3">
      <c r="A53">
        <v>0.6</v>
      </c>
      <c r="B53">
        <v>15</v>
      </c>
      <c r="C53">
        <v>6</v>
      </c>
      <c r="D53" s="3">
        <v>3.8</v>
      </c>
      <c r="E53" s="1">
        <v>7.6139999999999999</v>
      </c>
      <c r="F53" s="6">
        <f t="shared" ref="F53:F58" si="20">(D53*10^-3)/(E53*10^-4)</f>
        <v>4.9908064092461251</v>
      </c>
      <c r="G53" s="7">
        <v>1.41</v>
      </c>
      <c r="H53" s="8">
        <v>9.5166999999999995E-4</v>
      </c>
      <c r="I53" s="9">
        <f t="shared" si="0"/>
        <v>13.419201187980912</v>
      </c>
      <c r="J53" s="7">
        <v>4.5</v>
      </c>
      <c r="K53" s="7">
        <v>2.14</v>
      </c>
      <c r="L53" s="10">
        <f t="shared" si="7"/>
        <v>7.6399977752127439</v>
      </c>
      <c r="M53" s="12"/>
      <c r="N53" s="11">
        <f t="shared" ref="N53:N58" si="21">-(1.7*K53^2)/19.62</f>
        <v>-0.39680530071355757</v>
      </c>
      <c r="O53">
        <f t="shared" si="4"/>
        <v>0.42878842105263165</v>
      </c>
      <c r="P53">
        <f t="shared" si="1"/>
        <v>3.403522941082842</v>
      </c>
      <c r="Q53">
        <f t="shared" si="5"/>
        <v>0.8956639318639058</v>
      </c>
      <c r="R53">
        <f t="shared" si="6"/>
        <v>5.7100199999999997E-3</v>
      </c>
    </row>
    <row r="54" spans="1:18" x14ac:dyDescent="0.3">
      <c r="A54">
        <v>0.6</v>
      </c>
      <c r="B54">
        <v>15</v>
      </c>
      <c r="C54">
        <v>6</v>
      </c>
      <c r="D54" s="3">
        <v>5.7</v>
      </c>
      <c r="E54" s="1">
        <v>7.6139999999999999</v>
      </c>
      <c r="F54" s="6">
        <f t="shared" si="20"/>
        <v>7.486209613869188</v>
      </c>
      <c r="G54" s="7">
        <v>1.41</v>
      </c>
      <c r="H54" s="8">
        <v>9.5166999999999995E-4</v>
      </c>
      <c r="I54" s="9">
        <f t="shared" si="0"/>
        <v>20.128801781971369</v>
      </c>
      <c r="J54" s="7">
        <v>4.5</v>
      </c>
      <c r="K54" s="7">
        <v>4.0199999999999996</v>
      </c>
      <c r="L54" s="10">
        <f t="shared" si="7"/>
        <v>3.0442664034708042</v>
      </c>
      <c r="M54" s="12"/>
      <c r="N54" s="11">
        <f t="shared" si="21"/>
        <v>-1.4002385321100914</v>
      </c>
      <c r="O54">
        <f t="shared" si="4"/>
        <v>0.53698736842105255</v>
      </c>
      <c r="P54">
        <f t="shared" si="1"/>
        <v>6.3935337491369264</v>
      </c>
      <c r="Q54">
        <f t="shared" si="5"/>
        <v>1.1216725875678817</v>
      </c>
      <c r="R54">
        <f t="shared" si="6"/>
        <v>5.7100199999999997E-3</v>
      </c>
    </row>
    <row r="55" spans="1:18" x14ac:dyDescent="0.3">
      <c r="A55">
        <v>0.6</v>
      </c>
      <c r="B55">
        <v>15</v>
      </c>
      <c r="C55">
        <v>6</v>
      </c>
      <c r="D55" s="3">
        <v>7.6</v>
      </c>
      <c r="E55" s="1">
        <v>7.6139999999999999</v>
      </c>
      <c r="F55" s="6">
        <f t="shared" si="20"/>
        <v>9.9816128184922501</v>
      </c>
      <c r="G55" s="7">
        <v>1.41</v>
      </c>
      <c r="H55" s="8">
        <v>9.5166999999999995E-4</v>
      </c>
      <c r="I55" s="9">
        <f t="shared" si="0"/>
        <v>26.838402375961824</v>
      </c>
      <c r="J55" s="7">
        <v>4.5</v>
      </c>
      <c r="K55" s="7">
        <v>8.0299999999999994</v>
      </c>
      <c r="L55" s="10">
        <f t="shared" si="7"/>
        <v>0.88792217527805439</v>
      </c>
      <c r="M55" s="12"/>
      <c r="N55" s="11">
        <f t="shared" si="21"/>
        <v>-5.5870300713557581</v>
      </c>
      <c r="O55">
        <f t="shared" si="4"/>
        <v>0.80447921052631577</v>
      </c>
      <c r="P55">
        <f t="shared" si="1"/>
        <v>12.771163185465056</v>
      </c>
      <c r="Q55">
        <f t="shared" si="5"/>
        <v>1.6804162086138232</v>
      </c>
      <c r="R55">
        <f t="shared" si="6"/>
        <v>5.7100199999999997E-3</v>
      </c>
    </row>
    <row r="56" spans="1:18" x14ac:dyDescent="0.3">
      <c r="A56">
        <v>0.6</v>
      </c>
      <c r="B56">
        <v>15</v>
      </c>
      <c r="C56">
        <v>6</v>
      </c>
      <c r="D56" s="3">
        <v>9.5</v>
      </c>
      <c r="E56" s="1">
        <v>7.6139999999999999</v>
      </c>
      <c r="F56" s="6">
        <f t="shared" si="20"/>
        <v>12.477016023115313</v>
      </c>
      <c r="G56" s="7">
        <v>1.41</v>
      </c>
      <c r="H56" s="8">
        <v>9.5166999999999995E-4</v>
      </c>
      <c r="I56" s="9">
        <f t="shared" si="0"/>
        <v>33.548002969952286</v>
      </c>
      <c r="J56" s="7">
        <v>4.5</v>
      </c>
      <c r="K56" s="7">
        <v>14.29</v>
      </c>
      <c r="L56" s="10">
        <f t="shared" si="7"/>
        <v>-0.95752407652035432</v>
      </c>
      <c r="M56" s="12"/>
      <c r="N56" s="11">
        <f t="shared" si="21"/>
        <v>-17.693525484199792</v>
      </c>
      <c r="O56">
        <f t="shared" si="4"/>
        <v>1.1453058947368422</v>
      </c>
      <c r="P56">
        <f t="shared" si="1"/>
        <v>22.727263003772809</v>
      </c>
      <c r="Q56">
        <f t="shared" si="5"/>
        <v>2.3923434740813483</v>
      </c>
      <c r="R56">
        <f t="shared" si="6"/>
        <v>5.7100199999999997E-3</v>
      </c>
    </row>
    <row r="57" spans="1:18" x14ac:dyDescent="0.3">
      <c r="A57">
        <v>0.6</v>
      </c>
      <c r="B57">
        <v>15</v>
      </c>
      <c r="C57">
        <v>6</v>
      </c>
      <c r="D57" s="3">
        <v>11.4</v>
      </c>
      <c r="E57" s="1">
        <v>7.6139999999999999</v>
      </c>
      <c r="F57" s="6">
        <f t="shared" si="20"/>
        <v>14.972419227738376</v>
      </c>
      <c r="G57" s="7">
        <v>1.41</v>
      </c>
      <c r="H57" s="8">
        <v>9.5166999999999995E-4</v>
      </c>
      <c r="I57" s="9">
        <f t="shared" si="0"/>
        <v>40.257603563942737</v>
      </c>
      <c r="J57" s="7">
        <v>4.5</v>
      </c>
      <c r="K57" s="7">
        <v>20.07</v>
      </c>
      <c r="L57" s="10">
        <f t="shared" si="7"/>
        <v>-2.1710200479678954</v>
      </c>
      <c r="M57" s="12"/>
      <c r="N57" s="11">
        <f t="shared" si="21"/>
        <v>-34.901545871559634</v>
      </c>
      <c r="O57">
        <f t="shared" si="4"/>
        <v>1.3404647368421054</v>
      </c>
      <c r="P57">
        <f t="shared" si="1"/>
        <v>31.919955807258248</v>
      </c>
      <c r="Q57">
        <f t="shared" si="5"/>
        <v>2.7999961234437056</v>
      </c>
      <c r="R57">
        <f t="shared" si="6"/>
        <v>5.7100199999999997E-3</v>
      </c>
    </row>
    <row r="58" spans="1:18" x14ac:dyDescent="0.3">
      <c r="A58">
        <v>0.6</v>
      </c>
      <c r="B58">
        <v>15</v>
      </c>
      <c r="C58">
        <v>6</v>
      </c>
      <c r="D58" s="7">
        <v>13.3</v>
      </c>
      <c r="E58" s="1">
        <v>7.6139999999999999</v>
      </c>
      <c r="F58" s="6">
        <f t="shared" si="20"/>
        <v>17.467822432361441</v>
      </c>
      <c r="G58" s="7">
        <v>1.41</v>
      </c>
      <c r="H58" s="8">
        <v>9.5166999999999995E-4</v>
      </c>
      <c r="I58" s="9">
        <f t="shared" si="0"/>
        <v>46.967204157933203</v>
      </c>
      <c r="J58" s="7">
        <v>4.5</v>
      </c>
      <c r="K58" s="7">
        <v>25.31</v>
      </c>
      <c r="L58" s="10">
        <f t="shared" si="7"/>
        <v>-2.919886518759149</v>
      </c>
      <c r="M58" s="12"/>
      <c r="N58" s="11">
        <f t="shared" si="21"/>
        <v>-55.505268603465844</v>
      </c>
      <c r="O58">
        <f t="shared" si="4"/>
        <v>1.4489499248120299</v>
      </c>
      <c r="P58">
        <f t="shared" si="1"/>
        <v>40.253815719068562</v>
      </c>
      <c r="Q58">
        <f t="shared" si="5"/>
        <v>3.0266026856442525</v>
      </c>
      <c r="R58">
        <f t="shared" si="6"/>
        <v>5.7100199999999997E-3</v>
      </c>
    </row>
    <row r="59" spans="1:18" x14ac:dyDescent="0.3">
      <c r="A59">
        <v>0.6</v>
      </c>
      <c r="B59">
        <v>20</v>
      </c>
      <c r="C59">
        <v>1</v>
      </c>
      <c r="D59" s="3">
        <v>2.2999999999999998</v>
      </c>
      <c r="E59" s="1">
        <v>10.151999999999999</v>
      </c>
      <c r="F59" s="6">
        <f>(D59*10^-3)/(E59*10^-4)</f>
        <v>2.265563435776202</v>
      </c>
      <c r="G59" s="7">
        <v>1.88</v>
      </c>
      <c r="H59" s="8">
        <v>6.9699999999999996E-3</v>
      </c>
      <c r="I59" s="9">
        <f t="shared" si="0"/>
        <v>5.2754899327810501</v>
      </c>
      <c r="J59" s="7">
        <v>3</v>
      </c>
      <c r="K59" s="7">
        <v>0</v>
      </c>
      <c r="L59" s="10">
        <f t="shared" si="7"/>
        <v>38.591876034869706</v>
      </c>
      <c r="M59" s="12"/>
      <c r="N59" s="11">
        <f>-(1.7*K59^2)/19.62</f>
        <v>0</v>
      </c>
      <c r="O59">
        <f t="shared" si="4"/>
        <v>0</v>
      </c>
      <c r="P59">
        <f t="shared" si="1"/>
        <v>0</v>
      </c>
      <c r="Q59">
        <f t="shared" si="5"/>
        <v>0</v>
      </c>
      <c r="R59">
        <f t="shared" si="6"/>
        <v>6.9699999999999996E-3</v>
      </c>
    </row>
    <row r="60" spans="1:18" x14ac:dyDescent="0.3">
      <c r="A60">
        <v>0.6</v>
      </c>
      <c r="B60">
        <v>20</v>
      </c>
      <c r="C60">
        <v>1</v>
      </c>
      <c r="D60" s="3">
        <v>4.5999999999999996</v>
      </c>
      <c r="E60" s="1">
        <v>10.151999999999999</v>
      </c>
      <c r="F60" s="6">
        <f t="shared" ref="F60:F65" si="22">(D60*10^-3)/(E60*10^-4)</f>
        <v>4.531126871552404</v>
      </c>
      <c r="G60" s="7">
        <v>1.88</v>
      </c>
      <c r="H60" s="8">
        <v>6.9699999999999996E-3</v>
      </c>
      <c r="I60" s="9">
        <f t="shared" si="0"/>
        <v>10.5509798655621</v>
      </c>
      <c r="J60" s="7">
        <v>4.5</v>
      </c>
      <c r="K60" s="7">
        <v>0.96</v>
      </c>
      <c r="L60" s="10">
        <f t="shared" si="7"/>
        <v>9.5716594499750443</v>
      </c>
      <c r="M60" s="12"/>
      <c r="N60" s="11">
        <f t="shared" ref="N60:N65" si="23">-(1.7*K60^2)/19.62</f>
        <v>-7.9853211009174307E-2</v>
      </c>
      <c r="O60">
        <f t="shared" si="4"/>
        <v>0.21186782608695648</v>
      </c>
      <c r="P60">
        <f t="shared" si="1"/>
        <v>1.5268140296446393</v>
      </c>
      <c r="Q60">
        <f t="shared" si="5"/>
        <v>0.33191609340100858</v>
      </c>
      <c r="R60">
        <f t="shared" si="6"/>
        <v>6.9699999999999996E-3</v>
      </c>
    </row>
    <row r="61" spans="1:18" x14ac:dyDescent="0.3">
      <c r="A61">
        <v>0.6</v>
      </c>
      <c r="B61">
        <v>20</v>
      </c>
      <c r="C61">
        <v>1</v>
      </c>
      <c r="D61" s="3">
        <v>6.9</v>
      </c>
      <c r="E61" s="1">
        <v>10.151999999999999</v>
      </c>
      <c r="F61" s="6">
        <f t="shared" si="22"/>
        <v>6.796690307328606</v>
      </c>
      <c r="G61" s="7">
        <v>1.88</v>
      </c>
      <c r="H61" s="8">
        <v>6.9699999999999996E-3</v>
      </c>
      <c r="I61" s="9">
        <f t="shared" si="0"/>
        <v>15.826469798343151</v>
      </c>
      <c r="J61" s="7">
        <v>4.5</v>
      </c>
      <c r="K61" s="7">
        <v>2.0499999999999998</v>
      </c>
      <c r="L61" s="10">
        <f t="shared" si="7"/>
        <v>4.1333320398433262</v>
      </c>
      <c r="M61" s="12"/>
      <c r="N61" s="11">
        <f t="shared" si="23"/>
        <v>-0.36413098878695205</v>
      </c>
      <c r="O61">
        <f t="shared" si="4"/>
        <v>0.30161739130434778</v>
      </c>
      <c r="P61">
        <f t="shared" si="1"/>
        <v>3.2603841258036566</v>
      </c>
      <c r="Q61">
        <f t="shared" si="5"/>
        <v>0.47251943852226902</v>
      </c>
      <c r="R61">
        <f t="shared" si="6"/>
        <v>6.9699999999999996E-3</v>
      </c>
    </row>
    <row r="62" spans="1:18" x14ac:dyDescent="0.3">
      <c r="A62">
        <v>0.6</v>
      </c>
      <c r="B62">
        <v>20</v>
      </c>
      <c r="C62">
        <v>1</v>
      </c>
      <c r="D62" s="3">
        <v>9.1999999999999993</v>
      </c>
      <c r="E62" s="1">
        <v>10.151999999999999</v>
      </c>
      <c r="F62" s="6">
        <f t="shared" si="22"/>
        <v>9.062253743104808</v>
      </c>
      <c r="G62" s="7">
        <v>1.88</v>
      </c>
      <c r="H62" s="8">
        <v>6.9699999999999996E-3</v>
      </c>
      <c r="I62" s="9">
        <f t="shared" si="0"/>
        <v>21.1019597311242</v>
      </c>
      <c r="J62" s="7">
        <v>4.5</v>
      </c>
      <c r="K62" s="7">
        <v>2.96</v>
      </c>
      <c r="L62" s="10">
        <f t="shared" si="7"/>
        <v>2.2306245682933827</v>
      </c>
      <c r="M62" s="12"/>
      <c r="N62" s="11">
        <f t="shared" si="23"/>
        <v>-0.75916004077471966</v>
      </c>
      <c r="O62">
        <f t="shared" si="4"/>
        <v>0.32662956521739128</v>
      </c>
      <c r="P62">
        <f t="shared" si="1"/>
        <v>4.7076765914043053</v>
      </c>
      <c r="Q62">
        <f t="shared" si="5"/>
        <v>0.51170397732655493</v>
      </c>
      <c r="R62">
        <f t="shared" si="6"/>
        <v>6.9699999999999996E-3</v>
      </c>
    </row>
    <row r="63" spans="1:18" x14ac:dyDescent="0.3">
      <c r="A63">
        <v>0.6</v>
      </c>
      <c r="B63">
        <v>20</v>
      </c>
      <c r="C63">
        <v>1</v>
      </c>
      <c r="D63" s="3">
        <v>11.5</v>
      </c>
      <c r="E63" s="1">
        <v>10.151999999999999</v>
      </c>
      <c r="F63" s="6">
        <f t="shared" si="22"/>
        <v>11.327817178881009</v>
      </c>
      <c r="G63" s="7">
        <v>1.88</v>
      </c>
      <c r="H63" s="8">
        <v>6.9699999999999996E-3</v>
      </c>
      <c r="I63" s="9">
        <f t="shared" si="0"/>
        <v>26.377449663905249</v>
      </c>
      <c r="J63" s="7">
        <v>4.5</v>
      </c>
      <c r="K63" s="7">
        <v>4.4800000000000004</v>
      </c>
      <c r="L63" s="10">
        <f t="shared" si="7"/>
        <v>1.2777786233768893</v>
      </c>
      <c r="M63" s="12"/>
      <c r="N63" s="11">
        <f t="shared" si="23"/>
        <v>-1.7390254841997961</v>
      </c>
      <c r="O63">
        <f t="shared" si="4"/>
        <v>0.39548660869565222</v>
      </c>
      <c r="P63">
        <f t="shared" si="1"/>
        <v>7.1251321383416526</v>
      </c>
      <c r="Q63">
        <f t="shared" si="5"/>
        <v>0.61957670768188289</v>
      </c>
      <c r="R63">
        <f t="shared" si="6"/>
        <v>6.9699999999999996E-3</v>
      </c>
    </row>
    <row r="64" spans="1:18" x14ac:dyDescent="0.3">
      <c r="A64">
        <v>0.6</v>
      </c>
      <c r="B64">
        <v>20</v>
      </c>
      <c r="C64">
        <v>1</v>
      </c>
      <c r="D64" s="3">
        <v>13.8</v>
      </c>
      <c r="E64" s="1">
        <v>10.151999999999999</v>
      </c>
      <c r="F64" s="6">
        <f t="shared" si="22"/>
        <v>13.593380614657212</v>
      </c>
      <c r="G64" s="7">
        <v>1.88</v>
      </c>
      <c r="H64" s="8">
        <v>6.9699999999999996E-3</v>
      </c>
      <c r="I64" s="9">
        <f t="shared" si="0"/>
        <v>31.652939596686302</v>
      </c>
      <c r="J64" s="7">
        <v>4.5</v>
      </c>
      <c r="K64" s="7">
        <v>5.93</v>
      </c>
      <c r="L64" s="10">
        <f t="shared" si="7"/>
        <v>0.74847490309292997</v>
      </c>
      <c r="M64" s="12"/>
      <c r="N64" s="11">
        <f t="shared" si="23"/>
        <v>-3.0469077471967374</v>
      </c>
      <c r="O64">
        <f t="shared" si="4"/>
        <v>0.43624173913043474</v>
      </c>
      <c r="P64">
        <f t="shared" si="1"/>
        <v>9.4312574956174071</v>
      </c>
      <c r="Q64">
        <f t="shared" si="5"/>
        <v>0.68342445620415992</v>
      </c>
      <c r="R64">
        <f t="shared" si="6"/>
        <v>6.9699999999999996E-3</v>
      </c>
    </row>
    <row r="65" spans="1:18" x14ac:dyDescent="0.3">
      <c r="A65">
        <v>0.6</v>
      </c>
      <c r="B65">
        <v>20</v>
      </c>
      <c r="C65">
        <v>1</v>
      </c>
      <c r="D65" s="7">
        <v>16.2</v>
      </c>
      <c r="E65" s="1">
        <v>10.151999999999999</v>
      </c>
      <c r="F65" s="6">
        <f t="shared" si="22"/>
        <v>15.957446808510639</v>
      </c>
      <c r="G65" s="7">
        <v>1.88</v>
      </c>
      <c r="H65" s="8">
        <v>6.9699999999999996E-3</v>
      </c>
      <c r="I65" s="9">
        <f t="shared" si="0"/>
        <v>37.157798656979573</v>
      </c>
      <c r="J65" s="7">
        <v>4.5</v>
      </c>
      <c r="K65" s="7">
        <v>9.6999999999999993</v>
      </c>
      <c r="L65" s="10">
        <f t="shared" si="7"/>
        <v>0.14974278876444455</v>
      </c>
      <c r="M65" s="12"/>
      <c r="N65" s="11">
        <f t="shared" si="23"/>
        <v>-8.1525484199796114</v>
      </c>
      <c r="O65">
        <f t="shared" si="4"/>
        <v>0.60786666666666656</v>
      </c>
      <c r="P65">
        <f t="shared" si="1"/>
        <v>15.427183424534377</v>
      </c>
      <c r="Q65">
        <f t="shared" si="5"/>
        <v>0.95229527311940598</v>
      </c>
      <c r="R65">
        <f t="shared" si="6"/>
        <v>6.9699999999999996E-3</v>
      </c>
    </row>
    <row r="66" spans="1:18" x14ac:dyDescent="0.3">
      <c r="A66">
        <v>0.6</v>
      </c>
      <c r="B66">
        <v>20</v>
      </c>
      <c r="C66">
        <v>2</v>
      </c>
      <c r="D66" s="3">
        <v>2.2999999999999998</v>
      </c>
      <c r="E66" s="1">
        <v>10.151999999999999</v>
      </c>
      <c r="F66" s="6">
        <f>(D66*10^-3)/(E66*10^-4)</f>
        <v>2.265563435776202</v>
      </c>
      <c r="G66" s="7">
        <v>1.88</v>
      </c>
      <c r="H66" s="8">
        <v>3.4849999999999998E-3</v>
      </c>
      <c r="I66" s="9">
        <f t="shared" si="0"/>
        <v>5.2754899327810501</v>
      </c>
      <c r="J66" s="7">
        <v>3</v>
      </c>
      <c r="K66" s="7">
        <v>0</v>
      </c>
      <c r="L66" s="10">
        <f t="shared" si="7"/>
        <v>38.591876034869706</v>
      </c>
      <c r="M66" s="12"/>
      <c r="N66" s="11">
        <f>-(1.7*K66^2)/19.62</f>
        <v>0</v>
      </c>
      <c r="O66">
        <f t="shared" si="4"/>
        <v>0</v>
      </c>
      <c r="P66">
        <f t="shared" si="1"/>
        <v>0</v>
      </c>
      <c r="Q66">
        <f t="shared" si="5"/>
        <v>0</v>
      </c>
      <c r="R66">
        <f t="shared" si="6"/>
        <v>6.9699999999999996E-3</v>
      </c>
    </row>
    <row r="67" spans="1:18" x14ac:dyDescent="0.3">
      <c r="A67">
        <v>0.6</v>
      </c>
      <c r="B67">
        <v>20</v>
      </c>
      <c r="C67">
        <v>2</v>
      </c>
      <c r="D67" s="3">
        <v>4.5999999999999996</v>
      </c>
      <c r="E67" s="1">
        <v>10.151999999999999</v>
      </c>
      <c r="F67" s="6">
        <f t="shared" ref="F67:F72" si="24">(D67*10^-3)/(E67*10^-4)</f>
        <v>4.531126871552404</v>
      </c>
      <c r="G67" s="7">
        <v>1.88</v>
      </c>
      <c r="H67" s="8">
        <v>3.4849999999999998E-3</v>
      </c>
      <c r="I67" s="9">
        <f t="shared" ref="I67:I130" si="25">(F67)/((9.81*G67*10^-2))^(1/2)</f>
        <v>10.5509798655621</v>
      </c>
      <c r="J67" s="7">
        <v>4.5</v>
      </c>
      <c r="K67" s="7">
        <v>2.15</v>
      </c>
      <c r="L67" s="10">
        <f t="shared" si="7"/>
        <v>9.2652205980331157</v>
      </c>
      <c r="M67" s="12"/>
      <c r="N67" s="11">
        <f t="shared" ref="N67:N72" si="26">-(1.7*K67^2)/19.62</f>
        <v>-0.40052242609582051</v>
      </c>
      <c r="O67">
        <f t="shared" si="4"/>
        <v>0.47449565217391299</v>
      </c>
      <c r="P67">
        <f t="shared" si="1"/>
        <v>3.4194272538916399</v>
      </c>
      <c r="Q67">
        <f t="shared" si="5"/>
        <v>0.74335375084600874</v>
      </c>
      <c r="R67">
        <f t="shared" si="6"/>
        <v>6.9699999999999996E-3</v>
      </c>
    </row>
    <row r="68" spans="1:18" x14ac:dyDescent="0.3">
      <c r="A68">
        <v>0.6</v>
      </c>
      <c r="B68">
        <v>20</v>
      </c>
      <c r="C68">
        <v>2</v>
      </c>
      <c r="D68" s="3">
        <v>6.9</v>
      </c>
      <c r="E68" s="1">
        <v>10.151999999999999</v>
      </c>
      <c r="F68" s="6">
        <f t="shared" si="24"/>
        <v>6.796690307328606</v>
      </c>
      <c r="G68" s="7">
        <v>1.88</v>
      </c>
      <c r="H68" s="8">
        <v>3.4849999999999998E-3</v>
      </c>
      <c r="I68" s="9">
        <f t="shared" si="25"/>
        <v>15.826469798343151</v>
      </c>
      <c r="J68" s="7">
        <v>4.5</v>
      </c>
      <c r="K68" s="7">
        <v>4.47</v>
      </c>
      <c r="L68" s="10">
        <f t="shared" si="7"/>
        <v>3.5526787114961049</v>
      </c>
      <c r="M68" s="12"/>
      <c r="N68" s="11">
        <f t="shared" si="26"/>
        <v>-1.7312706422018347</v>
      </c>
      <c r="O68">
        <f t="shared" ref="O68:O131" si="27">K68/F68</f>
        <v>0.65767304347826072</v>
      </c>
      <c r="P68">
        <f t="shared" ref="P68:P131" si="28">K68*PI()*(J68^2)/40</f>
        <v>7.1092278255328525</v>
      </c>
      <c r="Q68">
        <f t="shared" ref="Q68:Q131" si="29">P68/D68</f>
        <v>1.0303228732656307</v>
      </c>
      <c r="R68">
        <f t="shared" ref="R68:R131" si="30">C68*H68</f>
        <v>6.9699999999999996E-3</v>
      </c>
    </row>
    <row r="69" spans="1:18" x14ac:dyDescent="0.3">
      <c r="A69">
        <v>0.6</v>
      </c>
      <c r="B69">
        <v>20</v>
      </c>
      <c r="C69">
        <v>2</v>
      </c>
      <c r="D69" s="3">
        <v>9.1999999999999993</v>
      </c>
      <c r="E69" s="1">
        <v>10.151999999999999</v>
      </c>
      <c r="F69" s="6">
        <f t="shared" si="24"/>
        <v>9.062253743104808</v>
      </c>
      <c r="G69" s="7">
        <v>1.88</v>
      </c>
      <c r="H69" s="8">
        <v>3.4849999999999998E-3</v>
      </c>
      <c r="I69" s="9">
        <f t="shared" si="25"/>
        <v>21.1019597311242</v>
      </c>
      <c r="J69" s="7">
        <v>4.5</v>
      </c>
      <c r="K69" s="7">
        <v>8.25</v>
      </c>
      <c r="L69" s="10">
        <f t="shared" ref="L69:L132" si="31">(10.33+N69-0.234)/((F69^2)/19.62)</f>
        <v>1.0030785852133834</v>
      </c>
      <c r="M69" s="12"/>
      <c r="N69" s="11">
        <f t="shared" si="26"/>
        <v>-5.8973623853211006</v>
      </c>
      <c r="O69">
        <f t="shared" si="27"/>
        <v>0.91036956521739121</v>
      </c>
      <c r="P69">
        <f t="shared" si="28"/>
        <v>13.121058067258621</v>
      </c>
      <c r="Q69">
        <f t="shared" si="29"/>
        <v>1.426201963832459</v>
      </c>
      <c r="R69">
        <f t="shared" si="30"/>
        <v>6.9699999999999996E-3</v>
      </c>
    </row>
    <row r="70" spans="1:18" x14ac:dyDescent="0.3">
      <c r="A70">
        <v>0.6</v>
      </c>
      <c r="B70">
        <v>20</v>
      </c>
      <c r="C70">
        <v>2</v>
      </c>
      <c r="D70" s="3">
        <v>11.5</v>
      </c>
      <c r="E70" s="1">
        <v>10.151999999999999</v>
      </c>
      <c r="F70" s="6">
        <f t="shared" si="24"/>
        <v>11.327817178881009</v>
      </c>
      <c r="G70" s="7">
        <v>1.88</v>
      </c>
      <c r="H70" s="8">
        <v>3.4849999999999998E-3</v>
      </c>
      <c r="I70" s="9">
        <f t="shared" si="25"/>
        <v>26.377449663905249</v>
      </c>
      <c r="J70" s="7">
        <v>4.5</v>
      </c>
      <c r="K70" s="7">
        <v>10.93</v>
      </c>
      <c r="L70" s="10">
        <f t="shared" si="31"/>
        <v>-3.9018327390415108E-2</v>
      </c>
      <c r="M70" s="12"/>
      <c r="N70" s="11">
        <f t="shared" si="26"/>
        <v>-10.351189092762487</v>
      </c>
      <c r="O70">
        <f t="shared" si="27"/>
        <v>0.9648813913043478</v>
      </c>
      <c r="P70">
        <f t="shared" si="28"/>
        <v>17.383413900016571</v>
      </c>
      <c r="Q70">
        <f t="shared" si="29"/>
        <v>1.5116012086970931</v>
      </c>
      <c r="R70">
        <f t="shared" si="30"/>
        <v>6.9699999999999996E-3</v>
      </c>
    </row>
    <row r="71" spans="1:18" x14ac:dyDescent="0.3">
      <c r="A71">
        <v>0.6</v>
      </c>
      <c r="B71">
        <v>20</v>
      </c>
      <c r="C71">
        <v>2</v>
      </c>
      <c r="D71" s="3">
        <v>13.8</v>
      </c>
      <c r="E71" s="1">
        <v>10.151999999999999</v>
      </c>
      <c r="F71" s="6">
        <f t="shared" si="24"/>
        <v>13.593380614657212</v>
      </c>
      <c r="G71" s="7">
        <v>1.88</v>
      </c>
      <c r="H71" s="8">
        <v>3.4849999999999998E-3</v>
      </c>
      <c r="I71" s="9">
        <f t="shared" si="25"/>
        <v>31.652939596686302</v>
      </c>
      <c r="J71" s="7">
        <v>4.5</v>
      </c>
      <c r="K71" s="7">
        <v>15.81</v>
      </c>
      <c r="L71" s="10">
        <f t="shared" si="31"/>
        <v>-1.2276320719440452</v>
      </c>
      <c r="M71" s="12"/>
      <c r="N71" s="11">
        <f t="shared" si="26"/>
        <v>-21.657766055045872</v>
      </c>
      <c r="O71">
        <f t="shared" si="27"/>
        <v>1.1630660869565217</v>
      </c>
      <c r="P71">
        <f t="shared" si="28"/>
        <v>25.144718550710156</v>
      </c>
      <c r="Q71">
        <f t="shared" si="29"/>
        <v>1.8220810543992865</v>
      </c>
      <c r="R71">
        <f t="shared" si="30"/>
        <v>6.9699999999999996E-3</v>
      </c>
    </row>
    <row r="72" spans="1:18" x14ac:dyDescent="0.3">
      <c r="A72">
        <v>0.6</v>
      </c>
      <c r="B72">
        <v>20</v>
      </c>
      <c r="C72">
        <v>2</v>
      </c>
      <c r="D72" s="7">
        <v>16.2</v>
      </c>
      <c r="E72" s="1">
        <v>10.151999999999999</v>
      </c>
      <c r="F72" s="6">
        <f t="shared" si="24"/>
        <v>15.957446808510639</v>
      </c>
      <c r="G72" s="7">
        <v>1.88</v>
      </c>
      <c r="H72" s="8">
        <v>3.4849999999999998E-3</v>
      </c>
      <c r="I72" s="9">
        <f t="shared" si="25"/>
        <v>37.157798656979573</v>
      </c>
      <c r="J72" s="7">
        <v>4.5</v>
      </c>
      <c r="K72" s="7">
        <v>21.51</v>
      </c>
      <c r="L72" s="10">
        <f t="shared" si="31"/>
        <v>-2.3109974824000008</v>
      </c>
      <c r="M72" s="12"/>
      <c r="N72" s="11">
        <f t="shared" si="26"/>
        <v>-40.089509174311935</v>
      </c>
      <c r="O72">
        <f t="shared" si="27"/>
        <v>1.34796</v>
      </c>
      <c r="P72">
        <f t="shared" si="28"/>
        <v>34.210176851725201</v>
      </c>
      <c r="Q72">
        <f t="shared" si="29"/>
        <v>2.1117393118348891</v>
      </c>
      <c r="R72">
        <f t="shared" si="30"/>
        <v>6.9699999999999996E-3</v>
      </c>
    </row>
    <row r="73" spans="1:18" x14ac:dyDescent="0.3">
      <c r="A73">
        <v>0.6</v>
      </c>
      <c r="B73">
        <v>20</v>
      </c>
      <c r="C73">
        <v>4</v>
      </c>
      <c r="D73" s="3">
        <v>2.2999999999999998</v>
      </c>
      <c r="E73" s="1">
        <v>10.151999999999999</v>
      </c>
      <c r="F73" s="6">
        <f>(D73*10^-3)/(E73*10^-4)</f>
        <v>2.265563435776202</v>
      </c>
      <c r="G73" s="7">
        <v>1.88</v>
      </c>
      <c r="H73" s="8">
        <v>1.7424999999999999E-3</v>
      </c>
      <c r="I73" s="9">
        <f t="shared" si="25"/>
        <v>5.2754899327810501</v>
      </c>
      <c r="J73" s="7">
        <v>3</v>
      </c>
      <c r="K73" s="7">
        <v>0</v>
      </c>
      <c r="L73" s="10">
        <f t="shared" si="31"/>
        <v>38.591876034869706</v>
      </c>
      <c r="M73" s="12"/>
      <c r="N73" s="11">
        <f>-(1.7*K73^2)/19.62</f>
        <v>0</v>
      </c>
      <c r="O73">
        <f t="shared" si="27"/>
        <v>0</v>
      </c>
      <c r="P73">
        <f t="shared" si="28"/>
        <v>0</v>
      </c>
      <c r="Q73">
        <f t="shared" si="29"/>
        <v>0</v>
      </c>
      <c r="R73">
        <f t="shared" si="30"/>
        <v>6.9699999999999996E-3</v>
      </c>
    </row>
    <row r="74" spans="1:18" x14ac:dyDescent="0.3">
      <c r="A74">
        <v>0.6</v>
      </c>
      <c r="B74">
        <v>20</v>
      </c>
      <c r="C74">
        <v>4</v>
      </c>
      <c r="D74" s="3">
        <v>4.5999999999999996</v>
      </c>
      <c r="E74" s="1">
        <v>10.151999999999999</v>
      </c>
      <c r="F74" s="6">
        <f t="shared" ref="F74:F79" si="32">(D74*10^-3)/(E74*10^-4)</f>
        <v>4.531126871552404</v>
      </c>
      <c r="G74" s="7">
        <v>1.88</v>
      </c>
      <c r="H74" s="8">
        <v>1.7424999999999999E-3</v>
      </c>
      <c r="I74" s="9">
        <f t="shared" si="25"/>
        <v>10.5509798655621</v>
      </c>
      <c r="J74" s="7">
        <v>4.5</v>
      </c>
      <c r="K74" s="7">
        <v>2.23</v>
      </c>
      <c r="L74" s="10">
        <f t="shared" si="31"/>
        <v>9.2362070678862747</v>
      </c>
      <c r="M74" s="12"/>
      <c r="N74" s="11">
        <f t="shared" ref="N74:N79" si="33">-(1.7*K74^2)/19.62</f>
        <v>-0.43088328236493373</v>
      </c>
      <c r="O74">
        <f t="shared" si="27"/>
        <v>0.492151304347826</v>
      </c>
      <c r="P74">
        <f t="shared" si="28"/>
        <v>3.5466617563620275</v>
      </c>
      <c r="Q74">
        <f t="shared" si="29"/>
        <v>0.77101342529609296</v>
      </c>
      <c r="R74">
        <f t="shared" si="30"/>
        <v>6.9699999999999996E-3</v>
      </c>
    </row>
    <row r="75" spans="1:18" x14ac:dyDescent="0.3">
      <c r="A75">
        <v>0.6</v>
      </c>
      <c r="B75">
        <v>20</v>
      </c>
      <c r="C75">
        <v>4</v>
      </c>
      <c r="D75" s="3">
        <v>6.9</v>
      </c>
      <c r="E75" s="1">
        <v>10.151999999999999</v>
      </c>
      <c r="F75" s="6">
        <f t="shared" si="32"/>
        <v>6.796690307328606</v>
      </c>
      <c r="G75" s="7">
        <v>1.88</v>
      </c>
      <c r="H75" s="8">
        <v>1.7424999999999999E-3</v>
      </c>
      <c r="I75" s="9">
        <f t="shared" si="25"/>
        <v>15.826469798343151</v>
      </c>
      <c r="J75" s="7">
        <v>4.5</v>
      </c>
      <c r="K75" s="7">
        <v>4.72</v>
      </c>
      <c r="L75" s="10">
        <f t="shared" si="31"/>
        <v>3.4681295162749337</v>
      </c>
      <c r="M75" s="12"/>
      <c r="N75" s="11">
        <f t="shared" si="33"/>
        <v>-1.9303404689092758</v>
      </c>
      <c r="O75">
        <f t="shared" si="27"/>
        <v>0.69445565217391292</v>
      </c>
      <c r="P75">
        <f t="shared" si="28"/>
        <v>7.5068356457528109</v>
      </c>
      <c r="Q75">
        <f t="shared" si="29"/>
        <v>1.0879471950366393</v>
      </c>
      <c r="R75">
        <f t="shared" si="30"/>
        <v>6.9699999999999996E-3</v>
      </c>
    </row>
    <row r="76" spans="1:18" x14ac:dyDescent="0.3">
      <c r="A76">
        <v>0.6</v>
      </c>
      <c r="B76">
        <v>20</v>
      </c>
      <c r="C76">
        <v>4</v>
      </c>
      <c r="D76" s="3">
        <v>9.1999999999999993</v>
      </c>
      <c r="E76" s="1">
        <v>10.151999999999999</v>
      </c>
      <c r="F76" s="6">
        <f t="shared" si="32"/>
        <v>9.062253743104808</v>
      </c>
      <c r="G76" s="7">
        <v>1.88</v>
      </c>
      <c r="H76" s="8">
        <v>1.7424999999999999E-3</v>
      </c>
      <c r="I76" s="9">
        <f t="shared" si="25"/>
        <v>21.1019597311242</v>
      </c>
      <c r="J76" s="7">
        <v>4.5</v>
      </c>
      <c r="K76" s="7">
        <v>8.69</v>
      </c>
      <c r="L76" s="10">
        <f t="shared" si="31"/>
        <v>0.84878688408430991</v>
      </c>
      <c r="M76" s="12"/>
      <c r="N76" s="11">
        <f t="shared" si="33"/>
        <v>-6.5431890927624865</v>
      </c>
      <c r="O76">
        <f t="shared" si="27"/>
        <v>0.95892260869565205</v>
      </c>
      <c r="P76">
        <f t="shared" si="28"/>
        <v>13.820847830845747</v>
      </c>
      <c r="Q76">
        <f t="shared" si="29"/>
        <v>1.5022660685701898</v>
      </c>
      <c r="R76">
        <f t="shared" si="30"/>
        <v>6.9699999999999996E-3</v>
      </c>
    </row>
    <row r="77" spans="1:18" x14ac:dyDescent="0.3">
      <c r="A77">
        <v>0.6</v>
      </c>
      <c r="B77">
        <v>20</v>
      </c>
      <c r="C77">
        <v>4</v>
      </c>
      <c r="D77" s="3">
        <v>11.5</v>
      </c>
      <c r="E77" s="1">
        <v>10.151999999999999</v>
      </c>
      <c r="F77" s="6">
        <f t="shared" si="32"/>
        <v>11.327817178881009</v>
      </c>
      <c r="G77" s="7">
        <v>1.88</v>
      </c>
      <c r="H77" s="8">
        <v>1.7424999999999999E-3</v>
      </c>
      <c r="I77" s="9">
        <f t="shared" si="25"/>
        <v>26.377449663905249</v>
      </c>
      <c r="J77" s="7">
        <v>4.5</v>
      </c>
      <c r="K77" s="7">
        <v>13.25</v>
      </c>
      <c r="L77" s="10">
        <f t="shared" si="31"/>
        <v>-0.78220983824226231</v>
      </c>
      <c r="M77" s="12"/>
      <c r="N77" s="11">
        <f t="shared" si="33"/>
        <v>-15.2118374108053</v>
      </c>
      <c r="O77">
        <f t="shared" si="27"/>
        <v>1.1696869565217392</v>
      </c>
      <c r="P77">
        <f t="shared" si="28"/>
        <v>21.073214471657785</v>
      </c>
      <c r="Q77">
        <f t="shared" si="29"/>
        <v>1.8324534323180683</v>
      </c>
      <c r="R77">
        <f t="shared" si="30"/>
        <v>6.9699999999999996E-3</v>
      </c>
    </row>
    <row r="78" spans="1:18" x14ac:dyDescent="0.3">
      <c r="A78">
        <v>0.6</v>
      </c>
      <c r="B78">
        <v>20</v>
      </c>
      <c r="C78">
        <v>4</v>
      </c>
      <c r="D78" s="3">
        <v>13.8</v>
      </c>
      <c r="E78" s="1">
        <v>10.151999999999999</v>
      </c>
      <c r="F78" s="6">
        <f t="shared" si="32"/>
        <v>13.593380614657212</v>
      </c>
      <c r="G78" s="7">
        <v>1.88</v>
      </c>
      <c r="H78" s="8">
        <v>1.7424999999999999E-3</v>
      </c>
      <c r="I78" s="9">
        <f t="shared" si="25"/>
        <v>31.652939596686302</v>
      </c>
      <c r="J78" s="7">
        <v>4.5</v>
      </c>
      <c r="K78" s="7">
        <v>20.12</v>
      </c>
      <c r="L78" s="10">
        <f t="shared" si="31"/>
        <v>-2.6523485723051792</v>
      </c>
      <c r="M78" s="12"/>
      <c r="N78" s="11">
        <f t="shared" si="33"/>
        <v>-35.075661569826707</v>
      </c>
      <c r="O78">
        <f t="shared" si="27"/>
        <v>1.4801321739130433</v>
      </c>
      <c r="P78">
        <f t="shared" si="28"/>
        <v>31.999477371302238</v>
      </c>
      <c r="Q78">
        <f t="shared" si="29"/>
        <v>2.3188027080653795</v>
      </c>
      <c r="R78">
        <f t="shared" si="30"/>
        <v>6.9699999999999996E-3</v>
      </c>
    </row>
    <row r="79" spans="1:18" x14ac:dyDescent="0.3">
      <c r="A79">
        <v>0.6</v>
      </c>
      <c r="B79">
        <v>20</v>
      </c>
      <c r="C79">
        <v>4</v>
      </c>
      <c r="D79" s="7">
        <v>16.2</v>
      </c>
      <c r="E79" s="1">
        <v>10.151999999999999</v>
      </c>
      <c r="F79" s="6">
        <f t="shared" si="32"/>
        <v>15.957446808510639</v>
      </c>
      <c r="G79" s="7">
        <v>1.88</v>
      </c>
      <c r="H79" s="8">
        <v>1.7424999999999999E-3</v>
      </c>
      <c r="I79" s="9">
        <f t="shared" si="25"/>
        <v>37.157798656979573</v>
      </c>
      <c r="J79" s="7">
        <v>4.5</v>
      </c>
      <c r="K79" s="7">
        <v>25.24</v>
      </c>
      <c r="L79" s="10">
        <f t="shared" si="31"/>
        <v>-3.4751571726222212</v>
      </c>
      <c r="M79" s="12"/>
      <c r="N79" s="11">
        <f t="shared" si="33"/>
        <v>-55.198670744138617</v>
      </c>
      <c r="O79">
        <f t="shared" si="27"/>
        <v>1.5817066666666666</v>
      </c>
      <c r="P79">
        <f t="shared" si="28"/>
        <v>40.142485529406983</v>
      </c>
      <c r="Q79">
        <f t="shared" si="29"/>
        <v>2.4779312055189497</v>
      </c>
      <c r="R79">
        <f t="shared" si="30"/>
        <v>6.9699999999999996E-3</v>
      </c>
    </row>
    <row r="80" spans="1:18" x14ac:dyDescent="0.3">
      <c r="A80">
        <v>0.6</v>
      </c>
      <c r="B80">
        <v>20</v>
      </c>
      <c r="C80">
        <v>6</v>
      </c>
      <c r="D80" s="3">
        <v>2.2999999999999998</v>
      </c>
      <c r="E80" s="1">
        <v>10.151999999999999</v>
      </c>
      <c r="F80" s="6">
        <f>(D80*10^-3)/(E80*10^-4)</f>
        <v>2.265563435776202</v>
      </c>
      <c r="G80" s="7">
        <v>1.88</v>
      </c>
      <c r="H80" s="8">
        <v>1.1616700000000001E-3</v>
      </c>
      <c r="I80" s="9">
        <f t="shared" si="25"/>
        <v>5.2754899327810501</v>
      </c>
      <c r="J80" s="7">
        <v>3</v>
      </c>
      <c r="K80" s="7">
        <v>0</v>
      </c>
      <c r="L80" s="10">
        <f t="shared" si="31"/>
        <v>38.591876034869706</v>
      </c>
      <c r="M80" s="12"/>
      <c r="N80" s="11">
        <f>-(1.7*K80^2)/19.62</f>
        <v>0</v>
      </c>
      <c r="O80">
        <f t="shared" si="27"/>
        <v>0</v>
      </c>
      <c r="P80">
        <f t="shared" si="28"/>
        <v>0</v>
      </c>
      <c r="Q80">
        <f t="shared" si="29"/>
        <v>0</v>
      </c>
      <c r="R80">
        <f t="shared" si="30"/>
        <v>6.9700200000000004E-3</v>
      </c>
    </row>
    <row r="81" spans="1:18" x14ac:dyDescent="0.3">
      <c r="A81">
        <v>0.6</v>
      </c>
      <c r="B81">
        <v>20</v>
      </c>
      <c r="C81">
        <v>6</v>
      </c>
      <c r="D81" s="3">
        <v>4.5999999999999996</v>
      </c>
      <c r="E81" s="1">
        <v>10.151999999999999</v>
      </c>
      <c r="F81" s="6">
        <f t="shared" ref="F81:F86" si="34">(D81*10^-3)/(E81*10^-4)</f>
        <v>4.531126871552404</v>
      </c>
      <c r="G81" s="7">
        <v>1.88</v>
      </c>
      <c r="H81" s="8">
        <v>1.1616700000000001E-3</v>
      </c>
      <c r="I81" s="9">
        <f t="shared" si="25"/>
        <v>10.5509798655621</v>
      </c>
      <c r="J81" s="7">
        <v>4.5</v>
      </c>
      <c r="K81" s="7">
        <v>2.06</v>
      </c>
      <c r="L81" s="10">
        <f t="shared" si="31"/>
        <v>9.2965939615395055</v>
      </c>
      <c r="M81" s="12"/>
      <c r="N81" s="11">
        <f t="shared" ref="N81:N86" si="35">-(1.7*K81^2)/19.62</f>
        <v>-0.36769215086646273</v>
      </c>
      <c r="O81">
        <f t="shared" si="27"/>
        <v>0.45463304347826083</v>
      </c>
      <c r="P81">
        <f t="shared" si="28"/>
        <v>3.2762884386124553</v>
      </c>
      <c r="Q81">
        <f t="shared" si="29"/>
        <v>0.71223661708966424</v>
      </c>
      <c r="R81">
        <f t="shared" si="30"/>
        <v>6.9700200000000004E-3</v>
      </c>
    </row>
    <row r="82" spans="1:18" x14ac:dyDescent="0.3">
      <c r="A82">
        <v>0.6</v>
      </c>
      <c r="B82">
        <v>20</v>
      </c>
      <c r="C82">
        <v>6</v>
      </c>
      <c r="D82" s="3">
        <v>6.9</v>
      </c>
      <c r="E82" s="1">
        <v>10.151999999999999</v>
      </c>
      <c r="F82" s="6">
        <f t="shared" si="34"/>
        <v>6.796690307328606</v>
      </c>
      <c r="G82" s="7">
        <v>1.88</v>
      </c>
      <c r="H82" s="8">
        <v>1.1616700000000001E-3</v>
      </c>
      <c r="I82" s="9">
        <f t="shared" si="25"/>
        <v>15.826469798343151</v>
      </c>
      <c r="J82" s="7">
        <v>4.5</v>
      </c>
      <c r="K82" s="7">
        <v>4.1500000000000004</v>
      </c>
      <c r="L82" s="10">
        <f t="shared" si="31"/>
        <v>3.654189266489829</v>
      </c>
      <c r="M82" s="12"/>
      <c r="N82" s="11">
        <f t="shared" si="35"/>
        <v>-1.4922655453618758</v>
      </c>
      <c r="O82">
        <f t="shared" si="27"/>
        <v>0.61059130434782605</v>
      </c>
      <c r="P82">
        <f t="shared" si="28"/>
        <v>6.6002898156513066</v>
      </c>
      <c r="Q82">
        <f t="shared" si="29"/>
        <v>0.95656374139874001</v>
      </c>
      <c r="R82">
        <f t="shared" si="30"/>
        <v>6.9700200000000004E-3</v>
      </c>
    </row>
    <row r="83" spans="1:18" x14ac:dyDescent="0.3">
      <c r="A83">
        <v>0.6</v>
      </c>
      <c r="B83">
        <v>20</v>
      </c>
      <c r="C83">
        <v>6</v>
      </c>
      <c r="D83" s="3">
        <v>9.1999999999999993</v>
      </c>
      <c r="E83" s="1">
        <v>10.151999999999999</v>
      </c>
      <c r="F83" s="6">
        <f t="shared" si="34"/>
        <v>9.062253743104808</v>
      </c>
      <c r="G83" s="7">
        <v>1.88</v>
      </c>
      <c r="H83" s="8">
        <v>1.1616700000000001E-3</v>
      </c>
      <c r="I83" s="9">
        <f t="shared" si="25"/>
        <v>21.1019597311242</v>
      </c>
      <c r="J83" s="7">
        <v>4.5</v>
      </c>
      <c r="K83" s="7">
        <v>7.01</v>
      </c>
      <c r="L83" s="10">
        <f t="shared" si="31"/>
        <v>1.3947778024298674</v>
      </c>
      <c r="M83" s="12"/>
      <c r="N83" s="11">
        <f t="shared" si="35"/>
        <v>-4.2578068297655447</v>
      </c>
      <c r="O83">
        <f t="shared" si="27"/>
        <v>0.77353826086956512</v>
      </c>
      <c r="P83">
        <f t="shared" si="28"/>
        <v>11.148923278967626</v>
      </c>
      <c r="Q83">
        <f t="shared" si="29"/>
        <v>1.2118394868443072</v>
      </c>
      <c r="R83">
        <f t="shared" si="30"/>
        <v>6.9700200000000004E-3</v>
      </c>
    </row>
    <row r="84" spans="1:18" x14ac:dyDescent="0.3">
      <c r="A84">
        <v>0.6</v>
      </c>
      <c r="B84">
        <v>20</v>
      </c>
      <c r="C84">
        <v>6</v>
      </c>
      <c r="D84" s="3">
        <v>11.5</v>
      </c>
      <c r="E84" s="1">
        <v>10.151999999999999</v>
      </c>
      <c r="F84" s="6">
        <f t="shared" si="34"/>
        <v>11.327817178881009</v>
      </c>
      <c r="G84" s="7">
        <v>1.88</v>
      </c>
      <c r="H84" s="8">
        <v>1.1616700000000001E-3</v>
      </c>
      <c r="I84" s="9">
        <f t="shared" si="25"/>
        <v>26.377449663905249</v>
      </c>
      <c r="J84" s="7">
        <v>4.5</v>
      </c>
      <c r="K84" s="7">
        <v>11.89</v>
      </c>
      <c r="L84" s="10">
        <f t="shared" si="31"/>
        <v>-0.32924901580727434</v>
      </c>
      <c r="M84" s="12"/>
      <c r="N84" s="11">
        <f t="shared" si="35"/>
        <v>-12.24936646279307</v>
      </c>
      <c r="O84">
        <f t="shared" si="27"/>
        <v>1.0496285217391303</v>
      </c>
      <c r="P84">
        <f t="shared" si="28"/>
        <v>18.910227929661211</v>
      </c>
      <c r="Q84">
        <f t="shared" si="29"/>
        <v>1.6443676460574965</v>
      </c>
      <c r="R84">
        <f t="shared" si="30"/>
        <v>6.9700200000000004E-3</v>
      </c>
    </row>
    <row r="85" spans="1:18" x14ac:dyDescent="0.3">
      <c r="A85">
        <v>0.6</v>
      </c>
      <c r="B85">
        <v>20</v>
      </c>
      <c r="C85">
        <v>6</v>
      </c>
      <c r="D85" s="3">
        <v>13.8</v>
      </c>
      <c r="E85" s="1">
        <v>10.151999999999999</v>
      </c>
      <c r="F85" s="6">
        <f t="shared" si="34"/>
        <v>13.593380614657212</v>
      </c>
      <c r="G85" s="7">
        <v>1.88</v>
      </c>
      <c r="H85" s="8">
        <v>1.1616700000000001E-3</v>
      </c>
      <c r="I85" s="9">
        <f t="shared" si="25"/>
        <v>31.652939596686302</v>
      </c>
      <c r="J85" s="7">
        <v>4.5</v>
      </c>
      <c r="K85" s="7">
        <v>17.940000000000001</v>
      </c>
      <c r="L85" s="10">
        <f t="shared" si="31"/>
        <v>-1.8890064213958413</v>
      </c>
      <c r="M85" s="12"/>
      <c r="N85" s="11">
        <f t="shared" si="35"/>
        <v>-27.886550458715597</v>
      </c>
      <c r="O85">
        <f t="shared" si="27"/>
        <v>1.31976</v>
      </c>
      <c r="P85">
        <f t="shared" si="28"/>
        <v>28.532337178984204</v>
      </c>
      <c r="Q85">
        <f t="shared" si="29"/>
        <v>2.0675606651437826</v>
      </c>
      <c r="R85">
        <f t="shared" si="30"/>
        <v>6.9700200000000004E-3</v>
      </c>
    </row>
    <row r="86" spans="1:18" x14ac:dyDescent="0.3">
      <c r="A86">
        <v>0.6</v>
      </c>
      <c r="B86">
        <v>20</v>
      </c>
      <c r="C86">
        <v>6</v>
      </c>
      <c r="D86" s="7">
        <v>16.100000000000001</v>
      </c>
      <c r="E86" s="1">
        <v>10.151999999999999</v>
      </c>
      <c r="F86" s="6">
        <f t="shared" si="34"/>
        <v>15.858944050433417</v>
      </c>
      <c r="G86" s="7">
        <v>1.88</v>
      </c>
      <c r="H86" s="8">
        <v>1.1616700000000001E-3</v>
      </c>
      <c r="I86" s="9">
        <f t="shared" si="25"/>
        <v>36.928429529467358</v>
      </c>
      <c r="J86" s="7">
        <v>4.5</v>
      </c>
      <c r="K86" s="7">
        <v>21.07</v>
      </c>
      <c r="L86" s="10">
        <f t="shared" si="31"/>
        <v>-2.2131582329309136</v>
      </c>
      <c r="M86" s="12"/>
      <c r="N86" s="11">
        <f t="shared" si="35"/>
        <v>-38.466173802242608</v>
      </c>
      <c r="O86">
        <f t="shared" si="27"/>
        <v>1.3285878260869561</v>
      </c>
      <c r="P86">
        <f t="shared" si="28"/>
        <v>33.510387088138074</v>
      </c>
      <c r="Q86">
        <f t="shared" si="29"/>
        <v>2.0813905023688242</v>
      </c>
      <c r="R86">
        <f t="shared" si="30"/>
        <v>6.9700200000000004E-3</v>
      </c>
    </row>
    <row r="87" spans="1:18" x14ac:dyDescent="0.3">
      <c r="A87">
        <v>0.6</v>
      </c>
      <c r="B87">
        <v>30</v>
      </c>
      <c r="C87">
        <v>1</v>
      </c>
      <c r="D87" s="3">
        <v>3.3</v>
      </c>
      <c r="E87" s="1">
        <v>15.228</v>
      </c>
      <c r="F87" s="6">
        <f>(D87*10^-3)/(E87*10^-4)</f>
        <v>2.1670606776989754</v>
      </c>
      <c r="G87" s="7">
        <v>2.82</v>
      </c>
      <c r="H87" s="8">
        <v>9.2599999999999991E-3</v>
      </c>
      <c r="I87" s="9">
        <f t="shared" si="25"/>
        <v>4.1201403844502629</v>
      </c>
      <c r="J87" s="7">
        <v>3</v>
      </c>
      <c r="K87" s="7">
        <v>0</v>
      </c>
      <c r="L87" s="10">
        <f t="shared" si="31"/>
        <v>42.179963682739846</v>
      </c>
      <c r="M87" s="12"/>
      <c r="N87" s="11">
        <f>-(1.7*K87^2)/19.62</f>
        <v>0</v>
      </c>
      <c r="O87">
        <f t="shared" si="27"/>
        <v>0</v>
      </c>
      <c r="P87">
        <f t="shared" si="28"/>
        <v>0</v>
      </c>
      <c r="Q87">
        <f t="shared" si="29"/>
        <v>0</v>
      </c>
      <c r="R87">
        <f t="shared" si="30"/>
        <v>9.2599999999999991E-3</v>
      </c>
    </row>
    <row r="88" spans="1:18" x14ac:dyDescent="0.3">
      <c r="A88">
        <v>0.6</v>
      </c>
      <c r="B88">
        <v>30</v>
      </c>
      <c r="C88">
        <v>1</v>
      </c>
      <c r="D88" s="3">
        <v>6.6</v>
      </c>
      <c r="E88" s="1">
        <v>15.228</v>
      </c>
      <c r="F88" s="6">
        <f t="shared" ref="F88:F93" si="36">(D88*10^-3)/(E88*10^-4)</f>
        <v>4.3341213553979507</v>
      </c>
      <c r="G88" s="7">
        <v>2.82</v>
      </c>
      <c r="H88" s="8">
        <v>9.2599999999999991E-3</v>
      </c>
      <c r="I88" s="9">
        <f t="shared" si="25"/>
        <v>8.2402807689005257</v>
      </c>
      <c r="J88" s="7">
        <v>4.5</v>
      </c>
      <c r="K88" s="7">
        <v>0.97</v>
      </c>
      <c r="L88" s="10">
        <f t="shared" si="31"/>
        <v>10.459839822161655</v>
      </c>
      <c r="M88" s="12"/>
      <c r="N88" s="11">
        <f t="shared" ref="N88:N93" si="37">-(1.7*K88^2)/19.62</f>
        <v>-8.1525484199796119E-2</v>
      </c>
      <c r="O88">
        <f t="shared" si="27"/>
        <v>0.22380545454545456</v>
      </c>
      <c r="P88">
        <f t="shared" si="28"/>
        <v>1.5427183424534379</v>
      </c>
      <c r="Q88">
        <f t="shared" si="29"/>
        <v>0.23374520340203606</v>
      </c>
      <c r="R88">
        <f t="shared" si="30"/>
        <v>9.2599999999999991E-3</v>
      </c>
    </row>
    <row r="89" spans="1:18" x14ac:dyDescent="0.3">
      <c r="A89">
        <v>0.6</v>
      </c>
      <c r="B89">
        <v>30</v>
      </c>
      <c r="C89">
        <v>1</v>
      </c>
      <c r="D89" s="3">
        <v>9.9</v>
      </c>
      <c r="E89" s="1">
        <v>15.228</v>
      </c>
      <c r="F89" s="6">
        <f t="shared" si="36"/>
        <v>6.501182033096927</v>
      </c>
      <c r="G89" s="7">
        <v>2.82</v>
      </c>
      <c r="H89" s="8">
        <v>9.2599999999999991E-3</v>
      </c>
      <c r="I89" s="9">
        <f t="shared" si="25"/>
        <v>12.36042115335079</v>
      </c>
      <c r="J89" s="7">
        <v>4.5</v>
      </c>
      <c r="K89" s="7">
        <v>3.08</v>
      </c>
      <c r="L89" s="10">
        <f t="shared" si="31"/>
        <v>4.3051001174955372</v>
      </c>
      <c r="M89" s="12"/>
      <c r="N89" s="11">
        <f t="shared" si="37"/>
        <v>-0.82196126401630987</v>
      </c>
      <c r="O89">
        <f t="shared" si="27"/>
        <v>0.47376000000000001</v>
      </c>
      <c r="P89">
        <f t="shared" si="28"/>
        <v>4.8985283451098853</v>
      </c>
      <c r="Q89">
        <f t="shared" si="29"/>
        <v>0.49480084294039245</v>
      </c>
      <c r="R89">
        <f t="shared" si="30"/>
        <v>9.2599999999999991E-3</v>
      </c>
    </row>
    <row r="90" spans="1:18" x14ac:dyDescent="0.3">
      <c r="A90">
        <v>0.6</v>
      </c>
      <c r="B90">
        <v>30</v>
      </c>
      <c r="C90">
        <v>1</v>
      </c>
      <c r="D90" s="3">
        <v>13.2</v>
      </c>
      <c r="E90" s="1">
        <v>15.228</v>
      </c>
      <c r="F90" s="6">
        <f t="shared" si="36"/>
        <v>8.6682427107959015</v>
      </c>
      <c r="G90" s="7">
        <v>2.82</v>
      </c>
      <c r="H90" s="8">
        <v>9.2599999999999991E-3</v>
      </c>
      <c r="I90" s="9">
        <f t="shared" si="25"/>
        <v>16.480561537801051</v>
      </c>
      <c r="J90" s="7">
        <v>4.5</v>
      </c>
      <c r="K90" s="7">
        <v>5.29</v>
      </c>
      <c r="L90" s="10">
        <f t="shared" si="31"/>
        <v>2.0031100810623972</v>
      </c>
      <c r="M90" s="12"/>
      <c r="N90" s="11">
        <f t="shared" si="37"/>
        <v>-2.4247181447502548</v>
      </c>
      <c r="O90">
        <f t="shared" si="27"/>
        <v>0.61027363636363641</v>
      </c>
      <c r="P90">
        <f t="shared" si="28"/>
        <v>8.4133814758543153</v>
      </c>
      <c r="Q90">
        <f t="shared" si="29"/>
        <v>0.63737738453441783</v>
      </c>
      <c r="R90">
        <f t="shared" si="30"/>
        <v>9.2599999999999991E-3</v>
      </c>
    </row>
    <row r="91" spans="1:18" x14ac:dyDescent="0.3">
      <c r="A91">
        <v>0.6</v>
      </c>
      <c r="B91">
        <v>30</v>
      </c>
      <c r="C91">
        <v>1</v>
      </c>
      <c r="D91" s="3">
        <v>16.5</v>
      </c>
      <c r="E91" s="1">
        <v>15.228</v>
      </c>
      <c r="F91" s="6">
        <f t="shared" si="36"/>
        <v>10.835303388494877</v>
      </c>
      <c r="G91" s="7">
        <v>2.82</v>
      </c>
      <c r="H91" s="8">
        <v>9.2599999999999991E-3</v>
      </c>
      <c r="I91" s="9">
        <f t="shared" si="25"/>
        <v>20.600701922251314</v>
      </c>
      <c r="J91" s="7">
        <v>4.5</v>
      </c>
      <c r="K91" s="7">
        <v>8.25</v>
      </c>
      <c r="L91" s="10">
        <f t="shared" si="31"/>
        <v>0.70165761530959359</v>
      </c>
      <c r="M91" s="12"/>
      <c r="N91" s="11">
        <f t="shared" si="37"/>
        <v>-5.8973623853211006</v>
      </c>
      <c r="O91">
        <f t="shared" si="27"/>
        <v>0.76140000000000008</v>
      </c>
      <c r="P91">
        <f t="shared" si="28"/>
        <v>13.121058067258621</v>
      </c>
      <c r="Q91">
        <f t="shared" si="29"/>
        <v>0.79521564043991644</v>
      </c>
      <c r="R91">
        <f t="shared" si="30"/>
        <v>9.2599999999999991E-3</v>
      </c>
    </row>
    <row r="92" spans="1:18" x14ac:dyDescent="0.3">
      <c r="A92">
        <v>0.6</v>
      </c>
      <c r="B92">
        <v>30</v>
      </c>
      <c r="C92">
        <v>1</v>
      </c>
      <c r="D92" s="3">
        <v>19.8</v>
      </c>
      <c r="E92" s="1">
        <v>15.228</v>
      </c>
      <c r="F92" s="6">
        <f t="shared" si="36"/>
        <v>13.002364066193854</v>
      </c>
      <c r="G92" s="7">
        <v>2.82</v>
      </c>
      <c r="H92" s="8">
        <v>9.2599999999999991E-3</v>
      </c>
      <c r="I92" s="9">
        <f t="shared" si="25"/>
        <v>24.720842306701581</v>
      </c>
      <c r="J92" s="7">
        <v>4.5</v>
      </c>
      <c r="K92" s="7">
        <v>11.64</v>
      </c>
      <c r="L92" s="10">
        <f t="shared" si="31"/>
        <v>-0.1907519185190083</v>
      </c>
      <c r="M92" s="12"/>
      <c r="N92" s="11">
        <f t="shared" si="37"/>
        <v>-11.739669724770643</v>
      </c>
      <c r="O92">
        <f t="shared" si="27"/>
        <v>0.89522181818181823</v>
      </c>
      <c r="P92">
        <f t="shared" si="28"/>
        <v>18.512620109441251</v>
      </c>
      <c r="Q92">
        <f t="shared" si="29"/>
        <v>0.934980813608144</v>
      </c>
      <c r="R92">
        <f t="shared" si="30"/>
        <v>9.2599999999999991E-3</v>
      </c>
    </row>
    <row r="93" spans="1:18" x14ac:dyDescent="0.3">
      <c r="A93">
        <v>0.6</v>
      </c>
      <c r="B93">
        <v>30</v>
      </c>
      <c r="C93">
        <v>1</v>
      </c>
      <c r="D93" s="7">
        <v>23.7</v>
      </c>
      <c r="E93" s="1">
        <v>15.228</v>
      </c>
      <c r="F93" s="6">
        <f t="shared" si="36"/>
        <v>15.563435776201731</v>
      </c>
      <c r="G93" s="7">
        <v>2.82</v>
      </c>
      <c r="H93" s="8">
        <v>9.2599999999999991E-3</v>
      </c>
      <c r="I93" s="9">
        <f t="shared" si="25"/>
        <v>29.590099124688248</v>
      </c>
      <c r="J93" s="7">
        <v>4.5</v>
      </c>
      <c r="K93" s="7">
        <v>14.72</v>
      </c>
      <c r="L93" s="10">
        <f t="shared" si="31"/>
        <v>-0.70295345228869743</v>
      </c>
      <c r="M93" s="12"/>
      <c r="N93" s="11">
        <f t="shared" si="37"/>
        <v>-18.774377166156981</v>
      </c>
      <c r="O93">
        <f t="shared" si="27"/>
        <v>0.94580658227848124</v>
      </c>
      <c r="P93">
        <f t="shared" si="28"/>
        <v>23.411148454551139</v>
      </c>
      <c r="Q93">
        <f t="shared" si="29"/>
        <v>0.98781217107810715</v>
      </c>
      <c r="R93">
        <f t="shared" si="30"/>
        <v>9.2599999999999991E-3</v>
      </c>
    </row>
    <row r="94" spans="1:18" x14ac:dyDescent="0.3">
      <c r="A94">
        <v>0.6</v>
      </c>
      <c r="B94">
        <v>30</v>
      </c>
      <c r="C94">
        <v>2</v>
      </c>
      <c r="D94" s="3">
        <v>3.3</v>
      </c>
      <c r="E94" s="1">
        <v>15.228</v>
      </c>
      <c r="F94" s="6">
        <f>(D94*10^-3)/(E94*10^-4)</f>
        <v>2.1670606776989754</v>
      </c>
      <c r="G94" s="7">
        <v>2.82</v>
      </c>
      <c r="H94" s="8">
        <v>4.6299999999999996E-3</v>
      </c>
      <c r="I94" s="9">
        <f t="shared" si="25"/>
        <v>4.1201403844502629</v>
      </c>
      <c r="J94" s="7">
        <v>3</v>
      </c>
      <c r="K94" s="7">
        <v>0</v>
      </c>
      <c r="L94" s="10">
        <f t="shared" si="31"/>
        <v>42.179963682739846</v>
      </c>
      <c r="M94" s="12"/>
      <c r="N94" s="11">
        <f>-(1.7*K94^2)/19.62</f>
        <v>0</v>
      </c>
      <c r="O94">
        <f t="shared" si="27"/>
        <v>0</v>
      </c>
      <c r="P94">
        <f t="shared" si="28"/>
        <v>0</v>
      </c>
      <c r="Q94">
        <f t="shared" si="29"/>
        <v>0</v>
      </c>
      <c r="R94">
        <f t="shared" si="30"/>
        <v>9.2599999999999991E-3</v>
      </c>
    </row>
    <row r="95" spans="1:18" x14ac:dyDescent="0.3">
      <c r="A95">
        <v>0.6</v>
      </c>
      <c r="B95">
        <v>30</v>
      </c>
      <c r="C95">
        <v>2</v>
      </c>
      <c r="D95" s="3">
        <v>6.6</v>
      </c>
      <c r="E95" s="1">
        <v>15.228</v>
      </c>
      <c r="F95" s="6">
        <f t="shared" ref="F95:F100" si="38">(D95*10^-3)/(E95*10^-4)</f>
        <v>4.3341213553979507</v>
      </c>
      <c r="G95" s="7">
        <v>2.82</v>
      </c>
      <c r="H95" s="8">
        <v>4.6299999999999996E-3</v>
      </c>
      <c r="I95" s="9">
        <f t="shared" si="25"/>
        <v>8.2402807689005257</v>
      </c>
      <c r="J95" s="7">
        <v>4.5</v>
      </c>
      <c r="K95" s="7">
        <v>2.72</v>
      </c>
      <c r="L95" s="10">
        <f t="shared" si="31"/>
        <v>9.8754384843847944</v>
      </c>
      <c r="M95" s="12"/>
      <c r="N95" s="11">
        <f t="shared" ref="N95:N100" si="39">-(1.7*K95^2)/19.62</f>
        <v>-0.64104383282364941</v>
      </c>
      <c r="O95">
        <f t="shared" si="27"/>
        <v>0.62757818181818192</v>
      </c>
      <c r="P95">
        <f t="shared" si="28"/>
        <v>4.3259730839931461</v>
      </c>
      <c r="Q95">
        <f t="shared" si="29"/>
        <v>0.65545046727168887</v>
      </c>
      <c r="R95">
        <f t="shared" si="30"/>
        <v>9.2599999999999991E-3</v>
      </c>
    </row>
    <row r="96" spans="1:18" x14ac:dyDescent="0.3">
      <c r="A96">
        <v>0.6</v>
      </c>
      <c r="B96">
        <v>30</v>
      </c>
      <c r="C96">
        <v>2</v>
      </c>
      <c r="D96" s="3">
        <v>9.9</v>
      </c>
      <c r="E96" s="1">
        <v>15.228</v>
      </c>
      <c r="F96" s="6">
        <f t="shared" si="38"/>
        <v>6.501182033096927</v>
      </c>
      <c r="G96" s="7">
        <v>2.82</v>
      </c>
      <c r="H96" s="8">
        <v>4.6299999999999996E-3</v>
      </c>
      <c r="I96" s="9">
        <f t="shared" si="25"/>
        <v>12.36042115335079</v>
      </c>
      <c r="J96" s="7">
        <v>4.5</v>
      </c>
      <c r="K96" s="7">
        <v>6.99</v>
      </c>
      <c r="L96" s="10">
        <f t="shared" si="31"/>
        <v>2.7214089433586772</v>
      </c>
      <c r="M96" s="12"/>
      <c r="N96" s="11">
        <f t="shared" si="39"/>
        <v>-4.2335458715596337</v>
      </c>
      <c r="O96">
        <f t="shared" si="27"/>
        <v>1.0751890909090909</v>
      </c>
      <c r="P96">
        <f t="shared" si="28"/>
        <v>11.117114653350033</v>
      </c>
      <c r="Q96">
        <f t="shared" si="29"/>
        <v>1.1229408740757609</v>
      </c>
      <c r="R96">
        <f t="shared" si="30"/>
        <v>9.2599999999999991E-3</v>
      </c>
    </row>
    <row r="97" spans="1:18" x14ac:dyDescent="0.3">
      <c r="A97">
        <v>0.6</v>
      </c>
      <c r="B97">
        <v>30</v>
      </c>
      <c r="C97">
        <v>2</v>
      </c>
      <c r="D97" s="3">
        <v>13.2</v>
      </c>
      <c r="E97" s="1">
        <v>15.228</v>
      </c>
      <c r="F97" s="6">
        <f t="shared" si="38"/>
        <v>8.6682427107959015</v>
      </c>
      <c r="G97" s="7">
        <v>2.82</v>
      </c>
      <c r="H97" s="8">
        <v>4.6299999999999996E-3</v>
      </c>
      <c r="I97" s="9">
        <f t="shared" si="25"/>
        <v>16.480561537801051</v>
      </c>
      <c r="J97" s="7">
        <v>4.5</v>
      </c>
      <c r="K97" s="7">
        <v>11.98</v>
      </c>
      <c r="L97" s="10">
        <f t="shared" si="31"/>
        <v>-0.61088791668396736</v>
      </c>
      <c r="M97" s="12"/>
      <c r="N97" s="11">
        <f t="shared" si="39"/>
        <v>-12.435508664627932</v>
      </c>
      <c r="O97">
        <f t="shared" si="27"/>
        <v>1.3820563636363639</v>
      </c>
      <c r="P97">
        <f t="shared" si="28"/>
        <v>19.053366744940398</v>
      </c>
      <c r="Q97">
        <f t="shared" si="29"/>
        <v>1.4434368746166968</v>
      </c>
      <c r="R97">
        <f t="shared" si="30"/>
        <v>9.2599999999999991E-3</v>
      </c>
    </row>
    <row r="98" spans="1:18" x14ac:dyDescent="0.3">
      <c r="A98">
        <v>0.6</v>
      </c>
      <c r="B98">
        <v>30</v>
      </c>
      <c r="C98">
        <v>2</v>
      </c>
      <c r="D98" s="3">
        <v>16.5</v>
      </c>
      <c r="E98" s="1">
        <v>15.228</v>
      </c>
      <c r="F98" s="6">
        <f t="shared" si="38"/>
        <v>10.835303388494877</v>
      </c>
      <c r="G98" s="7">
        <v>2.82</v>
      </c>
      <c r="H98" s="8">
        <v>4.6299999999999996E-3</v>
      </c>
      <c r="I98" s="9">
        <f t="shared" si="25"/>
        <v>20.600701922251314</v>
      </c>
      <c r="J98" s="7">
        <v>4.5</v>
      </c>
      <c r="K98" s="7">
        <v>16.48</v>
      </c>
      <c r="L98" s="10">
        <f t="shared" si="31"/>
        <v>-2.2454142121137717</v>
      </c>
      <c r="M98" s="12"/>
      <c r="N98" s="11">
        <f t="shared" si="39"/>
        <v>-23.532297655453615</v>
      </c>
      <c r="O98">
        <f t="shared" si="27"/>
        <v>1.520954181818182</v>
      </c>
      <c r="P98">
        <f t="shared" si="28"/>
        <v>26.210307508899643</v>
      </c>
      <c r="Q98">
        <f t="shared" si="29"/>
        <v>1.5885034853878572</v>
      </c>
      <c r="R98">
        <f t="shared" si="30"/>
        <v>9.2599999999999991E-3</v>
      </c>
    </row>
    <row r="99" spans="1:18" x14ac:dyDescent="0.3">
      <c r="A99">
        <v>0.6</v>
      </c>
      <c r="B99">
        <v>30</v>
      </c>
      <c r="C99">
        <v>2</v>
      </c>
      <c r="D99" s="3">
        <v>19.8</v>
      </c>
      <c r="E99" s="1">
        <v>15.228</v>
      </c>
      <c r="F99" s="6">
        <f t="shared" si="38"/>
        <v>13.002364066193854</v>
      </c>
      <c r="G99" s="7">
        <v>2.82</v>
      </c>
      <c r="H99" s="8">
        <v>4.6299999999999996E-3</v>
      </c>
      <c r="I99" s="9">
        <f t="shared" si="25"/>
        <v>24.720842306701581</v>
      </c>
      <c r="J99" s="7">
        <v>4.5</v>
      </c>
      <c r="K99" s="7">
        <v>21.46</v>
      </c>
      <c r="L99" s="10">
        <f t="shared" si="31"/>
        <v>-3.4592163162247935</v>
      </c>
      <c r="M99" s="12"/>
      <c r="N99" s="11">
        <f t="shared" si="39"/>
        <v>-39.903349643221205</v>
      </c>
      <c r="O99">
        <f t="shared" si="27"/>
        <v>1.6504690909090909</v>
      </c>
      <c r="P99">
        <f t="shared" si="28"/>
        <v>34.130655287681215</v>
      </c>
      <c r="Q99">
        <f t="shared" si="29"/>
        <v>1.7237704690748088</v>
      </c>
      <c r="R99">
        <f t="shared" si="30"/>
        <v>9.2599999999999991E-3</v>
      </c>
    </row>
    <row r="100" spans="1:18" x14ac:dyDescent="0.3">
      <c r="A100">
        <v>0.6</v>
      </c>
      <c r="B100">
        <v>30</v>
      </c>
      <c r="C100">
        <v>2</v>
      </c>
      <c r="D100" s="7">
        <v>23.6</v>
      </c>
      <c r="E100" s="1">
        <v>15.228</v>
      </c>
      <c r="F100" s="6">
        <f t="shared" si="38"/>
        <v>15.497767270816917</v>
      </c>
      <c r="G100" s="7">
        <v>2.82</v>
      </c>
      <c r="H100" s="8">
        <v>4.6299999999999996E-3</v>
      </c>
      <c r="I100" s="9">
        <f t="shared" si="25"/>
        <v>29.465246385765521</v>
      </c>
      <c r="J100" s="7">
        <v>4.5</v>
      </c>
      <c r="K100" s="7">
        <v>24.39</v>
      </c>
      <c r="L100" s="10">
        <f t="shared" si="31"/>
        <v>-3.3857788906100117</v>
      </c>
      <c r="M100" s="12"/>
      <c r="N100" s="11">
        <f t="shared" si="39"/>
        <v>-51.543454128440366</v>
      </c>
      <c r="O100">
        <f t="shared" si="27"/>
        <v>1.5737750847457628</v>
      </c>
      <c r="P100">
        <f t="shared" si="28"/>
        <v>38.790618940659122</v>
      </c>
      <c r="Q100">
        <f t="shared" si="29"/>
        <v>1.6436702940957255</v>
      </c>
      <c r="R100">
        <f t="shared" si="30"/>
        <v>9.2599999999999991E-3</v>
      </c>
    </row>
    <row r="101" spans="1:18" x14ac:dyDescent="0.3">
      <c r="A101">
        <v>0.6</v>
      </c>
      <c r="B101">
        <v>30</v>
      </c>
      <c r="C101">
        <v>4</v>
      </c>
      <c r="D101" s="3">
        <v>3.3</v>
      </c>
      <c r="E101" s="1">
        <v>15.228</v>
      </c>
      <c r="F101" s="6">
        <f>(D101*10^-3)/(E101*10^-4)</f>
        <v>2.1670606776989754</v>
      </c>
      <c r="G101" s="7">
        <v>2.82</v>
      </c>
      <c r="H101" s="8">
        <v>2.3149999999999998E-3</v>
      </c>
      <c r="I101" s="9">
        <f t="shared" si="25"/>
        <v>4.1201403844502629</v>
      </c>
      <c r="J101" s="7">
        <v>3</v>
      </c>
      <c r="K101" s="7">
        <v>0</v>
      </c>
      <c r="L101" s="10">
        <f t="shared" si="31"/>
        <v>42.179963682739846</v>
      </c>
      <c r="M101" s="12"/>
      <c r="N101" s="11">
        <f>-(1.7*K101^2)/19.62</f>
        <v>0</v>
      </c>
      <c r="O101">
        <f t="shared" si="27"/>
        <v>0</v>
      </c>
      <c r="P101">
        <f t="shared" si="28"/>
        <v>0</v>
      </c>
      <c r="Q101">
        <f t="shared" si="29"/>
        <v>0</v>
      </c>
      <c r="R101">
        <f t="shared" si="30"/>
        <v>9.2599999999999991E-3</v>
      </c>
    </row>
    <row r="102" spans="1:18" x14ac:dyDescent="0.3">
      <c r="A102">
        <v>0.6</v>
      </c>
      <c r="B102">
        <v>30</v>
      </c>
      <c r="C102">
        <v>4</v>
      </c>
      <c r="D102" s="3">
        <v>6.6</v>
      </c>
      <c r="E102" s="1">
        <v>15.228</v>
      </c>
      <c r="F102" s="6">
        <f t="shared" ref="F102:F107" si="40">(D102*10^-3)/(E102*10^-4)</f>
        <v>4.3341213553979507</v>
      </c>
      <c r="G102" s="7">
        <v>2.82</v>
      </c>
      <c r="H102" s="8">
        <v>2.3149999999999998E-3</v>
      </c>
      <c r="I102" s="9">
        <f t="shared" si="25"/>
        <v>8.2402807689005257</v>
      </c>
      <c r="J102" s="7">
        <v>4.5</v>
      </c>
      <c r="K102" s="7">
        <v>2.78</v>
      </c>
      <c r="L102" s="10">
        <f t="shared" si="31"/>
        <v>9.8455736076575224</v>
      </c>
      <c r="M102" s="12"/>
      <c r="N102" s="11">
        <f t="shared" ref="N102:N107" si="41">-(1.7*K102^2)/19.62</f>
        <v>-0.66963710499490303</v>
      </c>
      <c r="O102">
        <f t="shared" si="27"/>
        <v>0.6414218181818182</v>
      </c>
      <c r="P102">
        <f t="shared" si="28"/>
        <v>4.4213989608459343</v>
      </c>
      <c r="Q102">
        <f t="shared" si="29"/>
        <v>0.66990893346150526</v>
      </c>
      <c r="R102">
        <f t="shared" si="30"/>
        <v>9.2599999999999991E-3</v>
      </c>
    </row>
    <row r="103" spans="1:18" x14ac:dyDescent="0.3">
      <c r="A103">
        <v>0.6</v>
      </c>
      <c r="B103">
        <v>30</v>
      </c>
      <c r="C103">
        <v>4</v>
      </c>
      <c r="D103" s="3">
        <v>9.9</v>
      </c>
      <c r="E103" s="1">
        <v>15.228</v>
      </c>
      <c r="F103" s="6">
        <f t="shared" si="40"/>
        <v>6.501182033096927</v>
      </c>
      <c r="G103" s="7">
        <v>2.82</v>
      </c>
      <c r="H103" s="8">
        <v>2.3149999999999998E-3</v>
      </c>
      <c r="I103" s="9">
        <f t="shared" si="25"/>
        <v>12.36042115335079</v>
      </c>
      <c r="J103" s="7">
        <v>4.5</v>
      </c>
      <c r="K103" s="7">
        <v>6.04</v>
      </c>
      <c r="L103" s="10">
        <f t="shared" si="31"/>
        <v>3.2192976660099171</v>
      </c>
      <c r="M103" s="12"/>
      <c r="N103" s="11">
        <f t="shared" si="41"/>
        <v>-3.1609949031600406</v>
      </c>
      <c r="O103">
        <f t="shared" si="27"/>
        <v>0.9290618181818181</v>
      </c>
      <c r="P103">
        <f t="shared" si="28"/>
        <v>9.6062049365141888</v>
      </c>
      <c r="Q103">
        <f t="shared" si="29"/>
        <v>0.97032373096102909</v>
      </c>
      <c r="R103">
        <f t="shared" si="30"/>
        <v>9.2599999999999991E-3</v>
      </c>
    </row>
    <row r="104" spans="1:18" x14ac:dyDescent="0.3">
      <c r="A104">
        <v>0.6</v>
      </c>
      <c r="B104">
        <v>30</v>
      </c>
      <c r="C104">
        <v>4</v>
      </c>
      <c r="D104" s="3">
        <v>13.2</v>
      </c>
      <c r="E104" s="1">
        <v>15.228</v>
      </c>
      <c r="F104" s="6">
        <f t="shared" si="40"/>
        <v>8.6682427107959015</v>
      </c>
      <c r="G104" s="7">
        <v>2.82</v>
      </c>
      <c r="H104" s="8">
        <v>2.3149999999999998E-3</v>
      </c>
      <c r="I104" s="9">
        <f t="shared" si="25"/>
        <v>16.480561537801051</v>
      </c>
      <c r="J104" s="7">
        <v>4.5</v>
      </c>
      <c r="K104" s="7">
        <v>9.23</v>
      </c>
      <c r="L104" s="10">
        <f t="shared" si="31"/>
        <v>0.70876632370239689</v>
      </c>
      <c r="M104" s="12"/>
      <c r="N104" s="11">
        <f t="shared" si="41"/>
        <v>-7.3816478083588173</v>
      </c>
      <c r="O104">
        <f t="shared" si="27"/>
        <v>1.0648063636363638</v>
      </c>
      <c r="P104">
        <f t="shared" si="28"/>
        <v>14.679680722520857</v>
      </c>
      <c r="Q104">
        <f t="shared" si="29"/>
        <v>1.1120970244333983</v>
      </c>
      <c r="R104">
        <f t="shared" si="30"/>
        <v>9.2599999999999991E-3</v>
      </c>
    </row>
    <row r="105" spans="1:18" x14ac:dyDescent="0.3">
      <c r="A105">
        <v>0.6</v>
      </c>
      <c r="B105">
        <v>30</v>
      </c>
      <c r="C105">
        <v>4</v>
      </c>
      <c r="D105" s="3">
        <v>16.5</v>
      </c>
      <c r="E105" s="1">
        <v>15.228</v>
      </c>
      <c r="F105" s="6">
        <f t="shared" si="40"/>
        <v>10.835303388494877</v>
      </c>
      <c r="G105" s="7">
        <v>2.82</v>
      </c>
      <c r="H105" s="8">
        <v>2.3149999999999998E-3</v>
      </c>
      <c r="I105" s="9">
        <f t="shared" si="25"/>
        <v>20.600701922251314</v>
      </c>
      <c r="J105" s="7">
        <v>4.5</v>
      </c>
      <c r="K105" s="7">
        <v>11.73</v>
      </c>
      <c r="L105" s="10">
        <f t="shared" si="31"/>
        <v>-0.30513842095608601</v>
      </c>
      <c r="M105" s="12"/>
      <c r="N105" s="11">
        <f t="shared" si="41"/>
        <v>-11.921912844036697</v>
      </c>
      <c r="O105">
        <f t="shared" si="27"/>
        <v>1.0825723636363638</v>
      </c>
      <c r="P105">
        <f t="shared" si="28"/>
        <v>18.655758924720438</v>
      </c>
      <c r="Q105">
        <f t="shared" si="29"/>
        <v>1.1306520560436628</v>
      </c>
      <c r="R105">
        <f t="shared" si="30"/>
        <v>9.2599999999999991E-3</v>
      </c>
    </row>
    <row r="106" spans="1:18" x14ac:dyDescent="0.3">
      <c r="A106">
        <v>0.6</v>
      </c>
      <c r="B106">
        <v>30</v>
      </c>
      <c r="C106">
        <v>4</v>
      </c>
      <c r="D106" s="3">
        <v>19.8</v>
      </c>
      <c r="E106" s="1">
        <v>15.228</v>
      </c>
      <c r="F106" s="6">
        <f t="shared" si="40"/>
        <v>13.002364066193854</v>
      </c>
      <c r="G106" s="7">
        <v>2.82</v>
      </c>
      <c r="H106" s="8">
        <v>2.3149999999999998E-3</v>
      </c>
      <c r="I106" s="9">
        <f t="shared" si="25"/>
        <v>24.720842306701581</v>
      </c>
      <c r="J106" s="7">
        <v>4.5</v>
      </c>
      <c r="K106" s="7">
        <v>15.48</v>
      </c>
      <c r="L106" s="10">
        <f t="shared" si="31"/>
        <v>-1.237941196054215</v>
      </c>
      <c r="M106" s="12"/>
      <c r="N106" s="11">
        <f t="shared" si="41"/>
        <v>-20.763082568807341</v>
      </c>
      <c r="O106">
        <f t="shared" si="27"/>
        <v>1.1905527272727272</v>
      </c>
      <c r="P106">
        <f t="shared" si="28"/>
        <v>24.619876228019812</v>
      </c>
      <c r="Q106">
        <f t="shared" si="29"/>
        <v>1.2434280923242329</v>
      </c>
      <c r="R106">
        <f t="shared" si="30"/>
        <v>9.2599999999999991E-3</v>
      </c>
    </row>
    <row r="107" spans="1:18" x14ac:dyDescent="0.3">
      <c r="A107">
        <v>0.6</v>
      </c>
      <c r="B107">
        <v>30</v>
      </c>
      <c r="C107">
        <v>4</v>
      </c>
      <c r="D107" s="7">
        <v>23.7</v>
      </c>
      <c r="E107" s="1">
        <v>15.228</v>
      </c>
      <c r="F107" s="6">
        <f t="shared" si="40"/>
        <v>15.563435776201731</v>
      </c>
      <c r="G107" s="7">
        <v>2.82</v>
      </c>
      <c r="H107" s="8">
        <v>2.3149999999999998E-3</v>
      </c>
      <c r="I107" s="9">
        <f t="shared" si="25"/>
        <v>29.590099124688248</v>
      </c>
      <c r="J107" s="7">
        <v>4.5</v>
      </c>
      <c r="K107" s="7">
        <v>19.559999999999999</v>
      </c>
      <c r="L107" s="10">
        <f t="shared" si="31"/>
        <v>-1.8674122878810444</v>
      </c>
      <c r="M107" s="12"/>
      <c r="N107" s="11">
        <f t="shared" si="41"/>
        <v>-33.15031192660549</v>
      </c>
      <c r="O107">
        <f t="shared" si="27"/>
        <v>1.2567918987341773</v>
      </c>
      <c r="P107">
        <f t="shared" si="28"/>
        <v>31.108835854009527</v>
      </c>
      <c r="Q107">
        <f t="shared" si="29"/>
        <v>1.3126091077641151</v>
      </c>
      <c r="R107">
        <f t="shared" si="30"/>
        <v>9.2599999999999991E-3</v>
      </c>
    </row>
    <row r="108" spans="1:18" x14ac:dyDescent="0.3">
      <c r="A108">
        <v>0.6</v>
      </c>
      <c r="B108">
        <v>30</v>
      </c>
      <c r="C108">
        <v>6</v>
      </c>
      <c r="D108" s="3">
        <v>3.3</v>
      </c>
      <c r="E108" s="1">
        <v>15.228</v>
      </c>
      <c r="F108" s="6">
        <f>(D108*10^-3)/(E108*10^-4)</f>
        <v>2.1670606776989754</v>
      </c>
      <c r="G108" s="7">
        <v>2.82</v>
      </c>
      <c r="H108" s="8">
        <v>1.5433300000000001E-3</v>
      </c>
      <c r="I108" s="9">
        <f t="shared" si="25"/>
        <v>4.1201403844502629</v>
      </c>
      <c r="J108" s="7">
        <v>3</v>
      </c>
      <c r="K108" s="7">
        <v>0</v>
      </c>
      <c r="L108" s="10">
        <f t="shared" si="31"/>
        <v>42.179963682739846</v>
      </c>
      <c r="M108" s="12"/>
      <c r="N108" s="11">
        <f>-(1.7*K108^2)/19.62</f>
        <v>0</v>
      </c>
      <c r="O108">
        <f t="shared" si="27"/>
        <v>0</v>
      </c>
      <c r="P108">
        <f t="shared" si="28"/>
        <v>0</v>
      </c>
      <c r="Q108">
        <f t="shared" si="29"/>
        <v>0</v>
      </c>
      <c r="R108">
        <f t="shared" si="30"/>
        <v>9.259980000000001E-3</v>
      </c>
    </row>
    <row r="109" spans="1:18" x14ac:dyDescent="0.3">
      <c r="A109">
        <v>0.6</v>
      </c>
      <c r="B109">
        <v>30</v>
      </c>
      <c r="C109">
        <v>6</v>
      </c>
      <c r="D109" s="3">
        <v>6.6</v>
      </c>
      <c r="E109" s="1">
        <v>15.228</v>
      </c>
      <c r="F109" s="6">
        <f t="shared" ref="F109:F114" si="42">(D109*10^-3)/(E109*10^-4)</f>
        <v>4.3341213553979507</v>
      </c>
      <c r="G109" s="7">
        <v>2.82</v>
      </c>
      <c r="H109" s="8">
        <v>1.5433300000000001E-3</v>
      </c>
      <c r="I109" s="9">
        <f t="shared" si="25"/>
        <v>8.2402807689005257</v>
      </c>
      <c r="J109" s="7">
        <v>4.5</v>
      </c>
      <c r="K109" s="7">
        <v>1.68</v>
      </c>
      <c r="L109" s="10">
        <f t="shared" si="31"/>
        <v>10.289564775002978</v>
      </c>
      <c r="M109" s="12"/>
      <c r="N109" s="11">
        <f t="shared" ref="N109:N114" si="43">-(1.7*K109^2)/19.62</f>
        <v>-0.24455045871559625</v>
      </c>
      <c r="O109">
        <f t="shared" si="27"/>
        <v>0.38762181818181818</v>
      </c>
      <c r="P109">
        <f t="shared" si="28"/>
        <v>2.6719245518781189</v>
      </c>
      <c r="Q109">
        <f t="shared" si="29"/>
        <v>0.40483705331486652</v>
      </c>
      <c r="R109">
        <f t="shared" si="30"/>
        <v>9.259980000000001E-3</v>
      </c>
    </row>
    <row r="110" spans="1:18" x14ac:dyDescent="0.3">
      <c r="A110">
        <v>0.6</v>
      </c>
      <c r="B110">
        <v>30</v>
      </c>
      <c r="C110">
        <v>6</v>
      </c>
      <c r="D110" s="3">
        <v>9.9</v>
      </c>
      <c r="E110" s="1">
        <v>15.228</v>
      </c>
      <c r="F110" s="6">
        <f t="shared" si="42"/>
        <v>6.501182033096927</v>
      </c>
      <c r="G110" s="7">
        <v>2.82</v>
      </c>
      <c r="H110" s="8">
        <v>1.5433300000000001E-3</v>
      </c>
      <c r="I110" s="9">
        <f t="shared" si="25"/>
        <v>12.36042115335079</v>
      </c>
      <c r="J110" s="7">
        <v>4.5</v>
      </c>
      <c r="K110" s="7">
        <v>4.12</v>
      </c>
      <c r="L110" s="10">
        <f t="shared" si="31"/>
        <v>4.0039173606823137</v>
      </c>
      <c r="M110" s="12"/>
      <c r="N110" s="11">
        <f t="shared" si="43"/>
        <v>-1.4707686034658509</v>
      </c>
      <c r="O110">
        <f t="shared" si="27"/>
        <v>0.63373090909090912</v>
      </c>
      <c r="P110">
        <f t="shared" si="28"/>
        <v>6.5525768772249107</v>
      </c>
      <c r="Q110">
        <f t="shared" si="29"/>
        <v>0.66187645224494041</v>
      </c>
      <c r="R110">
        <f t="shared" si="30"/>
        <v>9.259980000000001E-3</v>
      </c>
    </row>
    <row r="111" spans="1:18" x14ac:dyDescent="0.3">
      <c r="A111">
        <v>0.6</v>
      </c>
      <c r="B111">
        <v>30</v>
      </c>
      <c r="C111">
        <v>6</v>
      </c>
      <c r="D111" s="3">
        <v>13.2</v>
      </c>
      <c r="E111" s="1">
        <v>15.228</v>
      </c>
      <c r="F111" s="6">
        <f t="shared" si="42"/>
        <v>8.6682427107959015</v>
      </c>
      <c r="G111" s="7">
        <v>2.82</v>
      </c>
      <c r="H111" s="8">
        <v>1.5433300000000001E-3</v>
      </c>
      <c r="I111" s="9">
        <f t="shared" si="25"/>
        <v>16.480561537801051</v>
      </c>
      <c r="J111" s="7">
        <v>4.5</v>
      </c>
      <c r="K111" s="7">
        <v>7.63</v>
      </c>
      <c r="L111" s="10">
        <f t="shared" si="31"/>
        <v>1.3190958044561161</v>
      </c>
      <c r="M111" s="12"/>
      <c r="N111" s="11">
        <f t="shared" si="43"/>
        <v>-5.0442777777777774</v>
      </c>
      <c r="O111">
        <f t="shared" si="27"/>
        <v>0.88022454545454554</v>
      </c>
      <c r="P111">
        <f t="shared" si="28"/>
        <v>12.134990673113125</v>
      </c>
      <c r="Q111">
        <f t="shared" si="29"/>
        <v>0.91931747523584284</v>
      </c>
      <c r="R111">
        <f t="shared" si="30"/>
        <v>9.259980000000001E-3</v>
      </c>
    </row>
    <row r="112" spans="1:18" x14ac:dyDescent="0.3">
      <c r="A112">
        <v>0.6</v>
      </c>
      <c r="B112">
        <v>30</v>
      </c>
      <c r="C112">
        <v>6</v>
      </c>
      <c r="D112" s="3">
        <v>16.5</v>
      </c>
      <c r="E112" s="1">
        <v>15.228</v>
      </c>
      <c r="F112" s="6">
        <f t="shared" si="42"/>
        <v>10.835303388494877</v>
      </c>
      <c r="G112" s="7">
        <v>2.82</v>
      </c>
      <c r="H112" s="8">
        <v>1.5433300000000001E-3</v>
      </c>
      <c r="I112" s="9">
        <f t="shared" si="25"/>
        <v>20.600701922251314</v>
      </c>
      <c r="J112" s="7">
        <v>4.5</v>
      </c>
      <c r="K112" s="7">
        <v>9.85</v>
      </c>
      <c r="L112" s="10">
        <f t="shared" si="31"/>
        <v>0.2823185462081062</v>
      </c>
      <c r="M112" s="12"/>
      <c r="N112" s="11">
        <f t="shared" si="43"/>
        <v>-8.4066386340468888</v>
      </c>
      <c r="O112">
        <f t="shared" si="27"/>
        <v>0.90906545454545462</v>
      </c>
      <c r="P112">
        <f t="shared" si="28"/>
        <v>15.66574811666635</v>
      </c>
      <c r="Q112">
        <f t="shared" si="29"/>
        <v>0.94943927979796061</v>
      </c>
      <c r="R112">
        <f t="shared" si="30"/>
        <v>9.259980000000001E-3</v>
      </c>
    </row>
    <row r="113" spans="1:18" x14ac:dyDescent="0.3">
      <c r="A113">
        <v>0.6</v>
      </c>
      <c r="B113">
        <v>30</v>
      </c>
      <c r="C113">
        <v>6</v>
      </c>
      <c r="D113" s="3">
        <v>19.8</v>
      </c>
      <c r="E113" s="1">
        <v>15.228</v>
      </c>
      <c r="F113" s="6">
        <f t="shared" si="42"/>
        <v>13.002364066193854</v>
      </c>
      <c r="G113" s="7">
        <v>2.82</v>
      </c>
      <c r="H113" s="8">
        <v>1.5433300000000001E-3</v>
      </c>
      <c r="I113" s="9">
        <f t="shared" si="25"/>
        <v>24.720842306701581</v>
      </c>
      <c r="J113" s="7">
        <v>4.5</v>
      </c>
      <c r="K113" s="7">
        <v>11.28</v>
      </c>
      <c r="L113" s="10">
        <f t="shared" si="31"/>
        <v>-0.10778186099305764</v>
      </c>
      <c r="M113" s="12"/>
      <c r="N113" s="11">
        <f t="shared" si="43"/>
        <v>-11.024733944954127</v>
      </c>
      <c r="O113">
        <f t="shared" si="27"/>
        <v>0.86753454545454534</v>
      </c>
      <c r="P113">
        <f t="shared" si="28"/>
        <v>17.940064848324514</v>
      </c>
      <c r="Q113">
        <f t="shared" si="29"/>
        <v>0.90606388122851078</v>
      </c>
      <c r="R113">
        <f t="shared" si="30"/>
        <v>9.259980000000001E-3</v>
      </c>
    </row>
    <row r="114" spans="1:18" x14ac:dyDescent="0.3">
      <c r="A114">
        <v>0.6</v>
      </c>
      <c r="B114">
        <v>30</v>
      </c>
      <c r="C114">
        <v>6</v>
      </c>
      <c r="D114" s="7">
        <v>23.3</v>
      </c>
      <c r="E114" s="1">
        <v>15.228</v>
      </c>
      <c r="F114" s="6">
        <f t="shared" si="42"/>
        <v>15.300761754662464</v>
      </c>
      <c r="G114" s="7">
        <v>2.82</v>
      </c>
      <c r="H114" s="8">
        <v>1.5433300000000001E-3</v>
      </c>
      <c r="I114" s="9">
        <f t="shared" si="25"/>
        <v>29.090688168997314</v>
      </c>
      <c r="J114" s="7">
        <v>4.5</v>
      </c>
      <c r="K114" s="7">
        <v>13.4</v>
      </c>
      <c r="L114" s="10">
        <f t="shared" si="31"/>
        <v>-0.45776329365920027</v>
      </c>
      <c r="M114" s="12"/>
      <c r="N114" s="11">
        <f t="shared" si="43"/>
        <v>-15.558205912334353</v>
      </c>
      <c r="O114">
        <f t="shared" si="27"/>
        <v>0.8757733905579399</v>
      </c>
      <c r="P114">
        <f t="shared" si="28"/>
        <v>21.311779163789758</v>
      </c>
      <c r="Q114">
        <f t="shared" si="29"/>
        <v>0.91466863363904538</v>
      </c>
      <c r="R114">
        <f t="shared" si="30"/>
        <v>9.259980000000001E-3</v>
      </c>
    </row>
    <row r="115" spans="1:18" x14ac:dyDescent="0.3">
      <c r="A115">
        <v>0.6</v>
      </c>
      <c r="B115">
        <v>40</v>
      </c>
      <c r="C115">
        <v>1</v>
      </c>
      <c r="D115" s="3">
        <v>3.9</v>
      </c>
      <c r="E115" s="1">
        <v>20.303999999999998</v>
      </c>
      <c r="F115" s="6">
        <f>(D115*10^-3)/(E115*10^-4)</f>
        <v>1.9208037825059101</v>
      </c>
      <c r="G115" s="7">
        <v>3.76</v>
      </c>
      <c r="H115" s="8">
        <v>9.2599999999999991E-3</v>
      </c>
      <c r="I115" s="9">
        <f t="shared" si="25"/>
        <v>3.1626750764452809</v>
      </c>
      <c r="J115" s="7">
        <v>3</v>
      </c>
      <c r="K115" s="7">
        <v>0</v>
      </c>
      <c r="L115" s="10">
        <f t="shared" si="31"/>
        <v>53.688632274677403</v>
      </c>
      <c r="M115" s="12"/>
      <c r="N115" s="11">
        <f>-(1.7*K115^2)/19.62</f>
        <v>0</v>
      </c>
      <c r="O115">
        <f t="shared" si="27"/>
        <v>0</v>
      </c>
      <c r="P115">
        <f t="shared" si="28"/>
        <v>0</v>
      </c>
      <c r="Q115">
        <f t="shared" si="29"/>
        <v>0</v>
      </c>
      <c r="R115">
        <f t="shared" si="30"/>
        <v>9.2599999999999991E-3</v>
      </c>
    </row>
    <row r="116" spans="1:18" x14ac:dyDescent="0.3">
      <c r="A116">
        <v>0.6</v>
      </c>
      <c r="B116">
        <v>40</v>
      </c>
      <c r="C116">
        <v>1</v>
      </c>
      <c r="D116" s="3">
        <v>7.8</v>
      </c>
      <c r="E116" s="1">
        <v>20.303999999999998</v>
      </c>
      <c r="F116" s="6">
        <f t="shared" ref="F116:F121" si="44">(D116*10^-3)/(E116*10^-4)</f>
        <v>3.8416075650118202</v>
      </c>
      <c r="G116" s="7">
        <v>3.76</v>
      </c>
      <c r="H116" s="8">
        <v>9.2599999999999991E-3</v>
      </c>
      <c r="I116" s="9">
        <f t="shared" si="25"/>
        <v>6.3253501528905618</v>
      </c>
      <c r="J116" s="7">
        <v>3</v>
      </c>
      <c r="K116" s="7">
        <v>1.34</v>
      </c>
      <c r="L116" s="10">
        <f t="shared" si="31"/>
        <v>13.215319024473374</v>
      </c>
      <c r="M116" s="12"/>
      <c r="N116" s="11">
        <f t="shared" ref="N116:N121" si="45">-(1.7*K116^2)/19.62</f>
        <v>-0.15558205912334352</v>
      </c>
      <c r="O116">
        <f t="shared" si="27"/>
        <v>0.3488123076923077</v>
      </c>
      <c r="P116">
        <f t="shared" si="28"/>
        <v>0.94719018505732266</v>
      </c>
      <c r="Q116">
        <f t="shared" si="29"/>
        <v>0.12143463910991316</v>
      </c>
      <c r="R116">
        <f t="shared" si="30"/>
        <v>9.2599999999999991E-3</v>
      </c>
    </row>
    <row r="117" spans="1:18" x14ac:dyDescent="0.3">
      <c r="A117">
        <v>0.6</v>
      </c>
      <c r="B117">
        <v>40</v>
      </c>
      <c r="C117">
        <v>1</v>
      </c>
      <c r="D117" s="3">
        <v>11.7</v>
      </c>
      <c r="E117" s="1">
        <v>20.303999999999998</v>
      </c>
      <c r="F117" s="6">
        <f t="shared" si="44"/>
        <v>5.7624113475177312</v>
      </c>
      <c r="G117" s="7">
        <v>3.76</v>
      </c>
      <c r="H117" s="8">
        <v>9.2599999999999991E-3</v>
      </c>
      <c r="I117" s="9">
        <f t="shared" si="25"/>
        <v>9.4880252293358431</v>
      </c>
      <c r="J117" s="7">
        <v>4.5</v>
      </c>
      <c r="K117" s="7">
        <v>2.67</v>
      </c>
      <c r="L117" s="10">
        <f t="shared" si="31"/>
        <v>5.6004287433315971</v>
      </c>
      <c r="M117" s="12"/>
      <c r="N117" s="11">
        <f t="shared" si="45"/>
        <v>-0.61769266055045868</v>
      </c>
      <c r="O117">
        <f t="shared" si="27"/>
        <v>0.46334769230769224</v>
      </c>
      <c r="P117">
        <f t="shared" si="28"/>
        <v>4.2464515199491535</v>
      </c>
      <c r="Q117">
        <f t="shared" si="29"/>
        <v>0.36294457435462851</v>
      </c>
      <c r="R117">
        <f t="shared" si="30"/>
        <v>9.2599999999999991E-3</v>
      </c>
    </row>
    <row r="118" spans="1:18" x14ac:dyDescent="0.3">
      <c r="A118">
        <v>0.6</v>
      </c>
      <c r="B118">
        <v>40</v>
      </c>
      <c r="C118">
        <v>1</v>
      </c>
      <c r="D118" s="3">
        <v>15.6</v>
      </c>
      <c r="E118" s="1">
        <v>20.303999999999998</v>
      </c>
      <c r="F118" s="6">
        <f t="shared" si="44"/>
        <v>7.6832151300236404</v>
      </c>
      <c r="G118" s="7">
        <v>3.76</v>
      </c>
      <c r="H118" s="8">
        <v>9.2599999999999991E-3</v>
      </c>
      <c r="I118" s="9">
        <f t="shared" si="25"/>
        <v>12.650700305781124</v>
      </c>
      <c r="J118" s="7">
        <v>4.5</v>
      </c>
      <c r="K118" s="7">
        <v>4.29</v>
      </c>
      <c r="L118" s="10">
        <f t="shared" si="31"/>
        <v>2.8255375048473375</v>
      </c>
      <c r="M118" s="12"/>
      <c r="N118" s="11">
        <f t="shared" si="45"/>
        <v>-1.5946467889908256</v>
      </c>
      <c r="O118">
        <f t="shared" si="27"/>
        <v>0.55835999999999997</v>
      </c>
      <c r="P118">
        <f t="shared" si="28"/>
        <v>6.8229501949744833</v>
      </c>
      <c r="Q118">
        <f t="shared" si="29"/>
        <v>0.43736860224195406</v>
      </c>
      <c r="R118">
        <f t="shared" si="30"/>
        <v>9.2599999999999991E-3</v>
      </c>
    </row>
    <row r="119" spans="1:18" x14ac:dyDescent="0.3">
      <c r="A119">
        <v>0.6</v>
      </c>
      <c r="B119">
        <v>40</v>
      </c>
      <c r="C119">
        <v>1</v>
      </c>
      <c r="D119" s="3">
        <v>19.5</v>
      </c>
      <c r="E119" s="1">
        <v>20.303999999999998</v>
      </c>
      <c r="F119" s="6">
        <f t="shared" si="44"/>
        <v>9.6040189125295505</v>
      </c>
      <c r="G119" s="7">
        <v>3.76</v>
      </c>
      <c r="H119" s="8">
        <v>9.2599999999999991E-3</v>
      </c>
      <c r="I119" s="9">
        <f t="shared" si="25"/>
        <v>15.813375382226404</v>
      </c>
      <c r="J119" s="7">
        <v>4.5</v>
      </c>
      <c r="K119" s="7">
        <v>5.98</v>
      </c>
      <c r="L119" s="10">
        <f t="shared" si="31"/>
        <v>1.4884544506158961</v>
      </c>
      <c r="M119" s="12"/>
      <c r="N119" s="11">
        <f t="shared" si="45"/>
        <v>-3.0985056065239553</v>
      </c>
      <c r="O119">
        <f t="shared" si="27"/>
        <v>0.6226560000000001</v>
      </c>
      <c r="P119">
        <f t="shared" si="28"/>
        <v>9.5107790596613988</v>
      </c>
      <c r="Q119">
        <f t="shared" si="29"/>
        <v>0.4877322594698153</v>
      </c>
      <c r="R119">
        <f t="shared" si="30"/>
        <v>9.2599999999999991E-3</v>
      </c>
    </row>
    <row r="120" spans="1:18" x14ac:dyDescent="0.3">
      <c r="A120">
        <v>0.6</v>
      </c>
      <c r="B120">
        <v>40</v>
      </c>
      <c r="C120">
        <v>1</v>
      </c>
      <c r="D120" s="3">
        <v>23.4</v>
      </c>
      <c r="E120" s="1">
        <v>20.303999999999998</v>
      </c>
      <c r="F120" s="6">
        <f t="shared" si="44"/>
        <v>11.524822695035462</v>
      </c>
      <c r="G120" s="7">
        <v>3.76</v>
      </c>
      <c r="H120" s="8">
        <v>9.2599999999999991E-3</v>
      </c>
      <c r="I120" s="9">
        <f t="shared" si="25"/>
        <v>18.976050458671686</v>
      </c>
      <c r="J120" s="7">
        <v>4.5</v>
      </c>
      <c r="K120" s="7">
        <v>9.31</v>
      </c>
      <c r="L120" s="10">
        <f t="shared" si="31"/>
        <v>0.38197231191479297</v>
      </c>
      <c r="M120" s="12"/>
      <c r="N120" s="11">
        <f t="shared" si="45"/>
        <v>-7.5101615698267068</v>
      </c>
      <c r="O120">
        <f t="shared" si="27"/>
        <v>0.80782153846153837</v>
      </c>
      <c r="P120">
        <f t="shared" si="28"/>
        <v>14.806915224991243</v>
      </c>
      <c r="Q120">
        <f t="shared" si="29"/>
        <v>0.63277415491415578</v>
      </c>
      <c r="R120">
        <f t="shared" si="30"/>
        <v>9.2599999999999991E-3</v>
      </c>
    </row>
    <row r="121" spans="1:18" x14ac:dyDescent="0.3">
      <c r="A121">
        <v>0.6</v>
      </c>
      <c r="B121">
        <v>40</v>
      </c>
      <c r="C121">
        <v>1</v>
      </c>
      <c r="D121" s="7">
        <v>27.7</v>
      </c>
      <c r="E121" s="1">
        <v>20.303999999999998</v>
      </c>
      <c r="F121" s="6">
        <f t="shared" si="44"/>
        <v>13.642631993695824</v>
      </c>
      <c r="G121" s="7">
        <v>3.76</v>
      </c>
      <c r="H121" s="8">
        <v>9.2599999999999991E-3</v>
      </c>
      <c r="I121" s="9">
        <f t="shared" si="25"/>
        <v>22.463102466034432</v>
      </c>
      <c r="J121" s="7">
        <v>4.5</v>
      </c>
      <c r="K121" s="7">
        <v>12.31</v>
      </c>
      <c r="L121" s="10">
        <f t="shared" si="31"/>
        <v>-0.31983343953114995</v>
      </c>
      <c r="M121" s="12"/>
      <c r="N121" s="11">
        <f t="shared" si="45"/>
        <v>-13.130039245667687</v>
      </c>
      <c r="O121">
        <f t="shared" si="27"/>
        <v>0.90231855595667865</v>
      </c>
      <c r="P121">
        <f t="shared" si="28"/>
        <v>19.578209067630741</v>
      </c>
      <c r="Q121">
        <f t="shared" si="29"/>
        <v>0.70679455117800516</v>
      </c>
      <c r="R121">
        <f t="shared" si="30"/>
        <v>9.2599999999999991E-3</v>
      </c>
    </row>
    <row r="122" spans="1:18" x14ac:dyDescent="0.3">
      <c r="A122">
        <v>0.6</v>
      </c>
      <c r="B122">
        <v>40</v>
      </c>
      <c r="C122">
        <v>2</v>
      </c>
      <c r="D122" s="3">
        <v>3.9</v>
      </c>
      <c r="E122" s="1">
        <v>20.303999999999998</v>
      </c>
      <c r="F122" s="6">
        <f>(D122*10^-3)/(E122*10^-4)</f>
        <v>1.9208037825059101</v>
      </c>
      <c r="G122" s="7">
        <v>3.76</v>
      </c>
      <c r="H122" s="8">
        <v>4.6299999999999996E-3</v>
      </c>
      <c r="I122" s="9">
        <f t="shared" si="25"/>
        <v>3.1626750764452809</v>
      </c>
      <c r="J122" s="7">
        <v>3</v>
      </c>
      <c r="K122" s="7">
        <v>0</v>
      </c>
      <c r="L122" s="10">
        <f t="shared" si="31"/>
        <v>53.688632274677403</v>
      </c>
      <c r="M122" s="12"/>
      <c r="N122" s="11">
        <f>-(1.7*K122^2)/19.62</f>
        <v>0</v>
      </c>
      <c r="O122">
        <f t="shared" si="27"/>
        <v>0</v>
      </c>
      <c r="P122">
        <f t="shared" si="28"/>
        <v>0</v>
      </c>
      <c r="Q122">
        <f t="shared" si="29"/>
        <v>0</v>
      </c>
      <c r="R122">
        <f t="shared" si="30"/>
        <v>9.2599999999999991E-3</v>
      </c>
    </row>
    <row r="123" spans="1:18" x14ac:dyDescent="0.3">
      <c r="A123">
        <v>0.6</v>
      </c>
      <c r="B123">
        <v>40</v>
      </c>
      <c r="C123">
        <v>2</v>
      </c>
      <c r="D123" s="3">
        <v>7.8</v>
      </c>
      <c r="E123" s="1">
        <v>20.303999999999998</v>
      </c>
      <c r="F123" s="6">
        <f t="shared" ref="F123:F128" si="46">(D123*10^-3)/(E123*10^-4)</f>
        <v>3.8416075650118202</v>
      </c>
      <c r="G123" s="7">
        <v>3.76</v>
      </c>
      <c r="H123" s="8">
        <v>4.6299999999999996E-3</v>
      </c>
      <c r="I123" s="9">
        <f t="shared" si="25"/>
        <v>6.3253501528905618</v>
      </c>
      <c r="J123" s="7">
        <v>4.5</v>
      </c>
      <c r="K123" s="7">
        <v>1.68</v>
      </c>
      <c r="L123" s="10">
        <f t="shared" si="31"/>
        <v>13.097039713613256</v>
      </c>
      <c r="M123" s="12"/>
      <c r="N123" s="11">
        <f t="shared" ref="N123:N128" si="47">-(1.7*K123^2)/19.62</f>
        <v>-0.24455045871559625</v>
      </c>
      <c r="O123">
        <f t="shared" si="27"/>
        <v>0.43731692307692305</v>
      </c>
      <c r="P123">
        <f t="shared" si="28"/>
        <v>2.6719245518781189</v>
      </c>
      <c r="Q123">
        <f t="shared" si="29"/>
        <v>0.34255442972796396</v>
      </c>
      <c r="R123">
        <f t="shared" si="30"/>
        <v>9.2599999999999991E-3</v>
      </c>
    </row>
    <row r="124" spans="1:18" x14ac:dyDescent="0.3">
      <c r="A124">
        <v>0.6</v>
      </c>
      <c r="B124">
        <v>40</v>
      </c>
      <c r="C124">
        <v>2</v>
      </c>
      <c r="D124" s="3">
        <v>11.7</v>
      </c>
      <c r="E124" s="1">
        <v>20.303999999999998</v>
      </c>
      <c r="F124" s="6">
        <f t="shared" si="46"/>
        <v>5.7624113475177312</v>
      </c>
      <c r="G124" s="7">
        <v>3.76</v>
      </c>
      <c r="H124" s="8">
        <v>4.6299999999999996E-3</v>
      </c>
      <c r="I124" s="9">
        <f t="shared" si="25"/>
        <v>9.4880252293358431</v>
      </c>
      <c r="J124" s="7">
        <v>4.5</v>
      </c>
      <c r="K124" s="7">
        <v>3.22</v>
      </c>
      <c r="L124" s="10">
        <f t="shared" si="31"/>
        <v>5.4345776298262711</v>
      </c>
      <c r="M124" s="12"/>
      <c r="N124" s="11">
        <f t="shared" si="47"/>
        <v>-0.89838328236493381</v>
      </c>
      <c r="O124">
        <f t="shared" si="27"/>
        <v>0.55879384615384609</v>
      </c>
      <c r="P124">
        <f t="shared" si="28"/>
        <v>5.1211887244330621</v>
      </c>
      <c r="Q124">
        <f t="shared" si="29"/>
        <v>0.43770843798573184</v>
      </c>
      <c r="R124">
        <f t="shared" si="30"/>
        <v>9.2599999999999991E-3</v>
      </c>
    </row>
    <row r="125" spans="1:18" x14ac:dyDescent="0.3">
      <c r="A125">
        <v>0.6</v>
      </c>
      <c r="B125">
        <v>40</v>
      </c>
      <c r="C125">
        <v>2</v>
      </c>
      <c r="D125" s="3">
        <v>15.6</v>
      </c>
      <c r="E125" s="1">
        <v>20.303999999999998</v>
      </c>
      <c r="F125" s="6">
        <f t="shared" si="46"/>
        <v>7.6832151300236404</v>
      </c>
      <c r="G125" s="7">
        <v>3.76</v>
      </c>
      <c r="H125" s="8">
        <v>4.6299999999999996E-3</v>
      </c>
      <c r="I125" s="9">
        <f t="shared" si="25"/>
        <v>12.650700305781124</v>
      </c>
      <c r="J125" s="7">
        <v>4.5</v>
      </c>
      <c r="K125" s="7">
        <v>5.97</v>
      </c>
      <c r="L125" s="10">
        <f t="shared" si="31"/>
        <v>2.3291514448956216</v>
      </c>
      <c r="M125" s="12"/>
      <c r="N125" s="11">
        <f t="shared" si="47"/>
        <v>-3.0881513761467883</v>
      </c>
      <c r="O125">
        <f t="shared" si="27"/>
        <v>0.77701846153846155</v>
      </c>
      <c r="P125">
        <f t="shared" si="28"/>
        <v>9.4948747468526005</v>
      </c>
      <c r="Q125">
        <f t="shared" si="29"/>
        <v>0.6086458171059359</v>
      </c>
      <c r="R125">
        <f t="shared" si="30"/>
        <v>9.2599999999999991E-3</v>
      </c>
    </row>
    <row r="126" spans="1:18" x14ac:dyDescent="0.3">
      <c r="A126">
        <v>0.6</v>
      </c>
      <c r="B126">
        <v>40</v>
      </c>
      <c r="C126">
        <v>2</v>
      </c>
      <c r="D126" s="3">
        <v>19.5</v>
      </c>
      <c r="E126" s="1">
        <v>20.303999999999998</v>
      </c>
      <c r="F126" s="6">
        <f t="shared" si="46"/>
        <v>9.6040189125295505</v>
      </c>
      <c r="G126" s="7">
        <v>3.76</v>
      </c>
      <c r="H126" s="8">
        <v>4.6299999999999996E-3</v>
      </c>
      <c r="I126" s="9">
        <f t="shared" si="25"/>
        <v>15.813375382226404</v>
      </c>
      <c r="J126" s="7">
        <v>4.5</v>
      </c>
      <c r="K126" s="7">
        <v>9.34</v>
      </c>
      <c r="L126" s="10">
        <f t="shared" si="31"/>
        <v>0.53972812690934957</v>
      </c>
      <c r="M126" s="12"/>
      <c r="N126" s="11">
        <f t="shared" si="47"/>
        <v>-7.5586401630988771</v>
      </c>
      <c r="O126">
        <f t="shared" si="27"/>
        <v>0.97250953846153843</v>
      </c>
      <c r="P126">
        <f t="shared" si="28"/>
        <v>14.854628163417638</v>
      </c>
      <c r="Q126">
        <f t="shared" si="29"/>
        <v>0.76177580325218663</v>
      </c>
      <c r="R126">
        <f t="shared" si="30"/>
        <v>9.2599999999999991E-3</v>
      </c>
    </row>
    <row r="127" spans="1:18" x14ac:dyDescent="0.3">
      <c r="A127">
        <v>0.6</v>
      </c>
      <c r="B127">
        <v>40</v>
      </c>
      <c r="C127">
        <v>2</v>
      </c>
      <c r="D127" s="3">
        <v>23.4</v>
      </c>
      <c r="E127" s="1">
        <v>20.303999999999998</v>
      </c>
      <c r="F127" s="6">
        <f t="shared" si="46"/>
        <v>11.524822695035462</v>
      </c>
      <c r="G127" s="7">
        <v>3.76</v>
      </c>
      <c r="H127" s="8">
        <v>4.6299999999999996E-3</v>
      </c>
      <c r="I127" s="9">
        <f t="shared" si="25"/>
        <v>18.976050458671686</v>
      </c>
      <c r="J127" s="7">
        <v>4.5</v>
      </c>
      <c r="K127" s="7">
        <v>12.61</v>
      </c>
      <c r="L127" s="10">
        <f t="shared" si="31"/>
        <v>-0.54386548300118309</v>
      </c>
      <c r="M127" s="12"/>
      <c r="N127" s="11">
        <f t="shared" si="47"/>
        <v>-13.777806829765543</v>
      </c>
      <c r="O127">
        <f t="shared" si="27"/>
        <v>1.0941599999999998</v>
      </c>
      <c r="P127">
        <f t="shared" si="28"/>
        <v>20.055338451894691</v>
      </c>
      <c r="Q127">
        <f t="shared" si="29"/>
        <v>0.85706574580746553</v>
      </c>
      <c r="R127">
        <f t="shared" si="30"/>
        <v>9.2599999999999991E-3</v>
      </c>
    </row>
    <row r="128" spans="1:18" x14ac:dyDescent="0.3">
      <c r="A128">
        <v>0.6</v>
      </c>
      <c r="B128">
        <v>40</v>
      </c>
      <c r="C128">
        <v>2</v>
      </c>
      <c r="D128" s="7">
        <v>27.5</v>
      </c>
      <c r="E128" s="1">
        <v>20.303999999999998</v>
      </c>
      <c r="F128" s="6">
        <f t="shared" si="46"/>
        <v>13.544129235618598</v>
      </c>
      <c r="G128" s="7">
        <v>3.76</v>
      </c>
      <c r="H128" s="8">
        <v>4.6299999999999996E-3</v>
      </c>
      <c r="I128" s="9">
        <f t="shared" si="25"/>
        <v>22.300914000575702</v>
      </c>
      <c r="J128" s="7">
        <v>4.5</v>
      </c>
      <c r="K128" s="13">
        <v>15.67</v>
      </c>
      <c r="L128" s="10">
        <f t="shared" si="31"/>
        <v>-1.1957343030896892</v>
      </c>
      <c r="M128" s="12"/>
      <c r="N128" s="11">
        <f t="shared" si="47"/>
        <v>-21.27589857288481</v>
      </c>
      <c r="O128">
        <f t="shared" si="27"/>
        <v>1.1569588363636363</v>
      </c>
      <c r="P128">
        <f t="shared" si="28"/>
        <v>24.922058171386979</v>
      </c>
      <c r="Q128">
        <f t="shared" si="29"/>
        <v>0.90625666077770828</v>
      </c>
      <c r="R128">
        <f t="shared" si="30"/>
        <v>9.2599999999999991E-3</v>
      </c>
    </row>
    <row r="129" spans="1:18" x14ac:dyDescent="0.3">
      <c r="A129">
        <v>0.6</v>
      </c>
      <c r="B129">
        <v>40</v>
      </c>
      <c r="C129">
        <v>4</v>
      </c>
      <c r="D129" s="3">
        <v>3.9</v>
      </c>
      <c r="E129" s="1">
        <v>20.303999999999998</v>
      </c>
      <c r="F129" s="6">
        <f>(D129*10^-3)/(E129*10^-4)</f>
        <v>1.9208037825059101</v>
      </c>
      <c r="G129" s="7">
        <v>3.76</v>
      </c>
      <c r="H129" s="8">
        <v>2.3149999999999998E-3</v>
      </c>
      <c r="I129" s="9">
        <f t="shared" si="25"/>
        <v>3.1626750764452809</v>
      </c>
      <c r="J129" s="7">
        <v>3</v>
      </c>
      <c r="K129" s="7">
        <v>0</v>
      </c>
      <c r="L129" s="10">
        <f t="shared" si="31"/>
        <v>53.688632274677403</v>
      </c>
      <c r="M129" s="12"/>
      <c r="N129" s="11">
        <f>-(1.7*K129^2)/19.62</f>
        <v>0</v>
      </c>
      <c r="O129">
        <f t="shared" si="27"/>
        <v>0</v>
      </c>
      <c r="P129">
        <f t="shared" si="28"/>
        <v>0</v>
      </c>
      <c r="Q129">
        <f t="shared" si="29"/>
        <v>0</v>
      </c>
      <c r="R129">
        <f t="shared" si="30"/>
        <v>9.2599999999999991E-3</v>
      </c>
    </row>
    <row r="130" spans="1:18" x14ac:dyDescent="0.3">
      <c r="A130">
        <v>0.6</v>
      </c>
      <c r="B130">
        <v>40</v>
      </c>
      <c r="C130">
        <v>4</v>
      </c>
      <c r="D130" s="3">
        <v>7.8</v>
      </c>
      <c r="E130" s="1">
        <v>20.303999999999998</v>
      </c>
      <c r="F130" s="6">
        <f t="shared" ref="F130:F135" si="48">(D130*10^-3)/(E130*10^-4)</f>
        <v>3.8416075650118202</v>
      </c>
      <c r="G130" s="7">
        <v>3.76</v>
      </c>
      <c r="H130" s="8">
        <v>2.3149999999999998E-3</v>
      </c>
      <c r="I130" s="9">
        <f t="shared" si="25"/>
        <v>6.3253501528905618</v>
      </c>
      <c r="J130" s="7">
        <v>4.5</v>
      </c>
      <c r="K130" s="7">
        <v>1.75</v>
      </c>
      <c r="L130" s="10">
        <f t="shared" si="31"/>
        <v>13.069382075769942</v>
      </c>
      <c r="M130" s="12"/>
      <c r="N130" s="11">
        <f t="shared" ref="N130:N135" si="49">-(1.7*K130^2)/19.62</f>
        <v>-0.26535423037716616</v>
      </c>
      <c r="O130">
        <f t="shared" si="27"/>
        <v>0.45553846153846156</v>
      </c>
      <c r="P130">
        <f t="shared" si="28"/>
        <v>2.7832547415397073</v>
      </c>
      <c r="Q130">
        <f t="shared" si="29"/>
        <v>0.35682753096662917</v>
      </c>
      <c r="R130">
        <f t="shared" si="30"/>
        <v>9.2599999999999991E-3</v>
      </c>
    </row>
    <row r="131" spans="1:18" x14ac:dyDescent="0.3">
      <c r="A131">
        <v>0.6</v>
      </c>
      <c r="B131">
        <v>40</v>
      </c>
      <c r="C131">
        <v>4</v>
      </c>
      <c r="D131" s="3">
        <v>11.7</v>
      </c>
      <c r="E131" s="1">
        <v>20.303999999999998</v>
      </c>
      <c r="F131" s="6">
        <f t="shared" si="48"/>
        <v>5.7624113475177312</v>
      </c>
      <c r="G131" s="7">
        <v>3.76</v>
      </c>
      <c r="H131" s="8">
        <v>2.3149999999999998E-3</v>
      </c>
      <c r="I131" s="9">
        <f t="shared" ref="I131:I194" si="50">(F131)/((9.81*G131*10^-2))^(1/2)</f>
        <v>9.4880252293358431</v>
      </c>
      <c r="J131" s="7">
        <v>4.5</v>
      </c>
      <c r="K131" s="7">
        <v>3.55</v>
      </c>
      <c r="L131" s="10">
        <f t="shared" si="31"/>
        <v>5.3201994934835506</v>
      </c>
      <c r="M131" s="12"/>
      <c r="N131" s="11">
        <f t="shared" si="49"/>
        <v>-1.091959734964322</v>
      </c>
      <c r="O131">
        <f t="shared" si="27"/>
        <v>0.61606153846153833</v>
      </c>
      <c r="P131">
        <f t="shared" si="28"/>
        <v>5.6460310471234063</v>
      </c>
      <c r="Q131">
        <f t="shared" si="29"/>
        <v>0.48256675616439371</v>
      </c>
      <c r="R131">
        <f t="shared" si="30"/>
        <v>9.2599999999999991E-3</v>
      </c>
    </row>
    <row r="132" spans="1:18" x14ac:dyDescent="0.3">
      <c r="A132">
        <v>0.6</v>
      </c>
      <c r="B132">
        <v>40</v>
      </c>
      <c r="C132">
        <v>4</v>
      </c>
      <c r="D132" s="3">
        <v>15.6</v>
      </c>
      <c r="E132" s="1">
        <v>20.303999999999998</v>
      </c>
      <c r="F132" s="6">
        <f t="shared" si="48"/>
        <v>7.6832151300236404</v>
      </c>
      <c r="G132" s="7">
        <v>3.76</v>
      </c>
      <c r="H132" s="8">
        <v>2.3149999999999998E-3</v>
      </c>
      <c r="I132" s="9">
        <f t="shared" si="50"/>
        <v>12.650700305781124</v>
      </c>
      <c r="J132" s="7">
        <v>4.5</v>
      </c>
      <c r="K132" s="7">
        <v>5.82</v>
      </c>
      <c r="L132" s="10">
        <f t="shared" si="31"/>
        <v>2.3800807790542016</v>
      </c>
      <c r="M132" s="12"/>
      <c r="N132" s="11">
        <f t="shared" si="49"/>
        <v>-2.9349174311926607</v>
      </c>
      <c r="O132">
        <f t="shared" ref="O132:O195" si="51">K132/F132</f>
        <v>0.75749538461538468</v>
      </c>
      <c r="P132">
        <f t="shared" ref="P132:P195" si="52">K132*PI()*(J132^2)/40</f>
        <v>9.2563100547206254</v>
      </c>
      <c r="Q132">
        <f t="shared" ref="Q132:Q195" si="53">P132/D132</f>
        <v>0.59335320863593755</v>
      </c>
      <c r="R132">
        <f t="shared" ref="R132:R195" si="54">C132*H132</f>
        <v>9.2599999999999991E-3</v>
      </c>
    </row>
    <row r="133" spans="1:18" x14ac:dyDescent="0.3">
      <c r="A133">
        <v>0.6</v>
      </c>
      <c r="B133">
        <v>40</v>
      </c>
      <c r="C133">
        <v>4</v>
      </c>
      <c r="D133" s="3">
        <v>19.5</v>
      </c>
      <c r="E133" s="1">
        <v>20.303999999999998</v>
      </c>
      <c r="F133" s="6">
        <f t="shared" si="48"/>
        <v>9.6040189125295505</v>
      </c>
      <c r="G133" s="7">
        <v>3.76</v>
      </c>
      <c r="H133" s="8">
        <v>2.3149999999999998E-3</v>
      </c>
      <c r="I133" s="9">
        <f t="shared" si="50"/>
        <v>15.813375382226404</v>
      </c>
      <c r="J133" s="7">
        <v>4.5</v>
      </c>
      <c r="K133" s="7">
        <v>9.27</v>
      </c>
      <c r="L133" s="10">
        <f t="shared" ref="L133:L196" si="55">(10.33+N133-0.234)/((F133^2)/19.62)</f>
        <v>0.56373785939980148</v>
      </c>
      <c r="M133" s="12"/>
      <c r="N133" s="11">
        <f t="shared" si="49"/>
        <v>-7.4457660550458709</v>
      </c>
      <c r="O133">
        <f t="shared" si="51"/>
        <v>0.96522092307692309</v>
      </c>
      <c r="P133">
        <f t="shared" si="52"/>
        <v>14.743297973756048</v>
      </c>
      <c r="Q133">
        <f t="shared" si="53"/>
        <v>0.75606656275672046</v>
      </c>
      <c r="R133">
        <f t="shared" si="54"/>
        <v>9.2599999999999991E-3</v>
      </c>
    </row>
    <row r="134" spans="1:18" x14ac:dyDescent="0.3">
      <c r="A134">
        <v>0.6</v>
      </c>
      <c r="B134">
        <v>40</v>
      </c>
      <c r="C134">
        <v>4</v>
      </c>
      <c r="D134" s="3">
        <v>23.4</v>
      </c>
      <c r="E134" s="1">
        <v>20.303999999999998</v>
      </c>
      <c r="F134" s="6">
        <f t="shared" si="48"/>
        <v>11.524822695035462</v>
      </c>
      <c r="G134" s="7">
        <v>3.76</v>
      </c>
      <c r="H134" s="8">
        <v>2.3149999999999998E-3</v>
      </c>
      <c r="I134" s="9">
        <f t="shared" si="50"/>
        <v>18.976050458671686</v>
      </c>
      <c r="J134" s="7">
        <v>4.5</v>
      </c>
      <c r="K134" s="7">
        <v>12.36</v>
      </c>
      <c r="L134" s="10">
        <f t="shared" si="55"/>
        <v>-0.4639669202556212</v>
      </c>
      <c r="M134" s="12"/>
      <c r="N134" s="11">
        <f t="shared" si="49"/>
        <v>-13.23691743119266</v>
      </c>
      <c r="O134">
        <f t="shared" si="51"/>
        <v>1.0724676923076921</v>
      </c>
      <c r="P134">
        <f t="shared" si="52"/>
        <v>19.657730631674731</v>
      </c>
      <c r="Q134">
        <f t="shared" si="53"/>
        <v>0.84007395861857825</v>
      </c>
      <c r="R134">
        <f t="shared" si="54"/>
        <v>9.2599999999999991E-3</v>
      </c>
    </row>
    <row r="135" spans="1:18" x14ac:dyDescent="0.3">
      <c r="A135">
        <v>0.6</v>
      </c>
      <c r="B135">
        <v>40</v>
      </c>
      <c r="C135">
        <v>4</v>
      </c>
      <c r="D135" s="7">
        <v>27.6</v>
      </c>
      <c r="E135" s="1">
        <v>20.303999999999998</v>
      </c>
      <c r="F135" s="6">
        <f t="shared" si="48"/>
        <v>13.593380614657212</v>
      </c>
      <c r="G135" s="7">
        <v>3.76</v>
      </c>
      <c r="H135" s="8">
        <v>2.3149999999999998E-3</v>
      </c>
      <c r="I135" s="9">
        <f t="shared" si="50"/>
        <v>22.382008233305069</v>
      </c>
      <c r="J135" s="7">
        <v>4.5</v>
      </c>
      <c r="K135" s="7">
        <v>14.57</v>
      </c>
      <c r="L135" s="10">
        <f t="shared" si="55"/>
        <v>-0.88105213255168235</v>
      </c>
      <c r="M135" s="12"/>
      <c r="N135" s="11">
        <f t="shared" si="49"/>
        <v>-18.393696738022427</v>
      </c>
      <c r="O135">
        <f t="shared" si="51"/>
        <v>1.0718452173913042</v>
      </c>
      <c r="P135">
        <f t="shared" si="52"/>
        <v>23.172583762419162</v>
      </c>
      <c r="Q135">
        <f t="shared" si="53"/>
        <v>0.83958636820359278</v>
      </c>
      <c r="R135">
        <f t="shared" si="54"/>
        <v>9.2599999999999991E-3</v>
      </c>
    </row>
    <row r="136" spans="1:18" x14ac:dyDescent="0.3">
      <c r="A136">
        <v>0.6</v>
      </c>
      <c r="B136">
        <v>40</v>
      </c>
      <c r="C136">
        <v>6</v>
      </c>
      <c r="D136" s="3">
        <v>3.9</v>
      </c>
      <c r="E136" s="1">
        <v>20.303999999999998</v>
      </c>
      <c r="F136" s="6">
        <f>(D136*10^-3)/(E136*10^-4)</f>
        <v>1.9208037825059101</v>
      </c>
      <c r="G136" s="7">
        <v>3.76</v>
      </c>
      <c r="H136" s="8">
        <v>1.5433300000000001E-3</v>
      </c>
      <c r="I136" s="9">
        <f t="shared" si="50"/>
        <v>3.1626750764452809</v>
      </c>
      <c r="J136" s="7">
        <v>3</v>
      </c>
      <c r="K136" s="7">
        <v>0</v>
      </c>
      <c r="L136" s="10">
        <f t="shared" si="55"/>
        <v>53.688632274677403</v>
      </c>
      <c r="M136" s="12"/>
      <c r="N136" s="11">
        <f>-(1.7*K136^2)/19.62</f>
        <v>0</v>
      </c>
      <c r="O136">
        <f t="shared" si="51"/>
        <v>0</v>
      </c>
      <c r="P136">
        <f t="shared" si="52"/>
        <v>0</v>
      </c>
      <c r="Q136">
        <f t="shared" si="53"/>
        <v>0</v>
      </c>
      <c r="R136">
        <f t="shared" si="54"/>
        <v>9.259980000000001E-3</v>
      </c>
    </row>
    <row r="137" spans="1:18" x14ac:dyDescent="0.3">
      <c r="A137">
        <v>0.6</v>
      </c>
      <c r="B137">
        <v>40</v>
      </c>
      <c r="C137">
        <v>6</v>
      </c>
      <c r="D137" s="3">
        <v>7.8</v>
      </c>
      <c r="E137" s="1">
        <v>20.303999999999998</v>
      </c>
      <c r="F137" s="6">
        <f t="shared" ref="F137:F142" si="56">(D137*10^-3)/(E137*10^-4)</f>
        <v>3.8416075650118202</v>
      </c>
      <c r="G137" s="7">
        <v>3.76</v>
      </c>
      <c r="H137" s="8">
        <v>1.5433300000000001E-3</v>
      </c>
      <c r="I137" s="9">
        <f t="shared" si="50"/>
        <v>6.3253501528905618</v>
      </c>
      <c r="J137" s="7">
        <v>4.5</v>
      </c>
      <c r="K137" s="7">
        <v>1.3</v>
      </c>
      <c r="L137" s="10">
        <f t="shared" si="55"/>
        <v>13.22748331666935</v>
      </c>
      <c r="M137" s="12"/>
      <c r="N137" s="11">
        <f t="shared" ref="N137:N142" si="57">-(1.7*K137^2)/19.62</f>
        <v>-0.14643221202854231</v>
      </c>
      <c r="O137">
        <f t="shared" si="51"/>
        <v>0.33840000000000003</v>
      </c>
      <c r="P137">
        <f t="shared" si="52"/>
        <v>2.0675606651437826</v>
      </c>
      <c r="Q137">
        <f t="shared" si="53"/>
        <v>0.26507188014663879</v>
      </c>
      <c r="R137">
        <f t="shared" si="54"/>
        <v>9.259980000000001E-3</v>
      </c>
    </row>
    <row r="138" spans="1:18" x14ac:dyDescent="0.3">
      <c r="A138">
        <v>0.6</v>
      </c>
      <c r="B138">
        <v>40</v>
      </c>
      <c r="C138">
        <v>6</v>
      </c>
      <c r="D138" s="3">
        <v>11.7</v>
      </c>
      <c r="E138" s="1">
        <v>20.303999999999998</v>
      </c>
      <c r="F138" s="6">
        <f t="shared" si="56"/>
        <v>5.7624113475177312</v>
      </c>
      <c r="G138" s="7">
        <v>3.76</v>
      </c>
      <c r="H138" s="8">
        <v>1.5433300000000001E-3</v>
      </c>
      <c r="I138" s="9">
        <f t="shared" si="50"/>
        <v>9.4880252293358431</v>
      </c>
      <c r="J138" s="7">
        <v>4.5</v>
      </c>
      <c r="K138" s="7">
        <v>2.94</v>
      </c>
      <c r="L138" s="10">
        <f t="shared" si="55"/>
        <v>5.5228813805822483</v>
      </c>
      <c r="M138" s="12"/>
      <c r="N138" s="11">
        <f t="shared" si="57"/>
        <v>-0.7489357798165136</v>
      </c>
      <c r="O138">
        <f t="shared" si="51"/>
        <v>0.51020307692307687</v>
      </c>
      <c r="P138">
        <f t="shared" si="52"/>
        <v>4.6758679657867077</v>
      </c>
      <c r="Q138">
        <f t="shared" si="53"/>
        <v>0.39964683468262463</v>
      </c>
      <c r="R138">
        <f t="shared" si="54"/>
        <v>9.259980000000001E-3</v>
      </c>
    </row>
    <row r="139" spans="1:18" x14ac:dyDescent="0.3">
      <c r="A139">
        <v>0.6</v>
      </c>
      <c r="B139">
        <v>40</v>
      </c>
      <c r="C139">
        <v>6</v>
      </c>
      <c r="D139" s="3">
        <v>15.6</v>
      </c>
      <c r="E139" s="1">
        <v>20.303999999999998</v>
      </c>
      <c r="F139" s="6">
        <f t="shared" si="56"/>
        <v>7.6832151300236404</v>
      </c>
      <c r="G139" s="7">
        <v>3.76</v>
      </c>
      <c r="H139" s="8">
        <v>1.5433300000000001E-3</v>
      </c>
      <c r="I139" s="9">
        <f t="shared" si="50"/>
        <v>12.650700305781124</v>
      </c>
      <c r="J139" s="7">
        <v>4.5</v>
      </c>
      <c r="K139" s="7">
        <v>5.19</v>
      </c>
      <c r="L139" s="10">
        <f t="shared" si="55"/>
        <v>2.5798326255479291</v>
      </c>
      <c r="M139" s="12"/>
      <c r="N139" s="11">
        <f t="shared" si="57"/>
        <v>-2.3339128440366976</v>
      </c>
      <c r="O139">
        <f t="shared" si="51"/>
        <v>0.6754984615384616</v>
      </c>
      <c r="P139">
        <f t="shared" si="52"/>
        <v>8.2543383477663319</v>
      </c>
      <c r="Q139">
        <f t="shared" si="53"/>
        <v>0.52912425306194433</v>
      </c>
      <c r="R139">
        <f t="shared" si="54"/>
        <v>9.259980000000001E-3</v>
      </c>
    </row>
    <row r="140" spans="1:18" x14ac:dyDescent="0.3">
      <c r="A140">
        <v>0.6</v>
      </c>
      <c r="B140">
        <v>40</v>
      </c>
      <c r="C140">
        <v>6</v>
      </c>
      <c r="D140" s="3">
        <v>19.5</v>
      </c>
      <c r="E140" s="1">
        <v>20.303999999999998</v>
      </c>
      <c r="F140" s="6">
        <f t="shared" si="56"/>
        <v>9.6040189125295505</v>
      </c>
      <c r="G140" s="7">
        <v>3.76</v>
      </c>
      <c r="H140" s="8">
        <v>1.5433300000000001E-3</v>
      </c>
      <c r="I140" s="9">
        <f t="shared" si="50"/>
        <v>15.813375382226404</v>
      </c>
      <c r="J140" s="7">
        <v>4.5</v>
      </c>
      <c r="K140" s="7">
        <v>6.8</v>
      </c>
      <c r="L140" s="10">
        <f t="shared" si="55"/>
        <v>1.295307607438694</v>
      </c>
      <c r="M140" s="12"/>
      <c r="N140" s="11">
        <f t="shared" si="57"/>
        <v>-4.0065239551478076</v>
      </c>
      <c r="O140">
        <f t="shared" si="51"/>
        <v>0.70803692307692312</v>
      </c>
      <c r="P140">
        <f t="shared" si="52"/>
        <v>10.814932709982862</v>
      </c>
      <c r="Q140">
        <f t="shared" si="53"/>
        <v>0.55461193384527496</v>
      </c>
      <c r="R140">
        <f t="shared" si="54"/>
        <v>9.259980000000001E-3</v>
      </c>
    </row>
    <row r="141" spans="1:18" x14ac:dyDescent="0.3">
      <c r="A141">
        <v>0.6</v>
      </c>
      <c r="B141">
        <v>40</v>
      </c>
      <c r="C141">
        <v>6</v>
      </c>
      <c r="D141" s="3">
        <v>23.4</v>
      </c>
      <c r="E141" s="1">
        <v>20.303999999999998</v>
      </c>
      <c r="F141" s="6">
        <f t="shared" si="56"/>
        <v>11.524822695035462</v>
      </c>
      <c r="G141" s="7">
        <v>3.76</v>
      </c>
      <c r="H141" s="8">
        <v>1.5433300000000001E-3</v>
      </c>
      <c r="I141" s="9">
        <f t="shared" si="50"/>
        <v>18.976050458671686</v>
      </c>
      <c r="J141" s="7">
        <v>4.5</v>
      </c>
      <c r="K141" s="7">
        <v>7.08</v>
      </c>
      <c r="L141" s="10">
        <f t="shared" si="55"/>
        <v>0.84977663690982241</v>
      </c>
      <c r="M141" s="12"/>
      <c r="N141" s="11">
        <f t="shared" si="57"/>
        <v>-4.3432660550458717</v>
      </c>
      <c r="O141">
        <f t="shared" si="51"/>
        <v>0.61432615384615374</v>
      </c>
      <c r="P141">
        <f t="shared" si="52"/>
        <v>11.260253468629216</v>
      </c>
      <c r="Q141">
        <f t="shared" si="53"/>
        <v>0.48120741318928278</v>
      </c>
      <c r="R141">
        <f t="shared" si="54"/>
        <v>9.259980000000001E-3</v>
      </c>
    </row>
    <row r="142" spans="1:18" x14ac:dyDescent="0.3">
      <c r="A142">
        <v>0.6</v>
      </c>
      <c r="B142">
        <v>40</v>
      </c>
      <c r="C142">
        <v>6</v>
      </c>
      <c r="D142" s="7">
        <v>27.2</v>
      </c>
      <c r="E142" s="1">
        <v>20.303999999999998</v>
      </c>
      <c r="F142" s="6">
        <f t="shared" si="56"/>
        <v>13.396375098502759</v>
      </c>
      <c r="G142" s="7">
        <v>3.76</v>
      </c>
      <c r="H142" s="8">
        <v>1.5433300000000001E-3</v>
      </c>
      <c r="I142" s="9">
        <f t="shared" si="50"/>
        <v>22.057631302387602</v>
      </c>
      <c r="J142" s="7">
        <v>4.5</v>
      </c>
      <c r="K142" s="7">
        <v>9.0500000000000007</v>
      </c>
      <c r="L142" s="10">
        <f t="shared" si="55"/>
        <v>0.32791892486667806</v>
      </c>
      <c r="M142" s="12"/>
      <c r="N142" s="11">
        <f t="shared" si="57"/>
        <v>-7.0965468909276259</v>
      </c>
      <c r="O142">
        <f t="shared" si="51"/>
        <v>0.67555588235294117</v>
      </c>
      <c r="P142">
        <f t="shared" si="52"/>
        <v>14.393403091962487</v>
      </c>
      <c r="Q142">
        <f t="shared" si="53"/>
        <v>0.52916923132215021</v>
      </c>
      <c r="R142">
        <f t="shared" si="54"/>
        <v>9.259980000000001E-3</v>
      </c>
    </row>
    <row r="143" spans="1:18" x14ac:dyDescent="0.3">
      <c r="A143">
        <v>0.6</v>
      </c>
      <c r="B143">
        <v>60</v>
      </c>
      <c r="C143">
        <v>1</v>
      </c>
      <c r="D143" s="3">
        <v>4.5999999999999996</v>
      </c>
      <c r="E143" s="1">
        <v>30.456</v>
      </c>
      <c r="F143" s="6">
        <f>(D143*10^-3)/(E143*10^-4)</f>
        <v>1.510375623850801</v>
      </c>
      <c r="G143" s="7">
        <v>5.64</v>
      </c>
      <c r="H143" s="8">
        <v>1.379E-2</v>
      </c>
      <c r="I143" s="9">
        <f t="shared" si="50"/>
        <v>2.0305370218655328</v>
      </c>
      <c r="J143" s="7">
        <v>3</v>
      </c>
      <c r="K143" s="7">
        <v>0</v>
      </c>
      <c r="L143" s="10">
        <f t="shared" si="55"/>
        <v>86.83172107845688</v>
      </c>
      <c r="M143" s="12"/>
      <c r="N143" s="11">
        <f>-(1.7*K143^2)/19.62</f>
        <v>0</v>
      </c>
      <c r="O143">
        <f t="shared" si="51"/>
        <v>0</v>
      </c>
      <c r="P143">
        <f t="shared" si="52"/>
        <v>0</v>
      </c>
      <c r="Q143">
        <f t="shared" si="53"/>
        <v>0</v>
      </c>
      <c r="R143">
        <f t="shared" si="54"/>
        <v>1.379E-2</v>
      </c>
    </row>
    <row r="144" spans="1:18" x14ac:dyDescent="0.3">
      <c r="A144">
        <v>0.6</v>
      </c>
      <c r="B144">
        <v>60</v>
      </c>
      <c r="C144">
        <v>1</v>
      </c>
      <c r="D144" s="3">
        <v>9.1999999999999993</v>
      </c>
      <c r="E144" s="1">
        <v>30.456</v>
      </c>
      <c r="F144" s="6">
        <f t="shared" ref="F144:F149" si="58">(D144*10^-3)/(E144*10^-4)</f>
        <v>3.0207512477016021</v>
      </c>
      <c r="G144" s="7">
        <v>5.64</v>
      </c>
      <c r="H144" s="8">
        <v>1.379E-2</v>
      </c>
      <c r="I144" s="9">
        <f t="shared" si="50"/>
        <v>4.0610740437310655</v>
      </c>
      <c r="J144" s="7">
        <v>4.5</v>
      </c>
      <c r="K144" s="7">
        <v>0.77</v>
      </c>
      <c r="L144" s="10">
        <f t="shared" si="55"/>
        <v>21.597471438124085</v>
      </c>
      <c r="M144" s="12"/>
      <c r="N144" s="11">
        <f t="shared" ref="N144:N149" si="59">-(1.7*K144^2)/19.62</f>
        <v>-5.1372579001019367E-2</v>
      </c>
      <c r="O144">
        <f t="shared" si="51"/>
        <v>0.25490347826086956</v>
      </c>
      <c r="P144">
        <f t="shared" si="52"/>
        <v>1.2246320862774713</v>
      </c>
      <c r="Q144">
        <f t="shared" si="53"/>
        <v>0.1331121832910295</v>
      </c>
      <c r="R144">
        <f t="shared" si="54"/>
        <v>1.379E-2</v>
      </c>
    </row>
    <row r="145" spans="1:18" x14ac:dyDescent="0.3">
      <c r="A145">
        <v>0.6</v>
      </c>
      <c r="B145">
        <v>60</v>
      </c>
      <c r="C145">
        <v>1</v>
      </c>
      <c r="D145" s="3">
        <v>13.8</v>
      </c>
      <c r="E145" s="1">
        <v>30.456</v>
      </c>
      <c r="F145" s="6">
        <f t="shared" si="58"/>
        <v>4.5311268715524031</v>
      </c>
      <c r="G145" s="7">
        <v>5.64</v>
      </c>
      <c r="H145" s="8">
        <v>1.379E-2</v>
      </c>
      <c r="I145" s="9">
        <f t="shared" si="50"/>
        <v>6.0916110655965987</v>
      </c>
      <c r="J145" s="7">
        <v>4.5</v>
      </c>
      <c r="K145" s="7">
        <v>2.2400000000000002</v>
      </c>
      <c r="L145" s="10">
        <f t="shared" si="55"/>
        <v>9.2325058555644652</v>
      </c>
      <c r="M145" s="12"/>
      <c r="N145" s="11">
        <f t="shared" si="59"/>
        <v>-0.43475637104994902</v>
      </c>
      <c r="O145">
        <f t="shared" si="51"/>
        <v>0.4943582608695653</v>
      </c>
      <c r="P145">
        <f t="shared" si="52"/>
        <v>3.5625660691708263</v>
      </c>
      <c r="Q145">
        <f t="shared" si="53"/>
        <v>0.25815696153411782</v>
      </c>
      <c r="R145">
        <f t="shared" si="54"/>
        <v>1.379E-2</v>
      </c>
    </row>
    <row r="146" spans="1:18" x14ac:dyDescent="0.3">
      <c r="A146">
        <v>0.6</v>
      </c>
      <c r="B146">
        <v>60</v>
      </c>
      <c r="C146">
        <v>1</v>
      </c>
      <c r="D146" s="3">
        <v>18.399999999999999</v>
      </c>
      <c r="E146" s="1">
        <v>30.456</v>
      </c>
      <c r="F146" s="6">
        <f t="shared" si="58"/>
        <v>6.0415024954032042</v>
      </c>
      <c r="G146" s="7">
        <v>5.64</v>
      </c>
      <c r="H146" s="8">
        <v>1.379E-2</v>
      </c>
      <c r="I146" s="9">
        <f t="shared" si="50"/>
        <v>8.122148087462131</v>
      </c>
      <c r="J146" s="7">
        <v>4.5</v>
      </c>
      <c r="K146" s="7">
        <v>3.98</v>
      </c>
      <c r="L146" s="10">
        <f t="shared" si="55"/>
        <v>4.6892055078925532</v>
      </c>
      <c r="M146" s="12"/>
      <c r="N146" s="11">
        <f t="shared" si="59"/>
        <v>-1.3725117227319061</v>
      </c>
      <c r="O146">
        <f t="shared" si="51"/>
        <v>0.65877652173913048</v>
      </c>
      <c r="P146">
        <f t="shared" si="52"/>
        <v>6.3299164979017348</v>
      </c>
      <c r="Q146">
        <f t="shared" si="53"/>
        <v>0.34401720097292038</v>
      </c>
      <c r="R146">
        <f t="shared" si="54"/>
        <v>1.379E-2</v>
      </c>
    </row>
    <row r="147" spans="1:18" x14ac:dyDescent="0.3">
      <c r="A147">
        <v>0.6</v>
      </c>
      <c r="B147">
        <v>60</v>
      </c>
      <c r="C147">
        <v>1</v>
      </c>
      <c r="D147" s="3">
        <v>23</v>
      </c>
      <c r="E147" s="1">
        <v>30.456</v>
      </c>
      <c r="F147" s="6">
        <f t="shared" si="58"/>
        <v>7.5518781192540052</v>
      </c>
      <c r="G147" s="7">
        <v>5.64</v>
      </c>
      <c r="H147" s="8">
        <v>1.379E-2</v>
      </c>
      <c r="I147" s="9">
        <f t="shared" si="50"/>
        <v>10.152685109327665</v>
      </c>
      <c r="J147" s="7">
        <v>4.5</v>
      </c>
      <c r="K147" s="7">
        <v>6.13</v>
      </c>
      <c r="L147" s="10">
        <f t="shared" si="55"/>
        <v>2.3531607736435061</v>
      </c>
      <c r="M147" s="12"/>
      <c r="N147" s="11">
        <f t="shared" si="59"/>
        <v>-3.2558985728848113</v>
      </c>
      <c r="O147">
        <f t="shared" si="51"/>
        <v>0.81171860869565227</v>
      </c>
      <c r="P147">
        <f t="shared" si="52"/>
        <v>9.7493437517933739</v>
      </c>
      <c r="Q147">
        <f t="shared" si="53"/>
        <v>0.42388451094753798</v>
      </c>
      <c r="R147">
        <f t="shared" si="54"/>
        <v>1.379E-2</v>
      </c>
    </row>
    <row r="148" spans="1:18" x14ac:dyDescent="0.3">
      <c r="A148">
        <v>0.6</v>
      </c>
      <c r="B148">
        <v>60</v>
      </c>
      <c r="C148">
        <v>1</v>
      </c>
      <c r="D148" s="3">
        <v>27.6</v>
      </c>
      <c r="E148" s="1">
        <v>30.456</v>
      </c>
      <c r="F148" s="6">
        <f t="shared" si="58"/>
        <v>9.0622537431048062</v>
      </c>
      <c r="G148" s="7">
        <v>5.64</v>
      </c>
      <c r="H148" s="8">
        <v>1.379E-2</v>
      </c>
      <c r="I148" s="9">
        <f t="shared" si="50"/>
        <v>12.183222131193197</v>
      </c>
      <c r="J148" s="7">
        <v>4.5</v>
      </c>
      <c r="K148" s="7">
        <v>6.8</v>
      </c>
      <c r="L148" s="10">
        <f t="shared" si="55"/>
        <v>1.454810721079169</v>
      </c>
      <c r="M148" s="12"/>
      <c r="N148" s="11">
        <f t="shared" si="59"/>
        <v>-4.0065239551478076</v>
      </c>
      <c r="O148">
        <f t="shared" si="51"/>
        <v>0.75036521739130435</v>
      </c>
      <c r="P148">
        <f t="shared" si="52"/>
        <v>10.814932709982862</v>
      </c>
      <c r="Q148">
        <f t="shared" si="53"/>
        <v>0.39184538804285729</v>
      </c>
      <c r="R148">
        <f t="shared" si="54"/>
        <v>1.379E-2</v>
      </c>
    </row>
    <row r="149" spans="1:18" x14ac:dyDescent="0.3">
      <c r="A149">
        <v>0.6</v>
      </c>
      <c r="B149">
        <v>60</v>
      </c>
      <c r="C149">
        <v>1</v>
      </c>
      <c r="D149" s="7">
        <v>32</v>
      </c>
      <c r="E149" s="1">
        <v>30.456</v>
      </c>
      <c r="F149" s="6">
        <f t="shared" si="58"/>
        <v>10.506960861570789</v>
      </c>
      <c r="G149" s="7">
        <v>5.64</v>
      </c>
      <c r="H149" s="8">
        <v>1.379E-2</v>
      </c>
      <c r="I149" s="9">
        <f t="shared" si="50"/>
        <v>14.125474934716749</v>
      </c>
      <c r="J149" s="7">
        <v>4.5</v>
      </c>
      <c r="K149" s="7">
        <v>8.44</v>
      </c>
      <c r="L149" s="10">
        <f t="shared" si="55"/>
        <v>0.69736441550850048</v>
      </c>
      <c r="M149" s="12"/>
      <c r="N149" s="11">
        <f t="shared" si="59"/>
        <v>-6.1721264016309876</v>
      </c>
      <c r="O149">
        <f t="shared" si="51"/>
        <v>0.80327700000000002</v>
      </c>
      <c r="P149">
        <f t="shared" si="52"/>
        <v>13.423240010625786</v>
      </c>
      <c r="Q149">
        <f t="shared" si="53"/>
        <v>0.41947625033205582</v>
      </c>
      <c r="R149">
        <f t="shared" si="54"/>
        <v>1.379E-2</v>
      </c>
    </row>
    <row r="150" spans="1:18" x14ac:dyDescent="0.3">
      <c r="A150">
        <v>0.6</v>
      </c>
      <c r="B150">
        <v>60</v>
      </c>
      <c r="C150">
        <v>2</v>
      </c>
      <c r="D150" s="3">
        <v>4.5999999999999996</v>
      </c>
      <c r="E150" s="1">
        <v>30.456</v>
      </c>
      <c r="F150" s="6">
        <f>(D150*10^-3)/(E150*10^-4)</f>
        <v>1.510375623850801</v>
      </c>
      <c r="G150" s="7">
        <v>5.64</v>
      </c>
      <c r="H150" s="8">
        <v>6.8950000000000001E-3</v>
      </c>
      <c r="I150" s="9">
        <f t="shared" si="50"/>
        <v>2.0305370218655328</v>
      </c>
      <c r="J150" s="7">
        <v>3</v>
      </c>
      <c r="K150" s="7">
        <v>0</v>
      </c>
      <c r="L150" s="10">
        <f t="shared" si="55"/>
        <v>86.83172107845688</v>
      </c>
      <c r="M150" s="12"/>
      <c r="N150" s="11">
        <f>-(1.7*K150^2)/19.62</f>
        <v>0</v>
      </c>
      <c r="O150">
        <f t="shared" si="51"/>
        <v>0</v>
      </c>
      <c r="P150">
        <f t="shared" si="52"/>
        <v>0</v>
      </c>
      <c r="Q150">
        <f t="shared" si="53"/>
        <v>0</v>
      </c>
      <c r="R150">
        <f t="shared" si="54"/>
        <v>1.379E-2</v>
      </c>
    </row>
    <row r="151" spans="1:18" x14ac:dyDescent="0.3">
      <c r="A151">
        <v>0.6</v>
      </c>
      <c r="B151">
        <v>60</v>
      </c>
      <c r="C151">
        <v>2</v>
      </c>
      <c r="D151" s="3">
        <v>9.1999999999999993</v>
      </c>
      <c r="E151" s="1">
        <v>30.456</v>
      </c>
      <c r="F151" s="6">
        <f t="shared" ref="F151:F156" si="60">(D151*10^-3)/(E151*10^-4)</f>
        <v>3.0207512477016021</v>
      </c>
      <c r="G151" s="7">
        <v>5.64</v>
      </c>
      <c r="H151" s="8">
        <v>6.8950000000000001E-3</v>
      </c>
      <c r="I151" s="9">
        <f t="shared" si="50"/>
        <v>4.0610740437310655</v>
      </c>
      <c r="J151" s="7">
        <v>4.5</v>
      </c>
      <c r="K151" s="7">
        <v>0.99</v>
      </c>
      <c r="L151" s="10">
        <f t="shared" si="55"/>
        <v>21.525335058375429</v>
      </c>
      <c r="M151" s="12"/>
      <c r="N151" s="11">
        <f t="shared" ref="N151:N156" si="61">-(1.7*K151^2)/19.62</f>
        <v>-8.492201834862384E-2</v>
      </c>
      <c r="O151">
        <f t="shared" si="51"/>
        <v>0.32773304347826088</v>
      </c>
      <c r="P151">
        <f t="shared" si="52"/>
        <v>1.5745269680710345</v>
      </c>
      <c r="Q151">
        <f t="shared" si="53"/>
        <v>0.17114423565989506</v>
      </c>
      <c r="R151">
        <f t="shared" si="54"/>
        <v>1.379E-2</v>
      </c>
    </row>
    <row r="152" spans="1:18" x14ac:dyDescent="0.3">
      <c r="A152">
        <v>0.6</v>
      </c>
      <c r="B152">
        <v>60</v>
      </c>
      <c r="C152">
        <v>2</v>
      </c>
      <c r="D152" s="3">
        <v>13.8</v>
      </c>
      <c r="E152" s="1">
        <v>30.456</v>
      </c>
      <c r="F152" s="6">
        <f t="shared" si="60"/>
        <v>4.5311268715524031</v>
      </c>
      <c r="G152" s="7">
        <v>5.64</v>
      </c>
      <c r="H152" s="8">
        <v>6.8950000000000001E-3</v>
      </c>
      <c r="I152" s="9">
        <f t="shared" si="50"/>
        <v>6.0916110655965987</v>
      </c>
      <c r="J152" s="7">
        <v>4.5</v>
      </c>
      <c r="K152" s="7">
        <v>2.52</v>
      </c>
      <c r="L152" s="10">
        <f t="shared" si="55"/>
        <v>9.1221484555082082</v>
      </c>
      <c r="M152" s="12"/>
      <c r="N152" s="11">
        <f t="shared" si="61"/>
        <v>-0.55023853211009177</v>
      </c>
      <c r="O152">
        <f t="shared" si="51"/>
        <v>0.55615304347826089</v>
      </c>
      <c r="P152">
        <f t="shared" si="52"/>
        <v>4.0078868278171784</v>
      </c>
      <c r="Q152">
        <f t="shared" si="53"/>
        <v>0.29042658172588248</v>
      </c>
      <c r="R152">
        <f t="shared" si="54"/>
        <v>1.379E-2</v>
      </c>
    </row>
    <row r="153" spans="1:18" x14ac:dyDescent="0.3">
      <c r="A153">
        <v>0.6</v>
      </c>
      <c r="B153">
        <v>60</v>
      </c>
      <c r="C153">
        <v>2</v>
      </c>
      <c r="D153" s="3">
        <v>18.399999999999999</v>
      </c>
      <c r="E153" s="1">
        <v>30.456</v>
      </c>
      <c r="F153" s="6">
        <f t="shared" si="60"/>
        <v>6.0415024954032042</v>
      </c>
      <c r="G153" s="7">
        <v>5.64</v>
      </c>
      <c r="H153" s="8">
        <v>6.8950000000000001E-3</v>
      </c>
      <c r="I153" s="9">
        <f t="shared" si="50"/>
        <v>8.122148087462131</v>
      </c>
      <c r="J153" s="7">
        <v>4.5</v>
      </c>
      <c r="K153" s="7">
        <v>4.54</v>
      </c>
      <c r="L153" s="10">
        <f t="shared" si="55"/>
        <v>4.4669837264767489</v>
      </c>
      <c r="M153" s="12"/>
      <c r="N153" s="11">
        <f t="shared" si="61"/>
        <v>-1.785918450560652</v>
      </c>
      <c r="O153">
        <f t="shared" si="51"/>
        <v>0.751468695652174</v>
      </c>
      <c r="P153">
        <f t="shared" si="52"/>
        <v>7.22055801519444</v>
      </c>
      <c r="Q153">
        <f t="shared" si="53"/>
        <v>0.39242163126056739</v>
      </c>
      <c r="R153">
        <f t="shared" si="54"/>
        <v>1.379E-2</v>
      </c>
    </row>
    <row r="154" spans="1:18" x14ac:dyDescent="0.3">
      <c r="A154">
        <v>0.6</v>
      </c>
      <c r="B154">
        <v>60</v>
      </c>
      <c r="C154">
        <v>2</v>
      </c>
      <c r="D154" s="3">
        <v>23</v>
      </c>
      <c r="E154" s="1">
        <v>30.456</v>
      </c>
      <c r="F154" s="6">
        <f t="shared" si="60"/>
        <v>7.5518781192540052</v>
      </c>
      <c r="G154" s="7">
        <v>5.64</v>
      </c>
      <c r="H154" s="8">
        <v>6.8950000000000001E-3</v>
      </c>
      <c r="I154" s="9">
        <f t="shared" si="50"/>
        <v>10.152685109327665</v>
      </c>
      <c r="J154" s="7">
        <v>4.5</v>
      </c>
      <c r="K154" s="7">
        <v>6.52</v>
      </c>
      <c r="L154" s="10">
        <f t="shared" si="55"/>
        <v>2.2061009267468101</v>
      </c>
      <c r="M154" s="12"/>
      <c r="N154" s="11">
        <f t="shared" si="61"/>
        <v>-3.6833679918450559</v>
      </c>
      <c r="O154">
        <f t="shared" si="51"/>
        <v>0.86336139130434786</v>
      </c>
      <c r="P154">
        <f t="shared" si="52"/>
        <v>10.369611951336509</v>
      </c>
      <c r="Q154">
        <f t="shared" si="53"/>
        <v>0.45085269353636998</v>
      </c>
      <c r="R154">
        <f t="shared" si="54"/>
        <v>1.379E-2</v>
      </c>
    </row>
    <row r="155" spans="1:18" x14ac:dyDescent="0.3">
      <c r="A155">
        <v>0.6</v>
      </c>
      <c r="B155">
        <v>60</v>
      </c>
      <c r="C155">
        <v>2</v>
      </c>
      <c r="D155" s="3">
        <v>27.6</v>
      </c>
      <c r="E155" s="1">
        <v>30.456</v>
      </c>
      <c r="F155" s="6">
        <f t="shared" si="60"/>
        <v>9.0622537431048062</v>
      </c>
      <c r="G155" s="7">
        <v>5.64</v>
      </c>
      <c r="H155" s="8">
        <v>6.8950000000000001E-3</v>
      </c>
      <c r="I155" s="9">
        <f t="shared" si="50"/>
        <v>12.183222131193197</v>
      </c>
      <c r="J155" s="7">
        <v>4.5</v>
      </c>
      <c r="K155" s="7">
        <v>7.67</v>
      </c>
      <c r="L155" s="10">
        <f t="shared" si="55"/>
        <v>1.1942168072195845</v>
      </c>
      <c r="M155" s="12"/>
      <c r="N155" s="11">
        <f t="shared" si="61"/>
        <v>-5.0973053007135576</v>
      </c>
      <c r="O155">
        <f t="shared" si="51"/>
        <v>0.8463678260869566</v>
      </c>
      <c r="P155">
        <f t="shared" si="52"/>
        <v>12.198607924348318</v>
      </c>
      <c r="Q155">
        <f t="shared" si="53"/>
        <v>0.44197854798363467</v>
      </c>
      <c r="R155">
        <f t="shared" si="54"/>
        <v>1.379E-2</v>
      </c>
    </row>
    <row r="156" spans="1:18" x14ac:dyDescent="0.3">
      <c r="A156">
        <v>0.6</v>
      </c>
      <c r="B156">
        <v>60</v>
      </c>
      <c r="C156">
        <v>2</v>
      </c>
      <c r="D156" s="7">
        <v>32</v>
      </c>
      <c r="E156" s="1">
        <v>30.456</v>
      </c>
      <c r="F156" s="6">
        <f t="shared" si="60"/>
        <v>10.506960861570789</v>
      </c>
      <c r="G156" s="7">
        <v>5.64</v>
      </c>
      <c r="H156" s="8">
        <v>6.8950000000000001E-3</v>
      </c>
      <c r="I156" s="9">
        <f t="shared" si="50"/>
        <v>14.125474934716749</v>
      </c>
      <c r="J156" s="7">
        <v>4.5</v>
      </c>
      <c r="K156" s="7">
        <v>9.68</v>
      </c>
      <c r="L156" s="10">
        <f t="shared" si="55"/>
        <v>0.35136563280660038</v>
      </c>
      <c r="M156" s="12"/>
      <c r="N156" s="11">
        <f t="shared" si="61"/>
        <v>-8.1189643221202843</v>
      </c>
      <c r="O156">
        <f t="shared" si="51"/>
        <v>0.92129400000000006</v>
      </c>
      <c r="P156">
        <f t="shared" si="52"/>
        <v>15.39537479891678</v>
      </c>
      <c r="Q156">
        <f t="shared" si="53"/>
        <v>0.48110546246614938</v>
      </c>
      <c r="R156">
        <f t="shared" si="54"/>
        <v>1.379E-2</v>
      </c>
    </row>
    <row r="157" spans="1:18" x14ac:dyDescent="0.3">
      <c r="A157">
        <v>0.6</v>
      </c>
      <c r="B157">
        <v>60</v>
      </c>
      <c r="C157">
        <v>4</v>
      </c>
      <c r="D157" s="3">
        <v>4.5999999999999996</v>
      </c>
      <c r="E157" s="1">
        <v>30.456</v>
      </c>
      <c r="F157" s="6">
        <f>(D157*10^-3)/(E157*10^-4)</f>
        <v>1.510375623850801</v>
      </c>
      <c r="G157" s="7">
        <v>5.64</v>
      </c>
      <c r="H157" s="8">
        <v>3.4475E-3</v>
      </c>
      <c r="I157" s="9">
        <f t="shared" si="50"/>
        <v>2.0305370218655328</v>
      </c>
      <c r="J157" s="7">
        <v>3</v>
      </c>
      <c r="K157" s="7">
        <v>0</v>
      </c>
      <c r="L157" s="10">
        <f t="shared" si="55"/>
        <v>86.83172107845688</v>
      </c>
      <c r="M157" s="12"/>
      <c r="N157" s="11">
        <f>-(1.7*K157^2)/19.62</f>
        <v>0</v>
      </c>
      <c r="O157">
        <f t="shared" si="51"/>
        <v>0</v>
      </c>
      <c r="P157">
        <f t="shared" si="52"/>
        <v>0</v>
      </c>
      <c r="Q157">
        <f t="shared" si="53"/>
        <v>0</v>
      </c>
      <c r="R157">
        <f t="shared" si="54"/>
        <v>1.379E-2</v>
      </c>
    </row>
    <row r="158" spans="1:18" x14ac:dyDescent="0.3">
      <c r="A158">
        <v>0.6</v>
      </c>
      <c r="B158">
        <v>60</v>
      </c>
      <c r="C158">
        <v>4</v>
      </c>
      <c r="D158" s="3">
        <v>9.1999999999999993</v>
      </c>
      <c r="E158" s="1">
        <v>30.456</v>
      </c>
      <c r="F158" s="6">
        <f t="shared" ref="F158:F163" si="62">(D158*10^-3)/(E158*10^-4)</f>
        <v>3.0207512477016021</v>
      </c>
      <c r="G158" s="7">
        <v>5.64</v>
      </c>
      <c r="H158" s="8">
        <v>3.4475E-3</v>
      </c>
      <c r="I158" s="9">
        <f t="shared" si="50"/>
        <v>4.0610740437310655</v>
      </c>
      <c r="J158" s="7">
        <v>3</v>
      </c>
      <c r="K158" s="7">
        <v>0.4</v>
      </c>
      <c r="L158" s="10">
        <f t="shared" si="55"/>
        <v>21.678121848230475</v>
      </c>
      <c r="M158" s="12"/>
      <c r="N158" s="11">
        <f t="shared" ref="N158:N163" si="63">-(1.7*K158^2)/19.62</f>
        <v>-1.3863404689092763E-2</v>
      </c>
      <c r="O158">
        <f t="shared" si="51"/>
        <v>0.13241739130434785</v>
      </c>
      <c r="P158">
        <f t="shared" si="52"/>
        <v>0.28274333882308139</v>
      </c>
      <c r="Q158">
        <f t="shared" si="53"/>
        <v>3.0732971611204501E-2</v>
      </c>
      <c r="R158">
        <f t="shared" si="54"/>
        <v>1.379E-2</v>
      </c>
    </row>
    <row r="159" spans="1:18" x14ac:dyDescent="0.3">
      <c r="A159">
        <v>0.6</v>
      </c>
      <c r="B159">
        <v>60</v>
      </c>
      <c r="C159">
        <v>4</v>
      </c>
      <c r="D159" s="3">
        <v>13.8</v>
      </c>
      <c r="E159" s="1">
        <v>30.456</v>
      </c>
      <c r="F159" s="6">
        <f t="shared" si="62"/>
        <v>4.5311268715524031</v>
      </c>
      <c r="G159" s="7">
        <v>5.64</v>
      </c>
      <c r="H159" s="8">
        <v>3.4475E-3</v>
      </c>
      <c r="I159" s="9">
        <f t="shared" si="50"/>
        <v>6.0916110655965987</v>
      </c>
      <c r="J159" s="7">
        <v>4.5</v>
      </c>
      <c r="K159" s="7">
        <v>1.51</v>
      </c>
      <c r="L159" s="10">
        <f t="shared" si="55"/>
        <v>9.4591740598366769</v>
      </c>
      <c r="M159" s="12"/>
      <c r="N159" s="11">
        <f t="shared" si="63"/>
        <v>-0.19756218144750254</v>
      </c>
      <c r="O159">
        <f t="shared" si="51"/>
        <v>0.33325043478260874</v>
      </c>
      <c r="P159">
        <f t="shared" si="52"/>
        <v>2.4015512341285472</v>
      </c>
      <c r="Q159">
        <f t="shared" si="53"/>
        <v>0.17402545174844544</v>
      </c>
      <c r="R159">
        <f t="shared" si="54"/>
        <v>1.379E-2</v>
      </c>
    </row>
    <row r="160" spans="1:18" x14ac:dyDescent="0.3">
      <c r="A160">
        <v>0.6</v>
      </c>
      <c r="B160">
        <v>60</v>
      </c>
      <c r="C160">
        <v>4</v>
      </c>
      <c r="D160" s="3">
        <v>18.399999999999999</v>
      </c>
      <c r="E160" s="1">
        <v>30.456</v>
      </c>
      <c r="F160" s="6">
        <f t="shared" si="62"/>
        <v>6.0415024954032042</v>
      </c>
      <c r="G160" s="7">
        <v>5.64</v>
      </c>
      <c r="H160" s="8">
        <v>3.4475E-3</v>
      </c>
      <c r="I160" s="9">
        <f t="shared" si="50"/>
        <v>8.122148087462131</v>
      </c>
      <c r="J160" s="7">
        <v>4.5</v>
      </c>
      <c r="K160" s="7">
        <v>1.98</v>
      </c>
      <c r="L160" s="10">
        <f t="shared" si="55"/>
        <v>5.2443873561647649</v>
      </c>
      <c r="M160" s="12"/>
      <c r="N160" s="11">
        <f t="shared" si="63"/>
        <v>-0.33968807339449536</v>
      </c>
      <c r="O160">
        <f t="shared" si="51"/>
        <v>0.32773304347826088</v>
      </c>
      <c r="P160">
        <f t="shared" si="52"/>
        <v>3.1490539361420691</v>
      </c>
      <c r="Q160">
        <f t="shared" si="53"/>
        <v>0.17114423565989506</v>
      </c>
      <c r="R160">
        <f t="shared" si="54"/>
        <v>1.379E-2</v>
      </c>
    </row>
    <row r="161" spans="1:18" x14ac:dyDescent="0.3">
      <c r="A161">
        <v>0.6</v>
      </c>
      <c r="B161">
        <v>60</v>
      </c>
      <c r="C161">
        <v>4</v>
      </c>
      <c r="D161" s="3">
        <v>23</v>
      </c>
      <c r="E161" s="1">
        <v>30.456</v>
      </c>
      <c r="F161" s="6">
        <f t="shared" si="62"/>
        <v>7.5518781192540052</v>
      </c>
      <c r="G161" s="7">
        <v>5.64</v>
      </c>
      <c r="H161" s="8">
        <v>3.4475E-3</v>
      </c>
      <c r="I161" s="9">
        <f t="shared" si="50"/>
        <v>10.152685109327665</v>
      </c>
      <c r="J161" s="7">
        <v>4.5</v>
      </c>
      <c r="K161" s="7">
        <v>2.81</v>
      </c>
      <c r="L161" s="10">
        <f t="shared" si="55"/>
        <v>3.2378985670501028</v>
      </c>
      <c r="M161" s="12"/>
      <c r="N161" s="11">
        <f t="shared" si="63"/>
        <v>-0.6841676860346585</v>
      </c>
      <c r="O161">
        <f t="shared" si="51"/>
        <v>0.37209286956521742</v>
      </c>
      <c r="P161">
        <f t="shared" si="52"/>
        <v>4.4691118992723293</v>
      </c>
      <c r="Q161">
        <f t="shared" si="53"/>
        <v>0.1943092130118404</v>
      </c>
      <c r="R161">
        <f t="shared" si="54"/>
        <v>1.379E-2</v>
      </c>
    </row>
    <row r="162" spans="1:18" x14ac:dyDescent="0.3">
      <c r="A162">
        <v>0.6</v>
      </c>
      <c r="B162">
        <v>60</v>
      </c>
      <c r="C162">
        <v>4</v>
      </c>
      <c r="D162" s="3">
        <v>27.6</v>
      </c>
      <c r="E162" s="1">
        <v>30.456</v>
      </c>
      <c r="F162" s="6">
        <f t="shared" si="62"/>
        <v>9.0622537431048062</v>
      </c>
      <c r="G162" s="7">
        <v>5.64</v>
      </c>
      <c r="H162" s="8">
        <v>3.4475E-3</v>
      </c>
      <c r="I162" s="9">
        <f t="shared" si="50"/>
        <v>12.183222131193197</v>
      </c>
      <c r="J162" s="7">
        <v>4.5</v>
      </c>
      <c r="K162" s="7">
        <v>3.82</v>
      </c>
      <c r="L162" s="10">
        <f t="shared" si="55"/>
        <v>2.1099253020403785</v>
      </c>
      <c r="M162" s="12"/>
      <c r="N162" s="11">
        <f t="shared" si="63"/>
        <v>-1.2643771661569825</v>
      </c>
      <c r="O162">
        <f t="shared" si="51"/>
        <v>0.42152869565217393</v>
      </c>
      <c r="P162">
        <f t="shared" si="52"/>
        <v>6.0754474929609605</v>
      </c>
      <c r="Q162">
        <f t="shared" si="53"/>
        <v>0.22012490916525218</v>
      </c>
      <c r="R162">
        <f t="shared" si="54"/>
        <v>1.379E-2</v>
      </c>
    </row>
    <row r="163" spans="1:18" x14ac:dyDescent="0.3">
      <c r="A163">
        <v>0.6</v>
      </c>
      <c r="B163">
        <v>60</v>
      </c>
      <c r="C163">
        <v>4</v>
      </c>
      <c r="D163" s="7">
        <v>32.299999999999997</v>
      </c>
      <c r="E163" s="1">
        <v>30.456</v>
      </c>
      <c r="F163" s="6">
        <f t="shared" si="62"/>
        <v>10.605463619648015</v>
      </c>
      <c r="G163" s="7">
        <v>5.64</v>
      </c>
      <c r="H163" s="8">
        <v>3.4475E-3</v>
      </c>
      <c r="I163" s="9">
        <f t="shared" si="50"/>
        <v>14.257901262229719</v>
      </c>
      <c r="J163" s="7">
        <v>4.5</v>
      </c>
      <c r="K163" s="7">
        <v>4.5599999999999996</v>
      </c>
      <c r="L163" s="10">
        <f t="shared" si="55"/>
        <v>1.4468384775488932</v>
      </c>
      <c r="M163" s="12"/>
      <c r="N163" s="11">
        <f t="shared" si="63"/>
        <v>-1.8016880733944949</v>
      </c>
      <c r="O163">
        <f t="shared" si="51"/>
        <v>0.42996705882352942</v>
      </c>
      <c r="P163">
        <f t="shared" si="52"/>
        <v>7.2523666408120366</v>
      </c>
      <c r="Q163">
        <f t="shared" si="53"/>
        <v>0.22453147494774109</v>
      </c>
      <c r="R163">
        <f t="shared" si="54"/>
        <v>1.379E-2</v>
      </c>
    </row>
    <row r="164" spans="1:18" x14ac:dyDescent="0.3">
      <c r="A164">
        <v>0.6</v>
      </c>
      <c r="B164">
        <v>60</v>
      </c>
      <c r="C164">
        <v>6</v>
      </c>
      <c r="D164" s="3">
        <v>4.5999999999999996</v>
      </c>
      <c r="E164" s="1">
        <v>30.456</v>
      </c>
      <c r="F164" s="6">
        <f>(D164*10^-3)/(E164*10^-4)</f>
        <v>1.510375623850801</v>
      </c>
      <c r="G164" s="7">
        <v>5.64</v>
      </c>
      <c r="H164" s="8">
        <v>2.2983299999999999E-3</v>
      </c>
      <c r="I164" s="9">
        <f t="shared" si="50"/>
        <v>2.0305370218655328</v>
      </c>
      <c r="J164" s="7">
        <v>3</v>
      </c>
      <c r="K164" s="7">
        <v>0</v>
      </c>
      <c r="L164" s="10">
        <f t="shared" si="55"/>
        <v>86.83172107845688</v>
      </c>
      <c r="M164" s="12"/>
      <c r="N164" s="11">
        <f>-(1.7*K164^2)/19.62</f>
        <v>0</v>
      </c>
      <c r="O164">
        <f t="shared" si="51"/>
        <v>0</v>
      </c>
      <c r="P164">
        <f t="shared" si="52"/>
        <v>0</v>
      </c>
      <c r="Q164">
        <f t="shared" si="53"/>
        <v>0</v>
      </c>
      <c r="R164">
        <f t="shared" si="54"/>
        <v>1.378998E-2</v>
      </c>
    </row>
    <row r="165" spans="1:18" x14ac:dyDescent="0.3">
      <c r="A165">
        <v>0.6</v>
      </c>
      <c r="B165">
        <v>60</v>
      </c>
      <c r="C165">
        <v>6</v>
      </c>
      <c r="D165" s="3">
        <v>9.1999999999999993</v>
      </c>
      <c r="E165" s="1">
        <v>30.456</v>
      </c>
      <c r="F165" s="6">
        <f t="shared" ref="F165:F228" si="64">(D165*10^-3)/(E165*10^-4)</f>
        <v>3.0207512477016021</v>
      </c>
      <c r="G165" s="7">
        <v>5.64</v>
      </c>
      <c r="H165" s="8">
        <v>2.2983299999999999E-3</v>
      </c>
      <c r="I165" s="9">
        <f t="shared" si="50"/>
        <v>4.0610740437310655</v>
      </c>
      <c r="J165" s="7">
        <v>3</v>
      </c>
      <c r="K165" s="7">
        <v>0</v>
      </c>
      <c r="L165" s="10">
        <f t="shared" si="55"/>
        <v>21.70793026961422</v>
      </c>
      <c r="M165" s="12"/>
      <c r="N165" s="11">
        <f t="shared" ref="N165:N170" si="65">-(1.7*K165^2)/19.62</f>
        <v>0</v>
      </c>
      <c r="O165">
        <f t="shared" si="51"/>
        <v>0</v>
      </c>
      <c r="P165">
        <f t="shared" si="52"/>
        <v>0</v>
      </c>
      <c r="Q165">
        <f t="shared" si="53"/>
        <v>0</v>
      </c>
      <c r="R165">
        <f t="shared" si="54"/>
        <v>1.378998E-2</v>
      </c>
    </row>
    <row r="166" spans="1:18" x14ac:dyDescent="0.3">
      <c r="A166">
        <v>0.6</v>
      </c>
      <c r="B166">
        <v>60</v>
      </c>
      <c r="C166">
        <v>6</v>
      </c>
      <c r="D166" s="3">
        <v>13.8</v>
      </c>
      <c r="E166" s="1">
        <v>30.456</v>
      </c>
      <c r="F166" s="6">
        <f t="shared" si="64"/>
        <v>4.5311268715524031</v>
      </c>
      <c r="G166" s="7">
        <v>5.64</v>
      </c>
      <c r="H166" s="8">
        <v>2.2983299999999999E-3</v>
      </c>
      <c r="I166" s="9">
        <f t="shared" si="50"/>
        <v>6.0916110655965987</v>
      </c>
      <c r="J166" s="7">
        <v>3</v>
      </c>
      <c r="K166" s="7">
        <v>0</v>
      </c>
      <c r="L166" s="10">
        <f t="shared" si="55"/>
        <v>9.6479690087174319</v>
      </c>
      <c r="M166" s="12"/>
      <c r="N166" s="11">
        <f t="shared" si="65"/>
        <v>0</v>
      </c>
      <c r="O166">
        <f t="shared" si="51"/>
        <v>0</v>
      </c>
      <c r="P166">
        <f t="shared" si="52"/>
        <v>0</v>
      </c>
      <c r="Q166">
        <f t="shared" si="53"/>
        <v>0</v>
      </c>
      <c r="R166">
        <f t="shared" si="54"/>
        <v>1.378998E-2</v>
      </c>
    </row>
    <row r="167" spans="1:18" x14ac:dyDescent="0.3">
      <c r="A167">
        <v>0.6</v>
      </c>
      <c r="B167">
        <v>60</v>
      </c>
      <c r="C167">
        <v>6</v>
      </c>
      <c r="D167" s="3">
        <v>18.399999999999999</v>
      </c>
      <c r="E167" s="1">
        <v>30.456</v>
      </c>
      <c r="F167" s="6">
        <f t="shared" si="64"/>
        <v>6.0415024954032042</v>
      </c>
      <c r="G167" s="7">
        <v>5.64</v>
      </c>
      <c r="H167" s="8">
        <v>2.2983299999999999E-3</v>
      </c>
      <c r="I167" s="9">
        <f t="shared" si="50"/>
        <v>8.122148087462131</v>
      </c>
      <c r="J167" s="7">
        <v>3</v>
      </c>
      <c r="K167" s="7">
        <v>0.8</v>
      </c>
      <c r="L167" s="10">
        <f t="shared" si="55"/>
        <v>5.3971741460198119</v>
      </c>
      <c r="M167" s="12"/>
      <c r="N167" s="11">
        <f t="shared" si="65"/>
        <v>-5.5453618756371052E-2</v>
      </c>
      <c r="O167">
        <f t="shared" si="51"/>
        <v>0.13241739130434785</v>
      </c>
      <c r="P167">
        <f t="shared" si="52"/>
        <v>0.56548667764616278</v>
      </c>
      <c r="Q167">
        <f t="shared" si="53"/>
        <v>3.0732971611204501E-2</v>
      </c>
      <c r="R167">
        <f t="shared" si="54"/>
        <v>1.378998E-2</v>
      </c>
    </row>
    <row r="168" spans="1:18" x14ac:dyDescent="0.3">
      <c r="A168">
        <v>0.6</v>
      </c>
      <c r="B168">
        <v>60</v>
      </c>
      <c r="C168">
        <v>6</v>
      </c>
      <c r="D168" s="3">
        <v>23</v>
      </c>
      <c r="E168" s="1">
        <v>30.456</v>
      </c>
      <c r="F168" s="6">
        <f t="shared" si="64"/>
        <v>7.5518781192540052</v>
      </c>
      <c r="G168" s="7">
        <v>5.64</v>
      </c>
      <c r="H168" s="8">
        <v>2.2983299999999999E-3</v>
      </c>
      <c r="I168" s="9">
        <f t="shared" si="50"/>
        <v>10.152685109327665</v>
      </c>
      <c r="J168" s="7">
        <v>3</v>
      </c>
      <c r="K168" s="7">
        <v>1.85</v>
      </c>
      <c r="L168" s="10">
        <f t="shared" si="55"/>
        <v>3.3712495209524151</v>
      </c>
      <c r="M168" s="12"/>
      <c r="N168" s="11">
        <f t="shared" si="65"/>
        <v>-0.29654689092762487</v>
      </c>
      <c r="O168">
        <f t="shared" si="51"/>
        <v>0.24497217391304352</v>
      </c>
      <c r="P168">
        <f t="shared" si="52"/>
        <v>1.3076879420567513</v>
      </c>
      <c r="Q168">
        <f t="shared" si="53"/>
        <v>5.6855997480728317E-2</v>
      </c>
      <c r="R168">
        <f t="shared" si="54"/>
        <v>1.378998E-2</v>
      </c>
    </row>
    <row r="169" spans="1:18" x14ac:dyDescent="0.3">
      <c r="A169">
        <v>0.6</v>
      </c>
      <c r="B169">
        <v>60</v>
      </c>
      <c r="C169">
        <v>6</v>
      </c>
      <c r="D169" s="3">
        <v>27.6</v>
      </c>
      <c r="E169" s="1">
        <v>30.456</v>
      </c>
      <c r="F169" s="6">
        <f t="shared" si="64"/>
        <v>9.0622537431048062</v>
      </c>
      <c r="G169" s="7">
        <v>5.64</v>
      </c>
      <c r="H169" s="8">
        <v>2.2983299999999999E-3</v>
      </c>
      <c r="I169" s="9">
        <f t="shared" si="50"/>
        <v>12.183222131193197</v>
      </c>
      <c r="J169" s="7">
        <v>4.5</v>
      </c>
      <c r="K169" s="7">
        <v>1.2</v>
      </c>
      <c r="L169" s="10">
        <f t="shared" si="55"/>
        <v>2.3821838307956154</v>
      </c>
      <c r="M169" s="12"/>
      <c r="N169" s="11">
        <f t="shared" si="65"/>
        <v>-0.12477064220183486</v>
      </c>
      <c r="O169">
        <f t="shared" si="51"/>
        <v>0.13241739130434782</v>
      </c>
      <c r="P169">
        <f t="shared" si="52"/>
        <v>1.9085175370557994</v>
      </c>
      <c r="Q169">
        <f t="shared" si="53"/>
        <v>6.9149186125210121E-2</v>
      </c>
      <c r="R169">
        <f t="shared" si="54"/>
        <v>1.378998E-2</v>
      </c>
    </row>
    <row r="170" spans="1:18" x14ac:dyDescent="0.3">
      <c r="A170">
        <v>0.6</v>
      </c>
      <c r="B170">
        <v>60</v>
      </c>
      <c r="C170">
        <v>6</v>
      </c>
      <c r="D170" s="7">
        <v>31.5</v>
      </c>
      <c r="E170" s="1">
        <v>30.456</v>
      </c>
      <c r="F170" s="6">
        <f t="shared" si="64"/>
        <v>10.342789598108746</v>
      </c>
      <c r="G170" s="7">
        <v>5.64</v>
      </c>
      <c r="H170" s="8">
        <v>2.2983299999999999E-3</v>
      </c>
      <c r="I170" s="9">
        <f t="shared" si="50"/>
        <v>13.904764388861802</v>
      </c>
      <c r="J170" s="7">
        <v>4.5</v>
      </c>
      <c r="K170" s="7">
        <v>1.56</v>
      </c>
      <c r="L170" s="10">
        <f t="shared" si="55"/>
        <v>1.8130356456803267</v>
      </c>
      <c r="M170" s="12"/>
      <c r="N170" s="11">
        <f t="shared" si="65"/>
        <v>-0.21086238532110094</v>
      </c>
      <c r="O170">
        <f t="shared" si="51"/>
        <v>0.15082971428571429</v>
      </c>
      <c r="P170">
        <f t="shared" si="52"/>
        <v>2.4810727981725389</v>
      </c>
      <c r="Q170">
        <f t="shared" si="53"/>
        <v>7.8764215815001232E-2</v>
      </c>
      <c r="R170">
        <f t="shared" si="54"/>
        <v>1.378998E-2</v>
      </c>
    </row>
    <row r="171" spans="1:18" x14ac:dyDescent="0.3">
      <c r="A171">
        <f>100/60</f>
        <v>1.6666666666666667</v>
      </c>
      <c r="B171">
        <v>10</v>
      </c>
      <c r="C171">
        <v>1</v>
      </c>
      <c r="D171" s="15">
        <v>1.6</v>
      </c>
      <c r="E171" s="1">
        <v>5.0759999999999996</v>
      </c>
      <c r="F171" s="6">
        <f t="shared" si="64"/>
        <v>3.1520882584712373</v>
      </c>
      <c r="G171" s="9">
        <v>0.54</v>
      </c>
      <c r="H171" s="8">
        <v>2.5500000000000002E-3</v>
      </c>
      <c r="I171" s="9">
        <f t="shared" si="50"/>
        <v>13.695156063493128</v>
      </c>
      <c r="J171" s="16">
        <v>4.5</v>
      </c>
      <c r="K171" s="7">
        <v>0.48</v>
      </c>
      <c r="L171" s="10">
        <f t="shared" si="55"/>
        <v>19.897201822140001</v>
      </c>
      <c r="M171" s="12"/>
      <c r="N171" s="11">
        <f>-(1.7*K171^2)/19.62</f>
        <v>-1.9963302752293577E-2</v>
      </c>
      <c r="O171">
        <f t="shared" si="51"/>
        <v>0.15228</v>
      </c>
      <c r="P171">
        <f t="shared" si="52"/>
        <v>0.76340701482231965</v>
      </c>
      <c r="Q171">
        <f t="shared" si="53"/>
        <v>0.47712938426394974</v>
      </c>
      <c r="R171">
        <f t="shared" si="54"/>
        <v>2.5500000000000002E-3</v>
      </c>
    </row>
    <row r="172" spans="1:18" x14ac:dyDescent="0.3">
      <c r="A172">
        <f t="shared" ref="A172:A235" si="66">100/60</f>
        <v>1.6666666666666667</v>
      </c>
      <c r="B172">
        <v>10</v>
      </c>
      <c r="C172">
        <v>1</v>
      </c>
      <c r="D172" s="15">
        <v>3.2</v>
      </c>
      <c r="E172" s="1">
        <v>5.0759999999999996</v>
      </c>
      <c r="F172" s="6">
        <f t="shared" si="64"/>
        <v>6.3041765169424746</v>
      </c>
      <c r="G172" s="9">
        <v>0.54</v>
      </c>
      <c r="H172" s="8">
        <v>2.5500000000000002E-3</v>
      </c>
      <c r="I172" s="9">
        <f t="shared" si="50"/>
        <v>27.390312126986256</v>
      </c>
      <c r="J172" s="16">
        <v>4.5</v>
      </c>
      <c r="K172" s="7">
        <v>1.85</v>
      </c>
      <c r="L172" s="10">
        <f t="shared" si="55"/>
        <v>4.8377576947260943</v>
      </c>
      <c r="M172" s="12"/>
      <c r="N172" s="11">
        <f t="shared" ref="N172:N177" si="67">-(1.7*K172^2)/19.62</f>
        <v>-0.29654689092762487</v>
      </c>
      <c r="O172">
        <f t="shared" si="51"/>
        <v>0.29345625000000003</v>
      </c>
      <c r="P172">
        <f t="shared" si="52"/>
        <v>2.9422978696276907</v>
      </c>
      <c r="Q172">
        <f t="shared" si="53"/>
        <v>0.91946808425865334</v>
      </c>
      <c r="R172">
        <f t="shared" si="54"/>
        <v>2.5500000000000002E-3</v>
      </c>
    </row>
    <row r="173" spans="1:18" x14ac:dyDescent="0.3">
      <c r="A173">
        <f t="shared" si="66"/>
        <v>1.6666666666666667</v>
      </c>
      <c r="B173">
        <v>10</v>
      </c>
      <c r="C173">
        <v>1</v>
      </c>
      <c r="D173" s="15">
        <v>4.8</v>
      </c>
      <c r="E173" s="1">
        <v>5.0759999999999996</v>
      </c>
      <c r="F173" s="6">
        <f t="shared" si="64"/>
        <v>9.456264775413711</v>
      </c>
      <c r="G173" s="9">
        <v>0.54</v>
      </c>
      <c r="H173" s="8">
        <v>2.5500000000000002E-3</v>
      </c>
      <c r="I173" s="9">
        <f t="shared" si="50"/>
        <v>41.085468190479375</v>
      </c>
      <c r="J173" s="16">
        <v>4.5</v>
      </c>
      <c r="K173" s="7">
        <v>3.7</v>
      </c>
      <c r="L173" s="10">
        <f t="shared" si="55"/>
        <v>1.9549169708175005</v>
      </c>
      <c r="M173" s="12"/>
      <c r="N173" s="11">
        <f t="shared" si="67"/>
        <v>-1.1861875637104995</v>
      </c>
      <c r="O173">
        <f t="shared" si="51"/>
        <v>0.39127500000000004</v>
      </c>
      <c r="P173">
        <f t="shared" si="52"/>
        <v>5.8845957392553814</v>
      </c>
      <c r="Q173">
        <f t="shared" si="53"/>
        <v>1.2259574456782045</v>
      </c>
      <c r="R173">
        <f t="shared" si="54"/>
        <v>2.5500000000000002E-3</v>
      </c>
    </row>
    <row r="174" spans="1:18" x14ac:dyDescent="0.3">
      <c r="A174">
        <f t="shared" si="66"/>
        <v>1.6666666666666667</v>
      </c>
      <c r="B174">
        <v>10</v>
      </c>
      <c r="C174">
        <v>1</v>
      </c>
      <c r="D174" s="15">
        <v>6.4</v>
      </c>
      <c r="E174" s="1">
        <v>5.0759999999999996</v>
      </c>
      <c r="F174" s="6">
        <f t="shared" si="64"/>
        <v>12.608353033884949</v>
      </c>
      <c r="G174" s="9">
        <v>0.54</v>
      </c>
      <c r="H174" s="8">
        <v>2.5500000000000002E-3</v>
      </c>
      <c r="I174" s="9">
        <f t="shared" si="50"/>
        <v>54.780624253972512</v>
      </c>
      <c r="J174" s="16">
        <v>4.5</v>
      </c>
      <c r="K174" s="7">
        <v>6.62</v>
      </c>
      <c r="L174" s="10">
        <f t="shared" si="55"/>
        <v>0.77738944342359384</v>
      </c>
      <c r="M174" s="12"/>
      <c r="N174" s="11">
        <f t="shared" si="67"/>
        <v>-3.7972212028542303</v>
      </c>
      <c r="O174">
        <f t="shared" si="51"/>
        <v>0.52504874999999995</v>
      </c>
      <c r="P174">
        <f t="shared" si="52"/>
        <v>10.528655079424492</v>
      </c>
      <c r="Q174">
        <f t="shared" si="53"/>
        <v>1.6451023561600768</v>
      </c>
      <c r="R174">
        <f t="shared" si="54"/>
        <v>2.5500000000000002E-3</v>
      </c>
    </row>
    <row r="175" spans="1:18" x14ac:dyDescent="0.3">
      <c r="A175">
        <f t="shared" si="66"/>
        <v>1.6666666666666667</v>
      </c>
      <c r="B175">
        <v>10</v>
      </c>
      <c r="C175">
        <v>1</v>
      </c>
      <c r="D175" s="15">
        <v>8</v>
      </c>
      <c r="E175" s="1">
        <v>5.0759999999999996</v>
      </c>
      <c r="F175" s="6">
        <f t="shared" si="64"/>
        <v>15.760441292356187</v>
      </c>
      <c r="G175" s="9">
        <v>0.54</v>
      </c>
      <c r="H175" s="8">
        <v>2.5500000000000002E-3</v>
      </c>
      <c r="I175" s="9">
        <f t="shared" si="50"/>
        <v>68.475780317465635</v>
      </c>
      <c r="J175" s="16">
        <v>4.5</v>
      </c>
      <c r="K175" s="7">
        <v>8.8800000000000008</v>
      </c>
      <c r="L175" s="10">
        <f t="shared" si="55"/>
        <v>0.25778272401359986</v>
      </c>
      <c r="M175" s="12"/>
      <c r="N175" s="11">
        <f t="shared" si="67"/>
        <v>-6.8324403669724783</v>
      </c>
      <c r="O175">
        <f t="shared" si="51"/>
        <v>0.56343600000000005</v>
      </c>
      <c r="P175">
        <f t="shared" si="52"/>
        <v>14.123029774212915</v>
      </c>
      <c r="Q175">
        <f t="shared" si="53"/>
        <v>1.7653787217766144</v>
      </c>
      <c r="R175">
        <f t="shared" si="54"/>
        <v>2.5500000000000002E-3</v>
      </c>
    </row>
    <row r="176" spans="1:18" x14ac:dyDescent="0.3">
      <c r="A176">
        <f t="shared" si="66"/>
        <v>1.6666666666666667</v>
      </c>
      <c r="B176">
        <v>10</v>
      </c>
      <c r="C176">
        <v>1</v>
      </c>
      <c r="D176" s="15">
        <v>9.6</v>
      </c>
      <c r="E176" s="1">
        <v>5.0759999999999996</v>
      </c>
      <c r="F176" s="6">
        <f t="shared" si="64"/>
        <v>18.912529550827422</v>
      </c>
      <c r="G176" s="9">
        <v>0.54</v>
      </c>
      <c r="H176" s="8">
        <v>2.5500000000000002E-3</v>
      </c>
      <c r="I176" s="9">
        <f t="shared" si="50"/>
        <v>82.17093638095875</v>
      </c>
      <c r="J176" s="16">
        <v>4.5</v>
      </c>
      <c r="K176" s="7">
        <v>11.36</v>
      </c>
      <c r="L176" s="10">
        <f t="shared" si="55"/>
        <v>-5.9552044424999957E-2</v>
      </c>
      <c r="M176" s="12"/>
      <c r="N176" s="11">
        <f t="shared" si="67"/>
        <v>-11.181667686034658</v>
      </c>
      <c r="O176">
        <f t="shared" si="51"/>
        <v>0.60065999999999997</v>
      </c>
      <c r="P176">
        <f t="shared" si="52"/>
        <v>18.067299350794901</v>
      </c>
      <c r="Q176">
        <f t="shared" si="53"/>
        <v>1.8820103490411355</v>
      </c>
      <c r="R176">
        <f t="shared" si="54"/>
        <v>2.5500000000000002E-3</v>
      </c>
    </row>
    <row r="177" spans="1:18" x14ac:dyDescent="0.3">
      <c r="A177">
        <f t="shared" si="66"/>
        <v>1.6666666666666667</v>
      </c>
      <c r="B177">
        <v>10</v>
      </c>
      <c r="C177">
        <v>1</v>
      </c>
      <c r="D177" s="16">
        <v>9.8000000000000007</v>
      </c>
      <c r="E177" s="1">
        <v>5.0759999999999996</v>
      </c>
      <c r="F177" s="6">
        <f t="shared" si="64"/>
        <v>19.306540583136332</v>
      </c>
      <c r="G177" s="9">
        <v>0.54</v>
      </c>
      <c r="H177" s="8">
        <v>2.5500000000000002E-3</v>
      </c>
      <c r="I177" s="9">
        <f t="shared" si="50"/>
        <v>83.882830888895427</v>
      </c>
      <c r="J177" s="16">
        <v>4.5</v>
      </c>
      <c r="K177" s="7">
        <v>11.66</v>
      </c>
      <c r="L177" s="10">
        <f t="shared" si="55"/>
        <v>-8.8642961767596729E-2</v>
      </c>
      <c r="M177" s="12"/>
      <c r="N177" s="11">
        <f t="shared" si="67"/>
        <v>-11.780046890927624</v>
      </c>
      <c r="O177">
        <f t="shared" si="51"/>
        <v>0.60394040816326522</v>
      </c>
      <c r="P177">
        <f t="shared" si="52"/>
        <v>18.544428735058851</v>
      </c>
      <c r="Q177">
        <f t="shared" si="53"/>
        <v>1.8922886464345765</v>
      </c>
      <c r="R177">
        <f t="shared" si="54"/>
        <v>2.5500000000000002E-3</v>
      </c>
    </row>
    <row r="178" spans="1:18" x14ac:dyDescent="0.3">
      <c r="A178">
        <f t="shared" si="66"/>
        <v>1.6666666666666667</v>
      </c>
      <c r="B178">
        <v>10</v>
      </c>
      <c r="C178">
        <v>2</v>
      </c>
      <c r="D178" s="15">
        <v>1.6</v>
      </c>
      <c r="E178" s="1">
        <v>5.0759999999999996</v>
      </c>
      <c r="F178" s="6">
        <f t="shared" si="64"/>
        <v>3.1520882584712373</v>
      </c>
      <c r="G178" s="9">
        <v>0.54</v>
      </c>
      <c r="H178" s="8">
        <v>1.2750000000000001E-3</v>
      </c>
      <c r="I178" s="9">
        <f t="shared" si="50"/>
        <v>13.695156063493128</v>
      </c>
      <c r="J178" s="16">
        <v>4.5</v>
      </c>
      <c r="K178" s="7">
        <v>0.99</v>
      </c>
      <c r="L178" s="10">
        <f t="shared" si="55"/>
        <v>19.768927510209373</v>
      </c>
      <c r="M178" s="12"/>
      <c r="N178" s="11">
        <f>-(1.7*K178^2)/19.62</f>
        <v>-8.492201834862384E-2</v>
      </c>
      <c r="O178">
        <f t="shared" si="51"/>
        <v>0.31407750000000001</v>
      </c>
      <c r="P178">
        <f t="shared" si="52"/>
        <v>1.5745269680710345</v>
      </c>
      <c r="Q178">
        <f t="shared" si="53"/>
        <v>0.98407935504439659</v>
      </c>
      <c r="R178">
        <f t="shared" si="54"/>
        <v>2.5500000000000002E-3</v>
      </c>
    </row>
    <row r="179" spans="1:18" x14ac:dyDescent="0.3">
      <c r="A179">
        <f t="shared" si="66"/>
        <v>1.6666666666666667</v>
      </c>
      <c r="B179">
        <v>10</v>
      </c>
      <c r="C179">
        <v>2</v>
      </c>
      <c r="D179" s="15">
        <v>3.2</v>
      </c>
      <c r="E179" s="1">
        <v>5.0759999999999996</v>
      </c>
      <c r="F179" s="6">
        <f t="shared" si="64"/>
        <v>6.3041765169424746</v>
      </c>
      <c r="G179" s="9">
        <v>0.54</v>
      </c>
      <c r="H179" s="8">
        <v>1.2750000000000001E-3</v>
      </c>
      <c r="I179" s="9">
        <f t="shared" si="50"/>
        <v>27.390312126986256</v>
      </c>
      <c r="J179" s="16">
        <v>4.5</v>
      </c>
      <c r="K179" s="7">
        <v>2.75</v>
      </c>
      <c r="L179" s="10">
        <f t="shared" si="55"/>
        <v>4.6606683085073435</v>
      </c>
      <c r="M179" s="12"/>
      <c r="N179" s="11">
        <f t="shared" ref="N179:N184" si="68">-(1.7*K179^2)/19.62</f>
        <v>-0.65526248725790004</v>
      </c>
      <c r="O179">
        <f t="shared" si="51"/>
        <v>0.43621874999999999</v>
      </c>
      <c r="P179">
        <f t="shared" si="52"/>
        <v>4.3736860224195393</v>
      </c>
      <c r="Q179">
        <f t="shared" si="53"/>
        <v>1.3667768820061059</v>
      </c>
      <c r="R179">
        <f t="shared" si="54"/>
        <v>2.5500000000000002E-3</v>
      </c>
    </row>
    <row r="180" spans="1:18" x14ac:dyDescent="0.3">
      <c r="A180">
        <f t="shared" si="66"/>
        <v>1.6666666666666667</v>
      </c>
      <c r="B180">
        <v>10</v>
      </c>
      <c r="C180">
        <v>2</v>
      </c>
      <c r="D180" s="15">
        <v>4.8</v>
      </c>
      <c r="E180" s="1">
        <v>5.0759999999999996</v>
      </c>
      <c r="F180" s="6">
        <f t="shared" si="64"/>
        <v>9.456264775413711</v>
      </c>
      <c r="G180" s="9">
        <v>0.54</v>
      </c>
      <c r="H180" s="8">
        <v>1.2750000000000001E-3</v>
      </c>
      <c r="I180" s="9">
        <f t="shared" si="50"/>
        <v>41.085468190479375</v>
      </c>
      <c r="J180" s="16">
        <v>4.5</v>
      </c>
      <c r="K180" s="7">
        <v>5.29</v>
      </c>
      <c r="L180" s="10">
        <f t="shared" si="55"/>
        <v>1.6831688875593753</v>
      </c>
      <c r="M180" s="12"/>
      <c r="N180" s="11">
        <f t="shared" si="68"/>
        <v>-2.4247181447502548</v>
      </c>
      <c r="O180">
        <f t="shared" si="51"/>
        <v>0.55941750000000001</v>
      </c>
      <c r="P180">
        <f t="shared" si="52"/>
        <v>8.4133814758543153</v>
      </c>
      <c r="Q180">
        <f t="shared" si="53"/>
        <v>1.752787807469649</v>
      </c>
      <c r="R180">
        <f t="shared" si="54"/>
        <v>2.5500000000000002E-3</v>
      </c>
    </row>
    <row r="181" spans="1:18" x14ac:dyDescent="0.3">
      <c r="A181">
        <f t="shared" si="66"/>
        <v>1.6666666666666667</v>
      </c>
      <c r="B181">
        <v>10</v>
      </c>
      <c r="C181">
        <v>2</v>
      </c>
      <c r="D181" s="15">
        <v>6.4</v>
      </c>
      <c r="E181" s="1">
        <v>5.0759999999999996</v>
      </c>
      <c r="F181" s="6">
        <f t="shared" si="64"/>
        <v>12.608353033884949</v>
      </c>
      <c r="G181" s="9">
        <v>0.54</v>
      </c>
      <c r="H181" s="8">
        <v>1.2750000000000001E-3</v>
      </c>
      <c r="I181" s="9">
        <f t="shared" si="50"/>
        <v>54.780624253972512</v>
      </c>
      <c r="J181" s="16">
        <v>4.5</v>
      </c>
      <c r="K181" s="7">
        <v>10.94</v>
      </c>
      <c r="L181" s="10">
        <f t="shared" si="55"/>
        <v>-3.3833936228905959E-2</v>
      </c>
      <c r="M181" s="12"/>
      <c r="N181" s="11">
        <f t="shared" si="68"/>
        <v>-10.370138634046889</v>
      </c>
      <c r="O181">
        <f t="shared" si="51"/>
        <v>0.86767874999999994</v>
      </c>
      <c r="P181">
        <f t="shared" si="52"/>
        <v>17.399318212825371</v>
      </c>
      <c r="Q181">
        <f t="shared" si="53"/>
        <v>2.718643470753964</v>
      </c>
      <c r="R181">
        <f t="shared" si="54"/>
        <v>2.5500000000000002E-3</v>
      </c>
    </row>
    <row r="182" spans="1:18" x14ac:dyDescent="0.3">
      <c r="A182">
        <f t="shared" si="66"/>
        <v>1.6666666666666667</v>
      </c>
      <c r="B182">
        <v>10</v>
      </c>
      <c r="C182">
        <v>2</v>
      </c>
      <c r="D182" s="15">
        <v>8</v>
      </c>
      <c r="E182" s="1">
        <v>5.0759999999999996</v>
      </c>
      <c r="F182" s="6">
        <f t="shared" si="64"/>
        <v>15.760441292356187</v>
      </c>
      <c r="G182" s="9">
        <v>0.54</v>
      </c>
      <c r="H182" s="8">
        <v>1.2750000000000001E-3</v>
      </c>
      <c r="I182" s="9">
        <f t="shared" si="50"/>
        <v>68.475780317465635</v>
      </c>
      <c r="J182" s="16">
        <v>4.5</v>
      </c>
      <c r="K182" s="7">
        <v>13.5</v>
      </c>
      <c r="L182" s="10">
        <f t="shared" si="55"/>
        <v>-0.44986030368569979</v>
      </c>
      <c r="M182" s="12"/>
      <c r="N182" s="11">
        <f t="shared" si="68"/>
        <v>-15.791284403669723</v>
      </c>
      <c r="O182">
        <f t="shared" si="51"/>
        <v>0.85657499999999998</v>
      </c>
      <c r="P182">
        <f t="shared" si="52"/>
        <v>21.470822291877742</v>
      </c>
      <c r="Q182">
        <f t="shared" si="53"/>
        <v>2.6838527864847177</v>
      </c>
      <c r="R182">
        <f t="shared" si="54"/>
        <v>2.5500000000000002E-3</v>
      </c>
    </row>
    <row r="183" spans="1:18" x14ac:dyDescent="0.3">
      <c r="A183">
        <f t="shared" si="66"/>
        <v>1.6666666666666667</v>
      </c>
      <c r="B183">
        <v>10</v>
      </c>
      <c r="C183">
        <v>2</v>
      </c>
      <c r="D183" s="15">
        <v>9.6</v>
      </c>
      <c r="E183" s="1">
        <v>5.0759999999999996</v>
      </c>
      <c r="F183" s="6">
        <f t="shared" si="64"/>
        <v>18.912529550827422</v>
      </c>
      <c r="G183" s="9">
        <v>0.54</v>
      </c>
      <c r="H183" s="8">
        <v>1.2750000000000001E-3</v>
      </c>
      <c r="I183" s="9">
        <f t="shared" si="50"/>
        <v>82.17093638095875</v>
      </c>
      <c r="J183" s="16">
        <v>4.5</v>
      </c>
      <c r="K183" s="7">
        <v>17.82</v>
      </c>
      <c r="L183" s="10">
        <f t="shared" si="55"/>
        <v>-0.95546844680062548</v>
      </c>
      <c r="M183" s="12"/>
      <c r="N183" s="11">
        <f t="shared" si="68"/>
        <v>-27.514733944954131</v>
      </c>
      <c r="O183">
        <f t="shared" si="51"/>
        <v>0.94223250000000003</v>
      </c>
      <c r="P183">
        <f t="shared" si="52"/>
        <v>28.34148542527862</v>
      </c>
      <c r="Q183">
        <f t="shared" si="53"/>
        <v>2.9522380651331899</v>
      </c>
      <c r="R183">
        <f t="shared" si="54"/>
        <v>2.5500000000000002E-3</v>
      </c>
    </row>
    <row r="184" spans="1:18" x14ac:dyDescent="0.3">
      <c r="A184">
        <f t="shared" si="66"/>
        <v>1.6666666666666667</v>
      </c>
      <c r="B184">
        <v>10</v>
      </c>
      <c r="C184">
        <v>2</v>
      </c>
      <c r="D184" s="16">
        <v>9.8000000000000007</v>
      </c>
      <c r="E184" s="1">
        <v>5.0759999999999996</v>
      </c>
      <c r="F184" s="6">
        <f t="shared" si="64"/>
        <v>19.306540583136332</v>
      </c>
      <c r="G184" s="9">
        <v>0.54</v>
      </c>
      <c r="H184" s="8">
        <v>1.2750000000000001E-3</v>
      </c>
      <c r="I184" s="9">
        <f t="shared" si="50"/>
        <v>83.882830888895427</v>
      </c>
      <c r="J184" s="16">
        <v>4.5</v>
      </c>
      <c r="K184" s="7">
        <v>18.21</v>
      </c>
      <c r="L184" s="10">
        <f t="shared" si="55"/>
        <v>-0.98095452192494748</v>
      </c>
      <c r="M184" s="12"/>
      <c r="N184" s="11">
        <f t="shared" si="68"/>
        <v>-28.732261467889909</v>
      </c>
      <c r="O184">
        <f t="shared" si="51"/>
        <v>0.9432036734693876</v>
      </c>
      <c r="P184">
        <f t="shared" si="52"/>
        <v>28.961753624821757</v>
      </c>
      <c r="Q184">
        <f t="shared" si="53"/>
        <v>2.9552809821246688</v>
      </c>
      <c r="R184">
        <f t="shared" si="54"/>
        <v>2.5500000000000002E-3</v>
      </c>
    </row>
    <row r="185" spans="1:18" x14ac:dyDescent="0.3">
      <c r="A185">
        <f t="shared" si="66"/>
        <v>1.6666666666666667</v>
      </c>
      <c r="B185">
        <v>10</v>
      </c>
      <c r="C185">
        <v>4</v>
      </c>
      <c r="D185" s="15">
        <v>1.6</v>
      </c>
      <c r="E185" s="1">
        <v>5.0759999999999996</v>
      </c>
      <c r="F185" s="6">
        <f t="shared" si="64"/>
        <v>3.1520882584712373</v>
      </c>
      <c r="G185" s="9">
        <v>0.54</v>
      </c>
      <c r="H185" s="8">
        <v>6.3750000000000005E-4</v>
      </c>
      <c r="I185" s="9">
        <f t="shared" si="50"/>
        <v>13.695156063493128</v>
      </c>
      <c r="J185" s="16">
        <v>3</v>
      </c>
      <c r="K185" s="7">
        <v>0</v>
      </c>
      <c r="L185" s="10">
        <f t="shared" si="55"/>
        <v>19.936623459420002</v>
      </c>
      <c r="M185" s="12"/>
      <c r="N185" s="11">
        <f>-(1.7*K185^2)/19.62</f>
        <v>0</v>
      </c>
      <c r="O185">
        <f t="shared" si="51"/>
        <v>0</v>
      </c>
      <c r="P185">
        <f t="shared" si="52"/>
        <v>0</v>
      </c>
      <c r="Q185">
        <f t="shared" si="53"/>
        <v>0</v>
      </c>
      <c r="R185">
        <f t="shared" si="54"/>
        <v>2.5500000000000002E-3</v>
      </c>
    </row>
    <row r="186" spans="1:18" x14ac:dyDescent="0.3">
      <c r="A186">
        <f t="shared" si="66"/>
        <v>1.6666666666666667</v>
      </c>
      <c r="B186">
        <v>10</v>
      </c>
      <c r="C186">
        <v>4</v>
      </c>
      <c r="D186" s="15">
        <v>3.2</v>
      </c>
      <c r="E186" s="1">
        <v>5.0759999999999996</v>
      </c>
      <c r="F186" s="6">
        <f t="shared" si="64"/>
        <v>6.3041765169424746</v>
      </c>
      <c r="G186" s="9">
        <v>0.54</v>
      </c>
      <c r="H186" s="8">
        <v>6.3750000000000005E-4</v>
      </c>
      <c r="I186" s="9">
        <f t="shared" si="50"/>
        <v>27.390312126986256</v>
      </c>
      <c r="J186" s="16">
        <v>4.5</v>
      </c>
      <c r="K186" s="7">
        <v>3.29</v>
      </c>
      <c r="L186" s="10">
        <f t="shared" si="55"/>
        <v>4.5211526703210936</v>
      </c>
      <c r="M186" s="12"/>
      <c r="N186" s="11">
        <f t="shared" ref="N186:N191" si="69">-(1.7*K186^2)/19.62</f>
        <v>-0.93786799184505587</v>
      </c>
      <c r="O186">
        <f t="shared" si="51"/>
        <v>0.52187625000000004</v>
      </c>
      <c r="P186">
        <f t="shared" si="52"/>
        <v>5.2325189140946495</v>
      </c>
      <c r="Q186">
        <f t="shared" si="53"/>
        <v>1.6351621606545779</v>
      </c>
      <c r="R186">
        <f t="shared" si="54"/>
        <v>2.5500000000000002E-3</v>
      </c>
    </row>
    <row r="187" spans="1:18" x14ac:dyDescent="0.3">
      <c r="A187">
        <f t="shared" si="66"/>
        <v>1.6666666666666667</v>
      </c>
      <c r="B187">
        <v>10</v>
      </c>
      <c r="C187">
        <v>4</v>
      </c>
      <c r="D187" s="15">
        <v>4.8</v>
      </c>
      <c r="E187" s="1">
        <v>5.0759999999999996</v>
      </c>
      <c r="F187" s="6">
        <f t="shared" si="64"/>
        <v>9.456264775413711</v>
      </c>
      <c r="G187" s="9">
        <v>0.54</v>
      </c>
      <c r="H187" s="8">
        <v>6.3750000000000005E-4</v>
      </c>
      <c r="I187" s="9">
        <f t="shared" si="50"/>
        <v>41.085468190479375</v>
      </c>
      <c r="J187" s="16">
        <v>4.5</v>
      </c>
      <c r="K187" s="7">
        <v>6.87</v>
      </c>
      <c r="L187" s="10">
        <f t="shared" si="55"/>
        <v>1.3179103841193753</v>
      </c>
      <c r="M187" s="12"/>
      <c r="N187" s="11">
        <f t="shared" si="69"/>
        <v>-4.0894357798165135</v>
      </c>
      <c r="O187">
        <f t="shared" si="51"/>
        <v>0.72650250000000005</v>
      </c>
      <c r="P187">
        <f t="shared" si="52"/>
        <v>10.926262899644453</v>
      </c>
      <c r="Q187">
        <f t="shared" si="53"/>
        <v>2.276304770759261</v>
      </c>
      <c r="R187">
        <f t="shared" si="54"/>
        <v>2.5500000000000002E-3</v>
      </c>
    </row>
    <row r="188" spans="1:18" x14ac:dyDescent="0.3">
      <c r="A188">
        <f t="shared" si="66"/>
        <v>1.6666666666666667</v>
      </c>
      <c r="B188">
        <v>10</v>
      </c>
      <c r="C188">
        <v>4</v>
      </c>
      <c r="D188" s="15">
        <v>6.4</v>
      </c>
      <c r="E188" s="1">
        <v>5.0759999999999996</v>
      </c>
      <c r="F188" s="6">
        <f t="shared" si="64"/>
        <v>12.608353033884949</v>
      </c>
      <c r="G188" s="9">
        <v>0.54</v>
      </c>
      <c r="H188" s="8">
        <v>6.3750000000000005E-4</v>
      </c>
      <c r="I188" s="9">
        <f t="shared" si="50"/>
        <v>54.780624253972512</v>
      </c>
      <c r="J188" s="16">
        <v>4.5</v>
      </c>
      <c r="K188" s="7">
        <v>12</v>
      </c>
      <c r="L188" s="10">
        <f t="shared" si="55"/>
        <v>-0.29386874003624974</v>
      </c>
      <c r="M188" s="12"/>
      <c r="N188" s="11">
        <f t="shared" si="69"/>
        <v>-12.477064220183484</v>
      </c>
      <c r="O188">
        <f t="shared" si="51"/>
        <v>0.95174999999999998</v>
      </c>
      <c r="P188">
        <f t="shared" si="52"/>
        <v>19.085175370557995</v>
      </c>
      <c r="Q188">
        <f t="shared" si="53"/>
        <v>2.9820586516496865</v>
      </c>
      <c r="R188">
        <f t="shared" si="54"/>
        <v>2.5500000000000002E-3</v>
      </c>
    </row>
    <row r="189" spans="1:18" x14ac:dyDescent="0.3">
      <c r="A189">
        <f t="shared" si="66"/>
        <v>1.6666666666666667</v>
      </c>
      <c r="B189">
        <v>10</v>
      </c>
      <c r="C189">
        <v>4</v>
      </c>
      <c r="D189" s="15">
        <v>8</v>
      </c>
      <c r="E189" s="1">
        <v>5.0759999999999996</v>
      </c>
      <c r="F189" s="6">
        <f t="shared" si="64"/>
        <v>15.760441292356187</v>
      </c>
      <c r="G189" s="9">
        <v>0.54</v>
      </c>
      <c r="H189" s="8">
        <v>6.3750000000000005E-4</v>
      </c>
      <c r="I189" s="9">
        <f t="shared" si="50"/>
        <v>68.475780317465635</v>
      </c>
      <c r="J189" s="16">
        <v>4.5</v>
      </c>
      <c r="K189" s="7">
        <v>17.170000000000002</v>
      </c>
      <c r="L189" s="10">
        <f t="shared" si="55"/>
        <v>-1.2202172704280252</v>
      </c>
      <c r="M189" s="12"/>
      <c r="N189" s="11">
        <f t="shared" si="69"/>
        <v>-25.544094291539249</v>
      </c>
      <c r="O189">
        <f t="shared" si="51"/>
        <v>1.0894364999999999</v>
      </c>
      <c r="P189">
        <f t="shared" si="52"/>
        <v>27.307705092706733</v>
      </c>
      <c r="Q189">
        <f t="shared" si="53"/>
        <v>3.4134631365883417</v>
      </c>
      <c r="R189">
        <f t="shared" si="54"/>
        <v>2.5500000000000002E-3</v>
      </c>
    </row>
    <row r="190" spans="1:18" x14ac:dyDescent="0.3">
      <c r="A190">
        <f t="shared" si="66"/>
        <v>1.6666666666666667</v>
      </c>
      <c r="B190">
        <v>10</v>
      </c>
      <c r="C190">
        <v>4</v>
      </c>
      <c r="D190" s="15">
        <v>9.6</v>
      </c>
      <c r="E190" s="1">
        <v>5.0759999999999996</v>
      </c>
      <c r="F190" s="6">
        <f t="shared" si="64"/>
        <v>18.912529550827422</v>
      </c>
      <c r="G190" s="9">
        <v>0.54</v>
      </c>
      <c r="H190" s="8">
        <v>6.3750000000000005E-4</v>
      </c>
      <c r="I190" s="9">
        <f t="shared" si="50"/>
        <v>82.17093638095875</v>
      </c>
      <c r="J190" s="16">
        <v>4.5</v>
      </c>
      <c r="K190" s="7">
        <v>25.09</v>
      </c>
      <c r="L190" s="10">
        <f t="shared" si="55"/>
        <v>-2.4381319851914065</v>
      </c>
      <c r="M190" s="12"/>
      <c r="N190" s="11">
        <f t="shared" si="69"/>
        <v>-54.544534658511715</v>
      </c>
      <c r="O190">
        <f t="shared" si="51"/>
        <v>1.3266337500000001</v>
      </c>
      <c r="P190">
        <f t="shared" si="52"/>
        <v>39.90392083727501</v>
      </c>
      <c r="Q190">
        <f t="shared" si="53"/>
        <v>4.1566584205494808</v>
      </c>
      <c r="R190">
        <f t="shared" si="54"/>
        <v>2.5500000000000002E-3</v>
      </c>
    </row>
    <row r="191" spans="1:18" x14ac:dyDescent="0.3">
      <c r="A191">
        <f t="shared" si="66"/>
        <v>1.6666666666666667</v>
      </c>
      <c r="B191">
        <v>10</v>
      </c>
      <c r="C191">
        <v>4</v>
      </c>
      <c r="D191" s="16">
        <v>9.8000000000000007</v>
      </c>
      <c r="E191" s="1">
        <v>5.0759999999999996</v>
      </c>
      <c r="F191" s="6">
        <f t="shared" si="64"/>
        <v>19.306540583136332</v>
      </c>
      <c r="G191" s="9">
        <v>0.54</v>
      </c>
      <c r="H191" s="8">
        <v>6.3750000000000005E-4</v>
      </c>
      <c r="I191" s="9">
        <f t="shared" si="50"/>
        <v>83.882830888895427</v>
      </c>
      <c r="J191" s="16">
        <v>4.5</v>
      </c>
      <c r="K191" s="7">
        <v>25.74</v>
      </c>
      <c r="L191" s="10">
        <f t="shared" si="55"/>
        <v>-2.490318052996916</v>
      </c>
      <c r="M191" s="12"/>
      <c r="N191" s="11">
        <f t="shared" si="69"/>
        <v>-57.407284403669706</v>
      </c>
      <c r="O191">
        <f t="shared" si="51"/>
        <v>1.3332269387755098</v>
      </c>
      <c r="P191">
        <f t="shared" si="52"/>
        <v>40.937701169846896</v>
      </c>
      <c r="Q191">
        <f t="shared" si="53"/>
        <v>4.1773164459027443</v>
      </c>
      <c r="R191">
        <f t="shared" si="54"/>
        <v>2.5500000000000002E-3</v>
      </c>
    </row>
    <row r="192" spans="1:18" x14ac:dyDescent="0.3">
      <c r="A192">
        <f t="shared" si="66"/>
        <v>1.6666666666666667</v>
      </c>
      <c r="B192">
        <v>10</v>
      </c>
      <c r="C192">
        <v>6</v>
      </c>
      <c r="D192" s="15">
        <v>1.6</v>
      </c>
      <c r="E192" s="1">
        <v>5.0759999999999996</v>
      </c>
      <c r="F192" s="6">
        <f t="shared" si="64"/>
        <v>3.1520882584712373</v>
      </c>
      <c r="G192" s="9">
        <v>0.54</v>
      </c>
      <c r="H192" s="8">
        <v>4.2499999999999998E-4</v>
      </c>
      <c r="I192" s="9">
        <f t="shared" si="50"/>
        <v>13.695156063493128</v>
      </c>
      <c r="J192" s="16">
        <v>3</v>
      </c>
      <c r="K192" s="7">
        <v>0</v>
      </c>
      <c r="L192" s="10">
        <f t="shared" si="55"/>
        <v>19.936623459420002</v>
      </c>
      <c r="M192" s="12"/>
      <c r="N192" s="11">
        <f>-(1.7*K192^2)/19.62</f>
        <v>0</v>
      </c>
      <c r="O192">
        <f t="shared" si="51"/>
        <v>0</v>
      </c>
      <c r="P192">
        <f t="shared" si="52"/>
        <v>0</v>
      </c>
      <c r="Q192">
        <f t="shared" si="53"/>
        <v>0</v>
      </c>
      <c r="R192">
        <f t="shared" si="54"/>
        <v>2.5499999999999997E-3</v>
      </c>
    </row>
    <row r="193" spans="1:18" x14ac:dyDescent="0.3">
      <c r="A193">
        <f t="shared" si="66"/>
        <v>1.6666666666666667</v>
      </c>
      <c r="B193">
        <v>10</v>
      </c>
      <c r="C193">
        <v>6</v>
      </c>
      <c r="D193" s="15">
        <v>3.2</v>
      </c>
      <c r="E193" s="1">
        <v>5.0759999999999996</v>
      </c>
      <c r="F193" s="6">
        <f t="shared" si="64"/>
        <v>6.3041765169424746</v>
      </c>
      <c r="G193" s="9">
        <v>0.54</v>
      </c>
      <c r="H193" s="8">
        <v>4.2499999999999998E-4</v>
      </c>
      <c r="I193" s="9">
        <f t="shared" si="50"/>
        <v>27.390312126986256</v>
      </c>
      <c r="J193" s="16">
        <v>4.5</v>
      </c>
      <c r="K193" s="7">
        <v>2.65</v>
      </c>
      <c r="L193" s="10">
        <f t="shared" si="55"/>
        <v>4.6837669241010937</v>
      </c>
      <c r="M193" s="12"/>
      <c r="N193" s="11">
        <f t="shared" ref="N193:N198" si="70">-(1.7*K193^2)/19.62</f>
        <v>-0.60847349643221205</v>
      </c>
      <c r="O193">
        <f t="shared" si="51"/>
        <v>0.42035624999999999</v>
      </c>
      <c r="P193">
        <f t="shared" si="52"/>
        <v>4.2146428943315559</v>
      </c>
      <c r="Q193">
        <f t="shared" si="53"/>
        <v>1.3170759044786111</v>
      </c>
      <c r="R193">
        <f t="shared" si="54"/>
        <v>2.5499999999999997E-3</v>
      </c>
    </row>
    <row r="194" spans="1:18" x14ac:dyDescent="0.3">
      <c r="A194">
        <f t="shared" si="66"/>
        <v>1.6666666666666667</v>
      </c>
      <c r="B194">
        <v>10</v>
      </c>
      <c r="C194">
        <v>6</v>
      </c>
      <c r="D194" s="15">
        <v>4.8</v>
      </c>
      <c r="E194" s="1">
        <v>5.0759999999999996</v>
      </c>
      <c r="F194" s="6">
        <f t="shared" si="64"/>
        <v>9.456264775413711</v>
      </c>
      <c r="G194" s="9">
        <v>0.54</v>
      </c>
      <c r="H194" s="8">
        <v>4.2499999999999998E-4</v>
      </c>
      <c r="I194" s="9">
        <f t="shared" si="50"/>
        <v>41.085468190479375</v>
      </c>
      <c r="J194" s="16">
        <v>4.5</v>
      </c>
      <c r="K194" s="7">
        <v>6.23</v>
      </c>
      <c r="L194" s="10">
        <f t="shared" si="55"/>
        <v>1.4773003373193752</v>
      </c>
      <c r="M194" s="12"/>
      <c r="N194" s="11">
        <f t="shared" si="70"/>
        <v>-3.3629933741080533</v>
      </c>
      <c r="O194">
        <f t="shared" si="51"/>
        <v>0.65882250000000009</v>
      </c>
      <c r="P194">
        <f t="shared" si="52"/>
        <v>9.908386879881359</v>
      </c>
      <c r="Q194">
        <f t="shared" si="53"/>
        <v>2.0642472666419498</v>
      </c>
      <c r="R194">
        <f t="shared" si="54"/>
        <v>2.5499999999999997E-3</v>
      </c>
    </row>
    <row r="195" spans="1:18" x14ac:dyDescent="0.3">
      <c r="A195">
        <f t="shared" si="66"/>
        <v>1.6666666666666667</v>
      </c>
      <c r="B195">
        <v>10</v>
      </c>
      <c r="C195">
        <v>6</v>
      </c>
      <c r="D195" s="15">
        <v>6.4</v>
      </c>
      <c r="E195" s="1">
        <v>5.0759999999999996</v>
      </c>
      <c r="F195" s="6">
        <f t="shared" si="64"/>
        <v>12.608353033884949</v>
      </c>
      <c r="G195" s="9">
        <v>0.54</v>
      </c>
      <c r="H195" s="8">
        <v>4.2499999999999998E-4</v>
      </c>
      <c r="I195" s="9">
        <f t="shared" ref="I195:I258" si="71">(F195)/((9.81*G195*10^-2))^(1/2)</f>
        <v>54.780624253972512</v>
      </c>
      <c r="J195" s="16">
        <v>4.5</v>
      </c>
      <c r="K195" s="7">
        <v>11.34</v>
      </c>
      <c r="L195" s="10">
        <f t="shared" si="55"/>
        <v>-0.12913711316015614</v>
      </c>
      <c r="M195" s="12"/>
      <c r="N195" s="11">
        <f t="shared" si="70"/>
        <v>-11.142330275229357</v>
      </c>
      <c r="O195">
        <f t="shared" si="51"/>
        <v>0.89940374999999995</v>
      </c>
      <c r="P195">
        <f t="shared" si="52"/>
        <v>18.035490725177304</v>
      </c>
      <c r="Q195">
        <f t="shared" si="53"/>
        <v>2.8180454258089536</v>
      </c>
      <c r="R195">
        <f t="shared" si="54"/>
        <v>2.5499999999999997E-3</v>
      </c>
    </row>
    <row r="196" spans="1:18" x14ac:dyDescent="0.3">
      <c r="A196">
        <f t="shared" si="66"/>
        <v>1.6666666666666667</v>
      </c>
      <c r="B196">
        <v>10</v>
      </c>
      <c r="C196">
        <v>6</v>
      </c>
      <c r="D196" s="15">
        <v>8</v>
      </c>
      <c r="E196" s="1">
        <v>5.0759999999999996</v>
      </c>
      <c r="F196" s="6">
        <f t="shared" si="64"/>
        <v>15.760441292356187</v>
      </c>
      <c r="G196" s="9">
        <v>0.54</v>
      </c>
      <c r="H196" s="8">
        <v>4.2499999999999998E-4</v>
      </c>
      <c r="I196" s="9">
        <f t="shared" si="71"/>
        <v>68.475780317465635</v>
      </c>
      <c r="J196" s="16">
        <v>4.5</v>
      </c>
      <c r="K196" s="7">
        <v>17.48</v>
      </c>
      <c r="L196" s="10">
        <f t="shared" si="55"/>
        <v>-1.2937324643243999</v>
      </c>
      <c r="M196" s="12"/>
      <c r="N196" s="11">
        <f t="shared" si="70"/>
        <v>-26.474805300713559</v>
      </c>
      <c r="O196">
        <f t="shared" ref="O196:O259" si="72">K196/F196</f>
        <v>1.1091059999999999</v>
      </c>
      <c r="P196">
        <f t="shared" ref="P196:P259" si="73">K196*PI()*(J196^2)/40</f>
        <v>27.80073878977948</v>
      </c>
      <c r="Q196">
        <f t="shared" ref="Q196:Q259" si="74">P196/D196</f>
        <v>3.475092348722435</v>
      </c>
      <c r="R196">
        <f t="shared" ref="R196:R259" si="75">C196*H196</f>
        <v>2.5499999999999997E-3</v>
      </c>
    </row>
    <row r="197" spans="1:18" x14ac:dyDescent="0.3">
      <c r="A197">
        <f t="shared" si="66"/>
        <v>1.6666666666666667</v>
      </c>
      <c r="B197">
        <v>10</v>
      </c>
      <c r="C197">
        <v>6</v>
      </c>
      <c r="D197" s="15">
        <v>9.6</v>
      </c>
      <c r="E197" s="1">
        <v>5.0759999999999996</v>
      </c>
      <c r="F197" s="6">
        <f t="shared" si="64"/>
        <v>18.912529550827422</v>
      </c>
      <c r="G197" s="9">
        <v>0.54</v>
      </c>
      <c r="H197" s="8">
        <v>4.2499999999999998E-4</v>
      </c>
      <c r="I197" s="9">
        <f t="shared" si="71"/>
        <v>82.17093638095875</v>
      </c>
      <c r="J197" s="16">
        <v>4.5</v>
      </c>
      <c r="K197" s="7">
        <v>23.78</v>
      </c>
      <c r="L197" s="10">
        <f t="shared" ref="L197:L260" si="76">(10.33+N197-0.234)/((F197^2)/19.62)</f>
        <v>-2.133859055000626</v>
      </c>
      <c r="M197" s="12"/>
      <c r="N197" s="11">
        <f t="shared" si="70"/>
        <v>-48.997465851172279</v>
      </c>
      <c r="O197">
        <f t="shared" si="72"/>
        <v>1.2573675000000002</v>
      </c>
      <c r="P197">
        <f t="shared" si="73"/>
        <v>37.820455859322422</v>
      </c>
      <c r="Q197">
        <f t="shared" si="74"/>
        <v>3.9396308186794191</v>
      </c>
      <c r="R197">
        <f t="shared" si="75"/>
        <v>2.5499999999999997E-3</v>
      </c>
    </row>
    <row r="198" spans="1:18" x14ac:dyDescent="0.3">
      <c r="A198">
        <f t="shared" si="66"/>
        <v>1.6666666666666667</v>
      </c>
      <c r="B198">
        <v>10</v>
      </c>
      <c r="C198">
        <v>6</v>
      </c>
      <c r="D198" s="16">
        <v>9.8000000000000007</v>
      </c>
      <c r="E198" s="1">
        <v>5.0759999999999996</v>
      </c>
      <c r="F198" s="6">
        <f t="shared" si="64"/>
        <v>19.306540583136332</v>
      </c>
      <c r="G198" s="9">
        <v>0.54</v>
      </c>
      <c r="H198" s="8">
        <v>4.2499999999999998E-4</v>
      </c>
      <c r="I198" s="9">
        <f t="shared" si="71"/>
        <v>83.882830888895427</v>
      </c>
      <c r="J198" s="16">
        <v>4.5</v>
      </c>
      <c r="K198" s="7">
        <v>24.2</v>
      </c>
      <c r="L198" s="10">
        <f t="shared" si="76"/>
        <v>-2.1395587037355757</v>
      </c>
      <c r="M198" s="12"/>
      <c r="N198" s="11">
        <f t="shared" si="70"/>
        <v>-50.743527013251779</v>
      </c>
      <c r="O198">
        <f t="shared" si="72"/>
        <v>1.2534612244897956</v>
      </c>
      <c r="P198">
        <f t="shared" si="73"/>
        <v>38.488436997291956</v>
      </c>
      <c r="Q198">
        <f t="shared" si="74"/>
        <v>3.9273915303359135</v>
      </c>
      <c r="R198">
        <f t="shared" si="75"/>
        <v>2.5499999999999997E-3</v>
      </c>
    </row>
    <row r="199" spans="1:18" x14ac:dyDescent="0.3">
      <c r="A199">
        <f t="shared" si="66"/>
        <v>1.6666666666666667</v>
      </c>
      <c r="B199">
        <v>15</v>
      </c>
      <c r="C199">
        <v>1</v>
      </c>
      <c r="D199" s="15">
        <v>1.9</v>
      </c>
      <c r="E199" s="1">
        <v>7.6139999999999999</v>
      </c>
      <c r="F199" s="6">
        <f t="shared" si="64"/>
        <v>2.4954032046230625</v>
      </c>
      <c r="G199" s="9">
        <v>0.81</v>
      </c>
      <c r="H199" s="8">
        <v>3.7299999999999998E-3</v>
      </c>
      <c r="I199" s="9">
        <f t="shared" si="71"/>
        <v>8.8524547467150541</v>
      </c>
      <c r="J199" s="16">
        <v>3</v>
      </c>
      <c r="K199" s="7">
        <v>0</v>
      </c>
      <c r="L199" s="10">
        <f t="shared" si="76"/>
        <v>31.810235769046876</v>
      </c>
      <c r="M199" s="12"/>
      <c r="N199" s="11">
        <f>-(1.7*K199^2)/19.62</f>
        <v>0</v>
      </c>
      <c r="O199">
        <f t="shared" si="72"/>
        <v>0</v>
      </c>
      <c r="P199">
        <f t="shared" si="73"/>
        <v>0</v>
      </c>
      <c r="Q199">
        <f t="shared" si="74"/>
        <v>0</v>
      </c>
      <c r="R199">
        <f t="shared" si="75"/>
        <v>3.7299999999999998E-3</v>
      </c>
    </row>
    <row r="200" spans="1:18" x14ac:dyDescent="0.3">
      <c r="A200">
        <f t="shared" si="66"/>
        <v>1.6666666666666667</v>
      </c>
      <c r="B200">
        <v>15</v>
      </c>
      <c r="C200">
        <v>1</v>
      </c>
      <c r="D200" s="15">
        <v>3.8</v>
      </c>
      <c r="E200" s="1">
        <v>7.6139999999999999</v>
      </c>
      <c r="F200" s="6">
        <f t="shared" si="64"/>
        <v>4.9908064092461251</v>
      </c>
      <c r="G200" s="9">
        <v>0.81</v>
      </c>
      <c r="H200" s="8">
        <v>3.7299999999999998E-3</v>
      </c>
      <c r="I200" s="9">
        <f t="shared" si="71"/>
        <v>17.704909493430108</v>
      </c>
      <c r="J200" s="16">
        <v>4.5</v>
      </c>
      <c r="K200" s="7">
        <v>1.77</v>
      </c>
      <c r="L200" s="10">
        <f t="shared" si="76"/>
        <v>7.7387361454568167</v>
      </c>
      <c r="M200" s="12"/>
      <c r="N200" s="11">
        <f t="shared" ref="N200:N205" si="77">-(1.7*K200^2)/19.62</f>
        <v>-0.27145412844036698</v>
      </c>
      <c r="O200">
        <f t="shared" si="72"/>
        <v>0.35465210526315794</v>
      </c>
      <c r="P200">
        <f t="shared" si="73"/>
        <v>2.815063367157304</v>
      </c>
      <c r="Q200">
        <f t="shared" si="74"/>
        <v>0.74080614925192212</v>
      </c>
      <c r="R200">
        <f t="shared" si="75"/>
        <v>3.7299999999999998E-3</v>
      </c>
    </row>
    <row r="201" spans="1:18" x14ac:dyDescent="0.3">
      <c r="A201">
        <f t="shared" si="66"/>
        <v>1.6666666666666667</v>
      </c>
      <c r="B201">
        <v>15</v>
      </c>
      <c r="C201">
        <v>1</v>
      </c>
      <c r="D201" s="15">
        <v>5.7</v>
      </c>
      <c r="E201" s="1">
        <v>7.6139999999999999</v>
      </c>
      <c r="F201" s="6">
        <f t="shared" si="64"/>
        <v>7.486209613869188</v>
      </c>
      <c r="G201" s="9">
        <v>0.81</v>
      </c>
      <c r="H201" s="8">
        <v>3.7299999999999998E-3</v>
      </c>
      <c r="I201" s="9">
        <f t="shared" si="71"/>
        <v>26.557364240145162</v>
      </c>
      <c r="J201" s="16">
        <v>4.5</v>
      </c>
      <c r="K201" s="7">
        <v>3.18</v>
      </c>
      <c r="L201" s="10">
        <f t="shared" si="76"/>
        <v>3.2277244384580617</v>
      </c>
      <c r="M201" s="12"/>
      <c r="N201" s="11">
        <f t="shared" si="77"/>
        <v>-0.87620183486238523</v>
      </c>
      <c r="O201">
        <f t="shared" si="72"/>
        <v>0.424781052631579</v>
      </c>
      <c r="P201">
        <f t="shared" si="73"/>
        <v>5.0575714731978687</v>
      </c>
      <c r="Q201">
        <f t="shared" si="74"/>
        <v>0.88729324091190676</v>
      </c>
      <c r="R201">
        <f t="shared" si="75"/>
        <v>3.7299999999999998E-3</v>
      </c>
    </row>
    <row r="202" spans="1:18" x14ac:dyDescent="0.3">
      <c r="A202">
        <f t="shared" si="66"/>
        <v>1.6666666666666667</v>
      </c>
      <c r="B202">
        <v>15</v>
      </c>
      <c r="C202">
        <v>1</v>
      </c>
      <c r="D202" s="15">
        <v>7.6</v>
      </c>
      <c r="E202" s="1">
        <v>7.6139999999999999</v>
      </c>
      <c r="F202" s="6">
        <f t="shared" si="64"/>
        <v>9.9816128184922501</v>
      </c>
      <c r="G202" s="9">
        <v>0.81</v>
      </c>
      <c r="H202" s="8">
        <v>3.7299999999999998E-3</v>
      </c>
      <c r="I202" s="9">
        <f t="shared" si="71"/>
        <v>35.409818986860216</v>
      </c>
      <c r="J202" s="16">
        <v>4.5</v>
      </c>
      <c r="K202" s="7">
        <v>5.32</v>
      </c>
      <c r="L202" s="10">
        <f t="shared" si="76"/>
        <v>1.5052246788854298</v>
      </c>
      <c r="M202" s="12"/>
      <c r="N202" s="11">
        <f t="shared" si="77"/>
        <v>-2.4522976554536187</v>
      </c>
      <c r="O202">
        <f t="shared" si="72"/>
        <v>0.53298000000000012</v>
      </c>
      <c r="P202">
        <f t="shared" si="73"/>
        <v>8.4610944142807121</v>
      </c>
      <c r="Q202">
        <f t="shared" si="74"/>
        <v>1.1133018966158832</v>
      </c>
      <c r="R202">
        <f t="shared" si="75"/>
        <v>3.7299999999999998E-3</v>
      </c>
    </row>
    <row r="203" spans="1:18" x14ac:dyDescent="0.3">
      <c r="A203">
        <f t="shared" si="66"/>
        <v>1.6666666666666667</v>
      </c>
      <c r="B203">
        <v>15</v>
      </c>
      <c r="C203">
        <v>1</v>
      </c>
      <c r="D203" s="15">
        <v>9.5</v>
      </c>
      <c r="E203" s="1">
        <v>7.6139999999999999</v>
      </c>
      <c r="F203" s="6">
        <f t="shared" si="64"/>
        <v>12.477016023115313</v>
      </c>
      <c r="G203" s="9">
        <v>0.81</v>
      </c>
      <c r="H203" s="8">
        <v>3.7299999999999998E-3</v>
      </c>
      <c r="I203" s="9">
        <f t="shared" si="71"/>
        <v>44.26227373357527</v>
      </c>
      <c r="J203" s="16">
        <v>4.5</v>
      </c>
      <c r="K203" s="7">
        <v>8.3800000000000008</v>
      </c>
      <c r="L203" s="10">
        <f t="shared" si="76"/>
        <v>0.50555047646668594</v>
      </c>
      <c r="M203" s="12"/>
      <c r="N203" s="11">
        <f t="shared" si="77"/>
        <v>-6.0846829765545367</v>
      </c>
      <c r="O203">
        <f t="shared" si="72"/>
        <v>0.67163494736842111</v>
      </c>
      <c r="P203">
        <f t="shared" si="73"/>
        <v>13.327814133773</v>
      </c>
      <c r="Q203">
        <f t="shared" si="74"/>
        <v>1.4029278035550525</v>
      </c>
      <c r="R203">
        <f t="shared" si="75"/>
        <v>3.7299999999999998E-3</v>
      </c>
    </row>
    <row r="204" spans="1:18" x14ac:dyDescent="0.3">
      <c r="A204">
        <f t="shared" si="66"/>
        <v>1.6666666666666667</v>
      </c>
      <c r="B204">
        <v>15</v>
      </c>
      <c r="C204">
        <v>1</v>
      </c>
      <c r="D204" s="15">
        <v>11.4</v>
      </c>
      <c r="E204" s="1">
        <v>7.6139999999999999</v>
      </c>
      <c r="F204" s="6">
        <f t="shared" si="64"/>
        <v>14.972419227738376</v>
      </c>
      <c r="G204" s="9">
        <v>0.81</v>
      </c>
      <c r="H204" s="8">
        <v>3.7299999999999998E-3</v>
      </c>
      <c r="I204" s="9">
        <f t="shared" si="71"/>
        <v>53.114728480290324</v>
      </c>
      <c r="J204" s="16">
        <v>4.5</v>
      </c>
      <c r="K204" s="7">
        <v>10.76</v>
      </c>
      <c r="L204" s="10">
        <f t="shared" si="76"/>
        <v>5.6277879157895722E-3</v>
      </c>
      <c r="M204" s="12"/>
      <c r="N204" s="11">
        <f t="shared" si="77"/>
        <v>-10.031698267074413</v>
      </c>
      <c r="O204">
        <f t="shared" si="72"/>
        <v>0.71865473684210524</v>
      </c>
      <c r="P204">
        <f t="shared" si="73"/>
        <v>17.113040582267001</v>
      </c>
      <c r="Q204">
        <f t="shared" si="74"/>
        <v>1.5011439107251754</v>
      </c>
      <c r="R204">
        <f t="shared" si="75"/>
        <v>3.7299999999999998E-3</v>
      </c>
    </row>
    <row r="205" spans="1:18" x14ac:dyDescent="0.3">
      <c r="A205">
        <f t="shared" si="66"/>
        <v>1.6666666666666667</v>
      </c>
      <c r="B205">
        <v>15</v>
      </c>
      <c r="C205">
        <v>1</v>
      </c>
      <c r="D205" s="16">
        <v>13.3</v>
      </c>
      <c r="E205" s="1">
        <v>7.6139999999999999</v>
      </c>
      <c r="F205" s="6">
        <f t="shared" si="64"/>
        <v>17.467822432361441</v>
      </c>
      <c r="G205" s="9">
        <v>0.81</v>
      </c>
      <c r="H205" s="8">
        <v>3.7299999999999998E-3</v>
      </c>
      <c r="I205" s="9">
        <f t="shared" si="71"/>
        <v>61.967183227005386</v>
      </c>
      <c r="J205" s="16">
        <v>4.5</v>
      </c>
      <c r="K205" s="7">
        <v>13.22</v>
      </c>
      <c r="L205" s="10">
        <f t="shared" si="76"/>
        <v>-0.32453197294301311</v>
      </c>
      <c r="M205" s="12"/>
      <c r="N205" s="11">
        <f t="shared" si="77"/>
        <v>-15.143031600407747</v>
      </c>
      <c r="O205">
        <f t="shared" si="72"/>
        <v>0.75682015037593986</v>
      </c>
      <c r="P205">
        <f t="shared" si="73"/>
        <v>21.025501533231392</v>
      </c>
      <c r="Q205">
        <f t="shared" si="74"/>
        <v>1.5808647769346911</v>
      </c>
      <c r="R205">
        <f t="shared" si="75"/>
        <v>3.7299999999999998E-3</v>
      </c>
    </row>
    <row r="206" spans="1:18" x14ac:dyDescent="0.3">
      <c r="A206">
        <f t="shared" si="66"/>
        <v>1.6666666666666667</v>
      </c>
      <c r="B206">
        <v>15</v>
      </c>
      <c r="C206">
        <v>2</v>
      </c>
      <c r="D206" s="15">
        <v>1.9</v>
      </c>
      <c r="E206" s="1">
        <v>7.6139999999999999</v>
      </c>
      <c r="F206" s="6">
        <f t="shared" si="64"/>
        <v>2.4954032046230625</v>
      </c>
      <c r="G206" s="9">
        <v>0.81</v>
      </c>
      <c r="H206" s="8">
        <v>1.8649999999999999E-3</v>
      </c>
      <c r="I206" s="9">
        <f t="shared" si="71"/>
        <v>8.8524547467150541</v>
      </c>
      <c r="J206" s="16">
        <v>3</v>
      </c>
      <c r="K206" s="7">
        <v>0</v>
      </c>
      <c r="L206" s="10">
        <f t="shared" si="76"/>
        <v>31.810235769046876</v>
      </c>
      <c r="M206" s="12"/>
      <c r="N206" s="11">
        <f>-(1.7*K206^2)/19.62</f>
        <v>0</v>
      </c>
      <c r="O206">
        <f t="shared" si="72"/>
        <v>0</v>
      </c>
      <c r="P206">
        <f t="shared" si="73"/>
        <v>0</v>
      </c>
      <c r="Q206">
        <f t="shared" si="74"/>
        <v>0</v>
      </c>
      <c r="R206">
        <f t="shared" si="75"/>
        <v>3.7299999999999998E-3</v>
      </c>
    </row>
    <row r="207" spans="1:18" x14ac:dyDescent="0.3">
      <c r="A207">
        <f t="shared" si="66"/>
        <v>1.6666666666666667</v>
      </c>
      <c r="B207">
        <v>15</v>
      </c>
      <c r="C207">
        <v>2</v>
      </c>
      <c r="D207" s="15">
        <v>3.8</v>
      </c>
      <c r="E207" s="1">
        <v>7.6139999999999999</v>
      </c>
      <c r="F207" s="6">
        <f t="shared" si="64"/>
        <v>4.9908064092461251</v>
      </c>
      <c r="G207" s="9">
        <v>0.81</v>
      </c>
      <c r="H207" s="8">
        <v>1.8649999999999999E-3</v>
      </c>
      <c r="I207" s="9">
        <f t="shared" si="71"/>
        <v>17.704909493430108</v>
      </c>
      <c r="J207" s="16">
        <v>4.5</v>
      </c>
      <c r="K207" s="7">
        <v>3.18</v>
      </c>
      <c r="L207" s="10">
        <f t="shared" si="76"/>
        <v>7.2623799865306387</v>
      </c>
      <c r="M207" s="12"/>
      <c r="N207" s="11">
        <f t="shared" ref="N207:N212" si="78">-(1.7*K207^2)/19.62</f>
        <v>-0.87620183486238523</v>
      </c>
      <c r="O207">
        <f t="shared" si="72"/>
        <v>0.63717157894736853</v>
      </c>
      <c r="P207">
        <f t="shared" si="73"/>
        <v>5.0575714731978687</v>
      </c>
      <c r="Q207">
        <f t="shared" si="74"/>
        <v>1.3309398613678602</v>
      </c>
      <c r="R207">
        <f t="shared" si="75"/>
        <v>3.7299999999999998E-3</v>
      </c>
    </row>
    <row r="208" spans="1:18" x14ac:dyDescent="0.3">
      <c r="A208">
        <f t="shared" si="66"/>
        <v>1.6666666666666667</v>
      </c>
      <c r="B208">
        <v>15</v>
      </c>
      <c r="C208">
        <v>2</v>
      </c>
      <c r="D208" s="15">
        <v>5.7</v>
      </c>
      <c r="E208" s="1">
        <v>7.6139999999999999</v>
      </c>
      <c r="F208" s="6">
        <f t="shared" si="64"/>
        <v>7.486209613869188</v>
      </c>
      <c r="G208" s="9">
        <v>0.81</v>
      </c>
      <c r="H208" s="8">
        <v>1.8649999999999999E-3</v>
      </c>
      <c r="I208" s="9">
        <f t="shared" si="71"/>
        <v>26.557364240145162</v>
      </c>
      <c r="J208" s="16">
        <v>4.5</v>
      </c>
      <c r="K208" s="7">
        <v>7.63</v>
      </c>
      <c r="L208" s="10">
        <f t="shared" si="76"/>
        <v>1.7685384192708038</v>
      </c>
      <c r="M208" s="12"/>
      <c r="N208" s="11">
        <f t="shared" si="78"/>
        <v>-5.0442777777777774</v>
      </c>
      <c r="O208">
        <f t="shared" si="72"/>
        <v>1.0192073684210528</v>
      </c>
      <c r="P208">
        <f t="shared" si="73"/>
        <v>12.134990673113125</v>
      </c>
      <c r="Q208">
        <f t="shared" si="74"/>
        <v>2.1289457321251093</v>
      </c>
      <c r="R208">
        <f t="shared" si="75"/>
        <v>3.7299999999999998E-3</v>
      </c>
    </row>
    <row r="209" spans="1:18" x14ac:dyDescent="0.3">
      <c r="A209">
        <f t="shared" si="66"/>
        <v>1.6666666666666667</v>
      </c>
      <c r="B209">
        <v>15</v>
      </c>
      <c r="C209">
        <v>2</v>
      </c>
      <c r="D209" s="15">
        <v>7.6</v>
      </c>
      <c r="E209" s="1">
        <v>7.6139999999999999</v>
      </c>
      <c r="F209" s="6">
        <f t="shared" si="64"/>
        <v>9.9816128184922501</v>
      </c>
      <c r="G209" s="9">
        <v>0.81</v>
      </c>
      <c r="H209" s="8">
        <v>1.8649999999999999E-3</v>
      </c>
      <c r="I209" s="9">
        <f t="shared" si="71"/>
        <v>35.409818986860216</v>
      </c>
      <c r="J209" s="16">
        <v>4.5</v>
      </c>
      <c r="K209" s="7">
        <v>10.89</v>
      </c>
      <c r="L209" s="10">
        <f t="shared" si="76"/>
        <v>-3.5360416128428065E-2</v>
      </c>
      <c r="M209" s="12"/>
      <c r="N209" s="11">
        <f t="shared" si="78"/>
        <v>-10.275564220183487</v>
      </c>
      <c r="O209">
        <f t="shared" si="72"/>
        <v>1.091006052631579</v>
      </c>
      <c r="P209">
        <f t="shared" si="73"/>
        <v>17.319796648781381</v>
      </c>
      <c r="Q209">
        <f t="shared" si="74"/>
        <v>2.2789206116817606</v>
      </c>
      <c r="R209">
        <f t="shared" si="75"/>
        <v>3.7299999999999998E-3</v>
      </c>
    </row>
    <row r="210" spans="1:18" x14ac:dyDescent="0.3">
      <c r="A210">
        <f t="shared" si="66"/>
        <v>1.6666666666666667</v>
      </c>
      <c r="B210">
        <v>15</v>
      </c>
      <c r="C210">
        <v>2</v>
      </c>
      <c r="D210" s="15">
        <v>9.5</v>
      </c>
      <c r="E210" s="1">
        <v>7.6139999999999999</v>
      </c>
      <c r="F210" s="6">
        <f t="shared" si="64"/>
        <v>12.477016023115313</v>
      </c>
      <c r="G210" s="9">
        <v>0.81</v>
      </c>
      <c r="H210" s="8">
        <v>1.8649999999999999E-3</v>
      </c>
      <c r="I210" s="9">
        <f t="shared" si="71"/>
        <v>44.26227373357527</v>
      </c>
      <c r="J210" s="16">
        <v>4.5</v>
      </c>
      <c r="K210" s="7">
        <v>14.58</v>
      </c>
      <c r="L210" s="10">
        <f t="shared" si="76"/>
        <v>-1.0489506066586771</v>
      </c>
      <c r="M210" s="12"/>
      <c r="N210" s="11">
        <f t="shared" si="78"/>
        <v>-18.418954128440365</v>
      </c>
      <c r="O210">
        <f t="shared" si="72"/>
        <v>1.1685486315789475</v>
      </c>
      <c r="P210">
        <f t="shared" si="73"/>
        <v>23.188488075227962</v>
      </c>
      <c r="Q210">
        <f t="shared" si="74"/>
        <v>2.4408934816029433</v>
      </c>
      <c r="R210">
        <f t="shared" si="75"/>
        <v>3.7299999999999998E-3</v>
      </c>
    </row>
    <row r="211" spans="1:18" x14ac:dyDescent="0.3">
      <c r="A211">
        <f t="shared" si="66"/>
        <v>1.6666666666666667</v>
      </c>
      <c r="B211">
        <v>15</v>
      </c>
      <c r="C211">
        <v>2</v>
      </c>
      <c r="D211" s="15">
        <v>11.4</v>
      </c>
      <c r="E211" s="1">
        <v>7.6139999999999999</v>
      </c>
      <c r="F211" s="6">
        <f t="shared" si="64"/>
        <v>14.972419227738376</v>
      </c>
      <c r="G211" s="9">
        <v>0.81</v>
      </c>
      <c r="H211" s="8">
        <v>1.8649999999999999E-3</v>
      </c>
      <c r="I211" s="9">
        <f t="shared" si="71"/>
        <v>53.114728480290324</v>
      </c>
      <c r="J211" s="16">
        <v>4.5</v>
      </c>
      <c r="K211" s="7">
        <v>18.63</v>
      </c>
      <c r="L211" s="10">
        <f t="shared" si="76"/>
        <v>-1.7484113602293909</v>
      </c>
      <c r="M211" s="12"/>
      <c r="N211" s="11">
        <f t="shared" si="78"/>
        <v>-30.072922018348621</v>
      </c>
      <c r="O211">
        <f t="shared" si="72"/>
        <v>1.2442878947368421</v>
      </c>
      <c r="P211">
        <f t="shared" si="73"/>
        <v>29.62973476279128</v>
      </c>
      <c r="Q211">
        <f t="shared" si="74"/>
        <v>2.5990995405957262</v>
      </c>
      <c r="R211">
        <f t="shared" si="75"/>
        <v>3.7299999999999998E-3</v>
      </c>
    </row>
    <row r="212" spans="1:18" x14ac:dyDescent="0.3">
      <c r="A212">
        <f t="shared" si="66"/>
        <v>1.6666666666666667</v>
      </c>
      <c r="B212">
        <v>15</v>
      </c>
      <c r="C212">
        <v>2</v>
      </c>
      <c r="D212" s="16">
        <v>13.3</v>
      </c>
      <c r="E212" s="1">
        <v>7.6139999999999999</v>
      </c>
      <c r="F212" s="6">
        <f t="shared" si="64"/>
        <v>17.467822432361441</v>
      </c>
      <c r="G212" s="9">
        <v>0.81</v>
      </c>
      <c r="H212" s="8">
        <v>1.8649999999999999E-3</v>
      </c>
      <c r="I212" s="9">
        <f t="shared" si="71"/>
        <v>61.967183227005386</v>
      </c>
      <c r="J212" s="16">
        <v>4.5</v>
      </c>
      <c r="K212" s="7">
        <v>22.89</v>
      </c>
      <c r="L212" s="10">
        <f t="shared" si="76"/>
        <v>-2.2700055957436702</v>
      </c>
      <c r="M212" s="12"/>
      <c r="N212" s="11">
        <f t="shared" si="78"/>
        <v>-45.398499999999991</v>
      </c>
      <c r="O212">
        <f t="shared" si="72"/>
        <v>1.3104094736842105</v>
      </c>
      <c r="P212">
        <f t="shared" si="73"/>
        <v>36.404972019339375</v>
      </c>
      <c r="Q212">
        <f t="shared" si="74"/>
        <v>2.7372159413037123</v>
      </c>
      <c r="R212">
        <f t="shared" si="75"/>
        <v>3.7299999999999998E-3</v>
      </c>
    </row>
    <row r="213" spans="1:18" x14ac:dyDescent="0.3">
      <c r="A213">
        <f t="shared" si="66"/>
        <v>1.6666666666666667</v>
      </c>
      <c r="B213">
        <v>15</v>
      </c>
      <c r="C213">
        <v>4</v>
      </c>
      <c r="D213" s="15">
        <v>1.9</v>
      </c>
      <c r="E213" s="1">
        <v>7.6139999999999999</v>
      </c>
      <c r="F213" s="6">
        <f t="shared" si="64"/>
        <v>2.4954032046230625</v>
      </c>
      <c r="G213" s="9">
        <v>0.81</v>
      </c>
      <c r="H213" s="8">
        <v>9.3249999999999995E-4</v>
      </c>
      <c r="I213" s="9">
        <f t="shared" si="71"/>
        <v>8.8524547467150541</v>
      </c>
      <c r="J213" s="16">
        <v>3</v>
      </c>
      <c r="K213" s="7">
        <v>0</v>
      </c>
      <c r="L213" s="10">
        <f t="shared" si="76"/>
        <v>31.810235769046876</v>
      </c>
      <c r="M213" s="12"/>
      <c r="N213" s="11">
        <f>-(1.7*K213^2)/19.62</f>
        <v>0</v>
      </c>
      <c r="O213">
        <f t="shared" si="72"/>
        <v>0</v>
      </c>
      <c r="P213">
        <f t="shared" si="73"/>
        <v>0</v>
      </c>
      <c r="Q213">
        <f t="shared" si="74"/>
        <v>0</v>
      </c>
      <c r="R213">
        <f t="shared" si="75"/>
        <v>3.7299999999999998E-3</v>
      </c>
    </row>
    <row r="214" spans="1:18" x14ac:dyDescent="0.3">
      <c r="A214">
        <f t="shared" si="66"/>
        <v>1.6666666666666667</v>
      </c>
      <c r="B214">
        <v>15</v>
      </c>
      <c r="C214">
        <v>4</v>
      </c>
      <c r="D214" s="15">
        <v>3.8</v>
      </c>
      <c r="E214" s="1">
        <v>7.6139999999999999</v>
      </c>
      <c r="F214" s="6">
        <f t="shared" si="64"/>
        <v>4.9908064092461251</v>
      </c>
      <c r="G214" s="9">
        <v>0.81</v>
      </c>
      <c r="H214" s="8">
        <v>9.3249999999999995E-4</v>
      </c>
      <c r="I214" s="9">
        <f t="shared" si="71"/>
        <v>17.704909493430108</v>
      </c>
      <c r="J214" s="16">
        <v>4.5</v>
      </c>
      <c r="K214" s="7">
        <v>2.96</v>
      </c>
      <c r="L214" s="10">
        <f t="shared" si="76"/>
        <v>7.3545731091722999</v>
      </c>
      <c r="M214" s="12"/>
      <c r="N214" s="11">
        <f t="shared" ref="N214:N219" si="79">-(1.7*K214^2)/19.62</f>
        <v>-0.75916004077471966</v>
      </c>
      <c r="O214">
        <f t="shared" si="72"/>
        <v>0.59309052631578951</v>
      </c>
      <c r="P214">
        <f t="shared" si="73"/>
        <v>4.7076765914043053</v>
      </c>
      <c r="Q214">
        <f t="shared" si="74"/>
        <v>1.2388622608958699</v>
      </c>
      <c r="R214">
        <f t="shared" si="75"/>
        <v>3.7299999999999998E-3</v>
      </c>
    </row>
    <row r="215" spans="1:18" x14ac:dyDescent="0.3">
      <c r="A215">
        <f t="shared" si="66"/>
        <v>1.6666666666666667</v>
      </c>
      <c r="B215">
        <v>15</v>
      </c>
      <c r="C215">
        <v>4</v>
      </c>
      <c r="D215" s="15">
        <v>5.7</v>
      </c>
      <c r="E215" s="1">
        <v>7.6139999999999999</v>
      </c>
      <c r="F215" s="6">
        <f t="shared" si="64"/>
        <v>7.486209613869188</v>
      </c>
      <c r="G215" s="9">
        <v>0.81</v>
      </c>
      <c r="H215" s="8">
        <v>9.3249999999999995E-4</v>
      </c>
      <c r="I215" s="9">
        <f t="shared" si="71"/>
        <v>26.557364240145162</v>
      </c>
      <c r="J215" s="16">
        <v>4.5</v>
      </c>
      <c r="K215" s="7">
        <v>7.65</v>
      </c>
      <c r="L215" s="10">
        <f t="shared" si="76"/>
        <v>1.7592684497780613</v>
      </c>
      <c r="M215" s="12"/>
      <c r="N215" s="11">
        <f t="shared" si="79"/>
        <v>-5.0707568807339447</v>
      </c>
      <c r="O215">
        <f t="shared" si="72"/>
        <v>1.0218789473684211</v>
      </c>
      <c r="P215">
        <f t="shared" si="73"/>
        <v>12.166799298730721</v>
      </c>
      <c r="Q215">
        <f t="shared" si="74"/>
        <v>2.1345261927597754</v>
      </c>
      <c r="R215">
        <f t="shared" si="75"/>
        <v>3.7299999999999998E-3</v>
      </c>
    </row>
    <row r="216" spans="1:18" x14ac:dyDescent="0.3">
      <c r="A216">
        <f t="shared" si="66"/>
        <v>1.6666666666666667</v>
      </c>
      <c r="B216">
        <v>15</v>
      </c>
      <c r="C216">
        <v>4</v>
      </c>
      <c r="D216" s="15">
        <v>7.6</v>
      </c>
      <c r="E216" s="1">
        <v>7.6139999999999999</v>
      </c>
      <c r="F216" s="6">
        <f t="shared" si="64"/>
        <v>9.9816128184922501</v>
      </c>
      <c r="G216" s="9">
        <v>0.81</v>
      </c>
      <c r="H216" s="8">
        <v>9.3249999999999995E-4</v>
      </c>
      <c r="I216" s="9">
        <f t="shared" si="71"/>
        <v>35.409818986860216</v>
      </c>
      <c r="J216" s="16">
        <v>4.5</v>
      </c>
      <c r="K216" s="7">
        <v>13.18</v>
      </c>
      <c r="L216" s="10">
        <f t="shared" si="76"/>
        <v>-0.97586096727315796</v>
      </c>
      <c r="M216" s="12"/>
      <c r="N216" s="11">
        <f t="shared" si="79"/>
        <v>-15.051533129459735</v>
      </c>
      <c r="O216">
        <f t="shared" si="72"/>
        <v>1.3204278947368422</v>
      </c>
      <c r="P216">
        <f t="shared" si="73"/>
        <v>20.961884281996195</v>
      </c>
      <c r="Q216">
        <f t="shared" si="74"/>
        <v>2.7581426686837101</v>
      </c>
      <c r="R216">
        <f t="shared" si="75"/>
        <v>3.7299999999999998E-3</v>
      </c>
    </row>
    <row r="217" spans="1:18" x14ac:dyDescent="0.3">
      <c r="A217">
        <f t="shared" si="66"/>
        <v>1.6666666666666667</v>
      </c>
      <c r="B217">
        <v>15</v>
      </c>
      <c r="C217">
        <v>4</v>
      </c>
      <c r="D217" s="15">
        <v>9.5</v>
      </c>
      <c r="E217" s="1">
        <v>7.6139999999999999</v>
      </c>
      <c r="F217" s="6">
        <f t="shared" si="64"/>
        <v>12.477016023115313</v>
      </c>
      <c r="G217" s="9">
        <v>0.81</v>
      </c>
      <c r="H217" s="8">
        <v>9.3249999999999995E-4</v>
      </c>
      <c r="I217" s="9">
        <f t="shared" si="71"/>
        <v>44.26227373357527</v>
      </c>
      <c r="J217" s="16">
        <v>4.5</v>
      </c>
      <c r="K217" s="7">
        <v>18.64</v>
      </c>
      <c r="L217" s="10">
        <f t="shared" si="76"/>
        <v>-2.5217822878755469</v>
      </c>
      <c r="M217" s="12"/>
      <c r="N217" s="11">
        <f t="shared" si="79"/>
        <v>-30.105215086646282</v>
      </c>
      <c r="O217">
        <f t="shared" si="72"/>
        <v>1.4939469473684213</v>
      </c>
      <c r="P217">
        <f t="shared" si="73"/>
        <v>29.64563907560008</v>
      </c>
      <c r="Q217">
        <f t="shared" si="74"/>
        <v>3.1205935869052714</v>
      </c>
      <c r="R217">
        <f t="shared" si="75"/>
        <v>3.7299999999999998E-3</v>
      </c>
    </row>
    <row r="218" spans="1:18" x14ac:dyDescent="0.3">
      <c r="A218">
        <f t="shared" si="66"/>
        <v>1.6666666666666667</v>
      </c>
      <c r="B218">
        <v>15</v>
      </c>
      <c r="C218">
        <v>4</v>
      </c>
      <c r="D218" s="15">
        <v>11.4</v>
      </c>
      <c r="E218" s="1">
        <v>7.6139999999999999</v>
      </c>
      <c r="F218" s="6">
        <f t="shared" si="64"/>
        <v>14.972419227738376</v>
      </c>
      <c r="G218" s="9">
        <v>0.81</v>
      </c>
      <c r="H218" s="8">
        <v>9.3249999999999995E-4</v>
      </c>
      <c r="I218" s="9">
        <f t="shared" si="71"/>
        <v>53.114728480290324</v>
      </c>
      <c r="J218" s="16">
        <v>4.5</v>
      </c>
      <c r="K218" s="7">
        <v>22.16</v>
      </c>
      <c r="L218" s="10">
        <f t="shared" si="76"/>
        <v>-2.8403377806315797</v>
      </c>
      <c r="M218" s="12"/>
      <c r="N218" s="11">
        <f t="shared" si="79"/>
        <v>-42.549007135575941</v>
      </c>
      <c r="O218">
        <f t="shared" si="72"/>
        <v>1.4800547368421053</v>
      </c>
      <c r="P218">
        <f t="shared" si="73"/>
        <v>35.243957184297095</v>
      </c>
      <c r="Q218">
        <f t="shared" si="74"/>
        <v>3.091575191605008</v>
      </c>
      <c r="R218">
        <f t="shared" si="75"/>
        <v>3.7299999999999998E-3</v>
      </c>
    </row>
    <row r="219" spans="1:18" x14ac:dyDescent="0.3">
      <c r="A219">
        <f t="shared" si="66"/>
        <v>1.6666666666666667</v>
      </c>
      <c r="B219">
        <v>15</v>
      </c>
      <c r="C219">
        <v>4</v>
      </c>
      <c r="D219" s="16">
        <v>13.3</v>
      </c>
      <c r="E219" s="1">
        <v>7.6139999999999999</v>
      </c>
      <c r="F219" s="6">
        <f t="shared" si="64"/>
        <v>17.467822432361441</v>
      </c>
      <c r="G219" s="9">
        <v>0.81</v>
      </c>
      <c r="H219" s="8">
        <v>9.3249999999999995E-4</v>
      </c>
      <c r="I219" s="9">
        <f t="shared" si="71"/>
        <v>61.967183227005386</v>
      </c>
      <c r="J219" s="16">
        <v>4.5</v>
      </c>
      <c r="K219" s="7">
        <v>27.65</v>
      </c>
      <c r="L219" s="10">
        <f t="shared" si="76"/>
        <v>-3.61034126326367</v>
      </c>
      <c r="M219" s="12"/>
      <c r="N219" s="11">
        <f t="shared" si="79"/>
        <v>-66.243030071355747</v>
      </c>
      <c r="O219">
        <f t="shared" si="72"/>
        <v>1.5829105263157892</v>
      </c>
      <c r="P219">
        <f t="shared" si="73"/>
        <v>43.975424916327377</v>
      </c>
      <c r="Q219">
        <f t="shared" si="74"/>
        <v>3.306422926039652</v>
      </c>
      <c r="R219">
        <f t="shared" si="75"/>
        <v>3.7299999999999998E-3</v>
      </c>
    </row>
    <row r="220" spans="1:18" x14ac:dyDescent="0.3">
      <c r="A220">
        <f t="shared" si="66"/>
        <v>1.6666666666666667</v>
      </c>
      <c r="B220">
        <v>15</v>
      </c>
      <c r="C220">
        <v>6</v>
      </c>
      <c r="D220" s="15">
        <v>1.9</v>
      </c>
      <c r="E220" s="1">
        <v>7.6139999999999999</v>
      </c>
      <c r="F220" s="6">
        <f t="shared" si="64"/>
        <v>2.4954032046230625</v>
      </c>
      <c r="G220" s="9">
        <v>0.81</v>
      </c>
      <c r="H220" s="8">
        <v>6.2166999999999995E-4</v>
      </c>
      <c r="I220" s="9">
        <f t="shared" si="71"/>
        <v>8.8524547467150541</v>
      </c>
      <c r="J220" s="16">
        <v>3</v>
      </c>
      <c r="K220" s="7">
        <v>0</v>
      </c>
      <c r="L220" s="10">
        <f t="shared" si="76"/>
        <v>31.810235769046876</v>
      </c>
      <c r="M220" s="12"/>
      <c r="N220" s="11">
        <f>-(1.7*K220^2)/19.62</f>
        <v>0</v>
      </c>
      <c r="O220">
        <f t="shared" si="72"/>
        <v>0</v>
      </c>
      <c r="P220">
        <f t="shared" si="73"/>
        <v>0</v>
      </c>
      <c r="Q220">
        <f t="shared" si="74"/>
        <v>0</v>
      </c>
      <c r="R220">
        <f t="shared" si="75"/>
        <v>3.7300199999999997E-3</v>
      </c>
    </row>
    <row r="221" spans="1:18" x14ac:dyDescent="0.3">
      <c r="A221">
        <f t="shared" si="66"/>
        <v>1.6666666666666667</v>
      </c>
      <c r="B221">
        <v>15</v>
      </c>
      <c r="C221">
        <v>6</v>
      </c>
      <c r="D221" s="15">
        <v>3.8</v>
      </c>
      <c r="E221" s="1">
        <v>7.6139999999999999</v>
      </c>
      <c r="F221" s="6">
        <f t="shared" si="64"/>
        <v>4.9908064092461251</v>
      </c>
      <c r="G221" s="9">
        <v>0.81</v>
      </c>
      <c r="H221" s="8">
        <v>6.2166999999999995E-4</v>
      </c>
      <c r="I221" s="9">
        <f t="shared" si="71"/>
        <v>17.704909493430108</v>
      </c>
      <c r="J221" s="16">
        <v>4.5</v>
      </c>
      <c r="K221" s="7">
        <v>2.85</v>
      </c>
      <c r="L221" s="10">
        <f t="shared" si="76"/>
        <v>7.3981921680117191</v>
      </c>
      <c r="M221" s="12"/>
      <c r="N221" s="11">
        <f t="shared" ref="N221:N226" si="80">-(1.7*K221^2)/19.62</f>
        <v>-0.70378440366972483</v>
      </c>
      <c r="O221">
        <f t="shared" si="72"/>
        <v>0.57105000000000006</v>
      </c>
      <c r="P221">
        <f t="shared" si="73"/>
        <v>4.5327291505075236</v>
      </c>
      <c r="Q221">
        <f t="shared" si="74"/>
        <v>1.1928234606598747</v>
      </c>
      <c r="R221">
        <f t="shared" si="75"/>
        <v>3.7300199999999997E-3</v>
      </c>
    </row>
    <row r="222" spans="1:18" x14ac:dyDescent="0.3">
      <c r="A222">
        <f t="shared" si="66"/>
        <v>1.6666666666666667</v>
      </c>
      <c r="B222">
        <v>15</v>
      </c>
      <c r="C222">
        <v>6</v>
      </c>
      <c r="D222" s="15">
        <v>5.7</v>
      </c>
      <c r="E222" s="1">
        <v>7.6139999999999999</v>
      </c>
      <c r="F222" s="6">
        <f t="shared" si="64"/>
        <v>7.486209613869188</v>
      </c>
      <c r="G222" s="9">
        <v>0.81</v>
      </c>
      <c r="H222" s="8">
        <v>6.2166999999999995E-4</v>
      </c>
      <c r="I222" s="9">
        <f t="shared" si="71"/>
        <v>26.557364240145162</v>
      </c>
      <c r="J222" s="16">
        <v>4.5</v>
      </c>
      <c r="K222" s="7">
        <v>5.65</v>
      </c>
      <c r="L222" s="10">
        <f t="shared" si="76"/>
        <v>2.5661440666201667</v>
      </c>
      <c r="M222" s="12"/>
      <c r="N222" s="11">
        <f t="shared" si="80"/>
        <v>-2.7659658511722731</v>
      </c>
      <c r="O222">
        <f t="shared" si="72"/>
        <v>0.75472105263157907</v>
      </c>
      <c r="P222">
        <f t="shared" si="73"/>
        <v>8.9859367369710554</v>
      </c>
      <c r="Q222">
        <f t="shared" si="74"/>
        <v>1.5764801292931676</v>
      </c>
      <c r="R222">
        <f t="shared" si="75"/>
        <v>3.7300199999999997E-3</v>
      </c>
    </row>
    <row r="223" spans="1:18" x14ac:dyDescent="0.3">
      <c r="A223">
        <f t="shared" si="66"/>
        <v>1.6666666666666667</v>
      </c>
      <c r="B223">
        <v>15</v>
      </c>
      <c r="C223">
        <v>6</v>
      </c>
      <c r="D223" s="15">
        <v>7.6</v>
      </c>
      <c r="E223" s="1">
        <v>7.6139999999999999</v>
      </c>
      <c r="F223" s="6">
        <f t="shared" si="64"/>
        <v>9.9816128184922501</v>
      </c>
      <c r="G223" s="9">
        <v>0.81</v>
      </c>
      <c r="H223" s="8">
        <v>6.2166999999999995E-4</v>
      </c>
      <c r="I223" s="9">
        <f t="shared" si="71"/>
        <v>35.409818986860216</v>
      </c>
      <c r="J223" s="16">
        <v>4.5</v>
      </c>
      <c r="K223" s="7">
        <v>11.68</v>
      </c>
      <c r="L223" s="10">
        <f t="shared" si="76"/>
        <v>-0.33959328454670346</v>
      </c>
      <c r="M223" s="12"/>
      <c r="N223" s="11">
        <f t="shared" si="80"/>
        <v>-11.820493374108052</v>
      </c>
      <c r="O223">
        <f t="shared" si="72"/>
        <v>1.1701515789473684</v>
      </c>
      <c r="P223">
        <f t="shared" si="73"/>
        <v>18.576237360676448</v>
      </c>
      <c r="Q223">
        <f t="shared" si="74"/>
        <v>2.4442417579837432</v>
      </c>
      <c r="R223">
        <f t="shared" si="75"/>
        <v>3.7300199999999997E-3</v>
      </c>
    </row>
    <row r="224" spans="1:18" x14ac:dyDescent="0.3">
      <c r="A224">
        <f t="shared" si="66"/>
        <v>1.6666666666666667</v>
      </c>
      <c r="B224">
        <v>15</v>
      </c>
      <c r="C224">
        <v>6</v>
      </c>
      <c r="D224" s="15">
        <v>9.5</v>
      </c>
      <c r="E224" s="1">
        <v>7.6139999999999999</v>
      </c>
      <c r="F224" s="6">
        <f t="shared" si="64"/>
        <v>12.477016023115313</v>
      </c>
      <c r="G224" s="9">
        <v>0.81</v>
      </c>
      <c r="H224" s="8">
        <v>6.2166999999999995E-4</v>
      </c>
      <c r="I224" s="9">
        <f t="shared" si="71"/>
        <v>44.26227373357527</v>
      </c>
      <c r="J224" s="16">
        <v>4.5</v>
      </c>
      <c r="K224" s="7">
        <v>16.54</v>
      </c>
      <c r="L224" s="10">
        <f t="shared" si="76"/>
        <v>-1.7150255790190803</v>
      </c>
      <c r="M224" s="12"/>
      <c r="N224" s="11">
        <f t="shared" si="80"/>
        <v>-23.703961264016307</v>
      </c>
      <c r="O224">
        <f t="shared" si="72"/>
        <v>1.3256374736842105</v>
      </c>
      <c r="P224">
        <f t="shared" si="73"/>
        <v>26.305733385752433</v>
      </c>
      <c r="Q224">
        <f t="shared" si="74"/>
        <v>2.7690245669213085</v>
      </c>
      <c r="R224">
        <f t="shared" si="75"/>
        <v>3.7300199999999997E-3</v>
      </c>
    </row>
    <row r="225" spans="1:18" x14ac:dyDescent="0.3">
      <c r="A225">
        <f t="shared" si="66"/>
        <v>1.6666666666666667</v>
      </c>
      <c r="B225">
        <v>15</v>
      </c>
      <c r="C225">
        <v>6</v>
      </c>
      <c r="D225" s="15">
        <v>11.4</v>
      </c>
      <c r="E225" s="1">
        <v>7.6139999999999999</v>
      </c>
      <c r="F225" s="6">
        <f t="shared" si="64"/>
        <v>14.972419227738376</v>
      </c>
      <c r="G225" s="9">
        <v>0.81</v>
      </c>
      <c r="H225" s="8">
        <v>6.2166999999999995E-4</v>
      </c>
      <c r="I225" s="9">
        <f t="shared" si="71"/>
        <v>53.114728480290324</v>
      </c>
      <c r="J225" s="16">
        <v>4.5</v>
      </c>
      <c r="K225" s="7">
        <v>21.14</v>
      </c>
      <c r="L225" s="10">
        <f t="shared" si="76"/>
        <v>-2.5054085654675906</v>
      </c>
      <c r="M225" s="12"/>
      <c r="N225" s="11">
        <f t="shared" si="80"/>
        <v>-38.722187563710499</v>
      </c>
      <c r="O225">
        <f t="shared" si="72"/>
        <v>1.4119294736842105</v>
      </c>
      <c r="P225">
        <f t="shared" si="73"/>
        <v>33.621717277799661</v>
      </c>
      <c r="Q225">
        <f t="shared" si="74"/>
        <v>2.949273445421023</v>
      </c>
      <c r="R225">
        <f t="shared" si="75"/>
        <v>3.7300199999999997E-3</v>
      </c>
    </row>
    <row r="226" spans="1:18" x14ac:dyDescent="0.3">
      <c r="A226">
        <f t="shared" si="66"/>
        <v>1.6666666666666667</v>
      </c>
      <c r="B226">
        <v>15</v>
      </c>
      <c r="C226">
        <v>6</v>
      </c>
      <c r="D226" s="16">
        <v>13.3</v>
      </c>
      <c r="E226" s="1">
        <v>7.6139999999999999</v>
      </c>
      <c r="F226" s="6">
        <f t="shared" si="64"/>
        <v>17.467822432361441</v>
      </c>
      <c r="G226" s="9">
        <v>0.81</v>
      </c>
      <c r="H226" s="8">
        <v>6.2166999999999995E-4</v>
      </c>
      <c r="I226" s="9">
        <f t="shared" si="71"/>
        <v>61.967183227005386</v>
      </c>
      <c r="J226" s="16">
        <v>4.5</v>
      </c>
      <c r="K226" s="7">
        <v>26.58</v>
      </c>
      <c r="L226" s="10">
        <f t="shared" si="76"/>
        <v>-3.2870494057571671</v>
      </c>
      <c r="M226" s="12"/>
      <c r="N226" s="11">
        <f t="shared" si="80"/>
        <v>-61.215284403669706</v>
      </c>
      <c r="O226">
        <f t="shared" si="72"/>
        <v>1.5216550375939848</v>
      </c>
      <c r="P226">
        <f t="shared" si="73"/>
        <v>42.273663445785957</v>
      </c>
      <c r="Q226">
        <f t="shared" si="74"/>
        <v>3.17847093577338</v>
      </c>
      <c r="R226">
        <f t="shared" si="75"/>
        <v>3.7300199999999997E-3</v>
      </c>
    </row>
    <row r="227" spans="1:18" x14ac:dyDescent="0.3">
      <c r="A227">
        <f t="shared" si="66"/>
        <v>1.6666666666666667</v>
      </c>
      <c r="B227">
        <v>20</v>
      </c>
      <c r="C227">
        <v>1</v>
      </c>
      <c r="D227" s="15">
        <v>2.2999999999999998</v>
      </c>
      <c r="E227" s="1">
        <v>10.151999999999999</v>
      </c>
      <c r="F227" s="6">
        <f t="shared" si="64"/>
        <v>2.265563435776202</v>
      </c>
      <c r="G227" s="9">
        <v>1.08</v>
      </c>
      <c r="H227" s="8">
        <v>4.8399999999999997E-3</v>
      </c>
      <c r="I227" s="9">
        <f t="shared" si="71"/>
        <v>6.960330237618539</v>
      </c>
      <c r="J227" s="16">
        <v>3</v>
      </c>
      <c r="K227" s="7">
        <v>0</v>
      </c>
      <c r="L227" s="10">
        <f t="shared" si="76"/>
        <v>38.591876034869706</v>
      </c>
      <c r="M227" s="12"/>
      <c r="N227" s="11">
        <f>-(1.7*K227^2)/19.62</f>
        <v>0</v>
      </c>
      <c r="O227">
        <f t="shared" si="72"/>
        <v>0</v>
      </c>
      <c r="P227">
        <f t="shared" si="73"/>
        <v>0</v>
      </c>
      <c r="Q227">
        <f t="shared" si="74"/>
        <v>0</v>
      </c>
      <c r="R227">
        <f t="shared" si="75"/>
        <v>4.8399999999999997E-3</v>
      </c>
    </row>
    <row r="228" spans="1:18" x14ac:dyDescent="0.3">
      <c r="A228">
        <f t="shared" si="66"/>
        <v>1.6666666666666667</v>
      </c>
      <c r="B228">
        <v>20</v>
      </c>
      <c r="C228">
        <v>1</v>
      </c>
      <c r="D228" s="15">
        <v>4.5999999999999996</v>
      </c>
      <c r="E228" s="1">
        <v>10.151999999999999</v>
      </c>
      <c r="F228" s="6">
        <f t="shared" si="64"/>
        <v>4.531126871552404</v>
      </c>
      <c r="G228" s="9">
        <v>1.08</v>
      </c>
      <c r="H228" s="8">
        <v>4.8399999999999997E-3</v>
      </c>
      <c r="I228" s="9">
        <f t="shared" si="71"/>
        <v>13.920660475237078</v>
      </c>
      <c r="J228" s="16">
        <v>4.5</v>
      </c>
      <c r="K228" s="7">
        <v>1.33</v>
      </c>
      <c r="L228" s="10">
        <f t="shared" si="76"/>
        <v>9.5015020182015864</v>
      </c>
      <c r="M228" s="12"/>
      <c r="N228" s="11">
        <f t="shared" ref="N228:N233" si="81">-(1.7*K228^2)/19.62</f>
        <v>-0.15326860346585117</v>
      </c>
      <c r="O228">
        <f t="shared" si="72"/>
        <v>0.29352521739130433</v>
      </c>
      <c r="P228">
        <f t="shared" si="73"/>
        <v>2.115273603570178</v>
      </c>
      <c r="Q228">
        <f t="shared" si="74"/>
        <v>0.45984208773264745</v>
      </c>
      <c r="R228">
        <f t="shared" si="75"/>
        <v>4.8399999999999997E-3</v>
      </c>
    </row>
    <row r="229" spans="1:18" x14ac:dyDescent="0.3">
      <c r="A229">
        <f t="shared" si="66"/>
        <v>1.6666666666666667</v>
      </c>
      <c r="B229">
        <v>20</v>
      </c>
      <c r="C229">
        <v>1</v>
      </c>
      <c r="D229" s="15">
        <v>6.9</v>
      </c>
      <c r="E229" s="1">
        <v>10.151999999999999</v>
      </c>
      <c r="F229" s="6">
        <f t="shared" ref="F229:F292" si="82">(D229*10^-3)/(E229*10^-4)</f>
        <v>6.796690307328606</v>
      </c>
      <c r="G229" s="9">
        <v>1.08</v>
      </c>
      <c r="H229" s="8">
        <v>4.8399999999999997E-3</v>
      </c>
      <c r="I229" s="9">
        <f t="shared" si="71"/>
        <v>20.880990712855617</v>
      </c>
      <c r="J229" s="16">
        <v>4.5</v>
      </c>
      <c r="K229" s="7">
        <v>2.67</v>
      </c>
      <c r="L229" s="10">
        <f t="shared" si="76"/>
        <v>4.0256389974514928</v>
      </c>
      <c r="M229" s="12"/>
      <c r="N229" s="11">
        <f t="shared" si="81"/>
        <v>-0.61769266055045868</v>
      </c>
      <c r="O229">
        <f t="shared" si="72"/>
        <v>0.39283826086956514</v>
      </c>
      <c r="P229">
        <f t="shared" si="73"/>
        <v>4.2464515199491535</v>
      </c>
      <c r="Q229">
        <f t="shared" si="74"/>
        <v>0.61542775651436998</v>
      </c>
      <c r="R229">
        <f t="shared" si="75"/>
        <v>4.8399999999999997E-3</v>
      </c>
    </row>
    <row r="230" spans="1:18" x14ac:dyDescent="0.3">
      <c r="A230">
        <f t="shared" si="66"/>
        <v>1.6666666666666667</v>
      </c>
      <c r="B230">
        <v>20</v>
      </c>
      <c r="C230">
        <v>1</v>
      </c>
      <c r="D230" s="15">
        <v>9.1999999999999993</v>
      </c>
      <c r="E230" s="1">
        <v>10.151999999999999</v>
      </c>
      <c r="F230" s="6">
        <f t="shared" si="82"/>
        <v>9.062253743104808</v>
      </c>
      <c r="G230" s="9">
        <v>1.08</v>
      </c>
      <c r="H230" s="8">
        <v>4.8399999999999997E-3</v>
      </c>
      <c r="I230" s="9">
        <f t="shared" si="71"/>
        <v>27.841320950474156</v>
      </c>
      <c r="J230" s="16">
        <v>4.5</v>
      </c>
      <c r="K230" s="7">
        <v>4.37</v>
      </c>
      <c r="L230" s="10">
        <f t="shared" si="76"/>
        <v>2.0166808338993563</v>
      </c>
      <c r="M230" s="12"/>
      <c r="N230" s="11">
        <f t="shared" si="81"/>
        <v>-1.6546753312945974</v>
      </c>
      <c r="O230">
        <f t="shared" si="72"/>
        <v>0.48221999999999993</v>
      </c>
      <c r="P230">
        <f t="shared" si="73"/>
        <v>6.95018469744487</v>
      </c>
      <c r="Q230">
        <f t="shared" si="74"/>
        <v>0.7554548584179207</v>
      </c>
      <c r="R230">
        <f t="shared" si="75"/>
        <v>4.8399999999999997E-3</v>
      </c>
    </row>
    <row r="231" spans="1:18" x14ac:dyDescent="0.3">
      <c r="A231">
        <f t="shared" si="66"/>
        <v>1.6666666666666667</v>
      </c>
      <c r="B231">
        <v>20</v>
      </c>
      <c r="C231">
        <v>1</v>
      </c>
      <c r="D231" s="15">
        <v>11.5</v>
      </c>
      <c r="E231" s="1">
        <v>10.151999999999999</v>
      </c>
      <c r="F231" s="6">
        <f t="shared" si="82"/>
        <v>11.327817178881009</v>
      </c>
      <c r="G231" s="9">
        <v>1.08</v>
      </c>
      <c r="H231" s="8">
        <v>4.8399999999999997E-3</v>
      </c>
      <c r="I231" s="9">
        <f t="shared" si="71"/>
        <v>34.801651188092691</v>
      </c>
      <c r="J231" s="16">
        <v>4.5</v>
      </c>
      <c r="K231" s="7">
        <v>6.61</v>
      </c>
      <c r="L231" s="10">
        <f t="shared" si="76"/>
        <v>0.96483391786561834</v>
      </c>
      <c r="M231" s="12"/>
      <c r="N231" s="11">
        <f t="shared" si="81"/>
        <v>-3.7857579001019368</v>
      </c>
      <c r="O231">
        <f t="shared" si="72"/>
        <v>0.58351930434782606</v>
      </c>
      <c r="P231">
        <f t="shared" si="73"/>
        <v>10.512750766615696</v>
      </c>
      <c r="Q231">
        <f t="shared" si="74"/>
        <v>0.91415224057527789</v>
      </c>
      <c r="R231">
        <f t="shared" si="75"/>
        <v>4.8399999999999997E-3</v>
      </c>
    </row>
    <row r="232" spans="1:18" x14ac:dyDescent="0.3">
      <c r="A232">
        <f t="shared" si="66"/>
        <v>1.6666666666666667</v>
      </c>
      <c r="B232">
        <v>20</v>
      </c>
      <c r="C232">
        <v>1</v>
      </c>
      <c r="D232" s="15">
        <v>13.8</v>
      </c>
      <c r="E232" s="1">
        <v>10.151999999999999</v>
      </c>
      <c r="F232" s="6">
        <f t="shared" si="82"/>
        <v>13.593380614657212</v>
      </c>
      <c r="G232" s="9">
        <v>1.08</v>
      </c>
      <c r="H232" s="8">
        <v>4.8399999999999997E-3</v>
      </c>
      <c r="I232" s="9">
        <f t="shared" si="71"/>
        <v>41.761981425711234</v>
      </c>
      <c r="J232" s="16">
        <v>4.5</v>
      </c>
      <c r="K232" s="7">
        <v>9.68</v>
      </c>
      <c r="L232" s="10">
        <f t="shared" si="76"/>
        <v>0.20992228989822315</v>
      </c>
      <c r="M232" s="12"/>
      <c r="N232" s="11">
        <f t="shared" si="81"/>
        <v>-8.1189643221202843</v>
      </c>
      <c r="O232">
        <f t="shared" si="72"/>
        <v>0.71211130434782599</v>
      </c>
      <c r="P232">
        <f t="shared" si="73"/>
        <v>15.39537479891678</v>
      </c>
      <c r="Q232">
        <f t="shared" si="74"/>
        <v>1.1156068694867232</v>
      </c>
      <c r="R232">
        <f t="shared" si="75"/>
        <v>4.8399999999999997E-3</v>
      </c>
    </row>
    <row r="233" spans="1:18" x14ac:dyDescent="0.3">
      <c r="A233">
        <f t="shared" si="66"/>
        <v>1.6666666666666667</v>
      </c>
      <c r="B233">
        <v>20</v>
      </c>
      <c r="C233">
        <v>1</v>
      </c>
      <c r="D233" s="16">
        <v>17.3</v>
      </c>
      <c r="E233" s="1">
        <v>10.151999999999999</v>
      </c>
      <c r="F233" s="6">
        <f t="shared" si="82"/>
        <v>17.040977147360127</v>
      </c>
      <c r="G233" s="9">
        <v>1.08</v>
      </c>
      <c r="H233" s="8">
        <v>4.8399999999999997E-3</v>
      </c>
      <c r="I233" s="9">
        <f t="shared" si="71"/>
        <v>52.353788309043793</v>
      </c>
      <c r="J233" s="16">
        <v>4.5</v>
      </c>
      <c r="K233" s="7">
        <v>15.86</v>
      </c>
      <c r="L233" s="10">
        <f t="shared" si="76"/>
        <v>-0.79041952290137274</v>
      </c>
      <c r="M233" s="12"/>
      <c r="N233" s="11">
        <f t="shared" si="81"/>
        <v>-21.794970438328232</v>
      </c>
      <c r="O233">
        <f t="shared" si="72"/>
        <v>0.93069780346820796</v>
      </c>
      <c r="P233">
        <f t="shared" si="73"/>
        <v>25.224240114754146</v>
      </c>
      <c r="Q233">
        <f t="shared" si="74"/>
        <v>1.4580485615464824</v>
      </c>
      <c r="R233">
        <f t="shared" si="75"/>
        <v>4.8399999999999997E-3</v>
      </c>
    </row>
    <row r="234" spans="1:18" x14ac:dyDescent="0.3">
      <c r="A234">
        <f t="shared" si="66"/>
        <v>1.6666666666666667</v>
      </c>
      <c r="B234">
        <v>20</v>
      </c>
      <c r="C234">
        <v>2</v>
      </c>
      <c r="D234" s="15">
        <v>2.2999999999999998</v>
      </c>
      <c r="E234" s="1">
        <v>10.151999999999999</v>
      </c>
      <c r="F234" s="6">
        <f t="shared" si="82"/>
        <v>2.265563435776202</v>
      </c>
      <c r="G234" s="9">
        <v>1.08</v>
      </c>
      <c r="H234" s="8">
        <v>2.4199999999999998E-3</v>
      </c>
      <c r="I234" s="9">
        <f t="shared" si="71"/>
        <v>6.960330237618539</v>
      </c>
      <c r="J234" s="16">
        <v>4.5</v>
      </c>
      <c r="K234" s="7">
        <v>0.56999999999999995</v>
      </c>
      <c r="L234" s="10">
        <f t="shared" si="76"/>
        <v>38.484267633674392</v>
      </c>
      <c r="M234" s="12"/>
      <c r="N234" s="11">
        <f>-(1.7*K234^2)/19.62</f>
        <v>-2.8151376146788983E-2</v>
      </c>
      <c r="O234">
        <f t="shared" si="72"/>
        <v>0.25159304347826084</v>
      </c>
      <c r="P234">
        <f t="shared" si="73"/>
        <v>0.90654583010150458</v>
      </c>
      <c r="Q234">
        <f t="shared" si="74"/>
        <v>0.39415036091369765</v>
      </c>
      <c r="R234">
        <f t="shared" si="75"/>
        <v>4.8399999999999997E-3</v>
      </c>
    </row>
    <row r="235" spans="1:18" x14ac:dyDescent="0.3">
      <c r="A235">
        <f t="shared" si="66"/>
        <v>1.6666666666666667</v>
      </c>
      <c r="B235">
        <v>20</v>
      </c>
      <c r="C235">
        <v>2</v>
      </c>
      <c r="D235" s="15">
        <v>4.5999999999999996</v>
      </c>
      <c r="E235" s="1">
        <v>10.151999999999999</v>
      </c>
      <c r="F235" s="6">
        <f t="shared" si="82"/>
        <v>4.531126871552404</v>
      </c>
      <c r="G235" s="9">
        <v>1.08</v>
      </c>
      <c r="H235" s="8">
        <v>2.4199999999999998E-3</v>
      </c>
      <c r="I235" s="9">
        <f t="shared" si="71"/>
        <v>13.920660475237078</v>
      </c>
      <c r="J235" s="16">
        <v>4.5</v>
      </c>
      <c r="K235" s="7">
        <v>2.23</v>
      </c>
      <c r="L235" s="10">
        <f t="shared" si="76"/>
        <v>9.2362070678862747</v>
      </c>
      <c r="M235" s="12"/>
      <c r="N235" s="11">
        <f t="shared" ref="N235:N240" si="83">-(1.7*K235^2)/19.62</f>
        <v>-0.43088328236493373</v>
      </c>
      <c r="O235">
        <f t="shared" si="72"/>
        <v>0.492151304347826</v>
      </c>
      <c r="P235">
        <f t="shared" si="73"/>
        <v>3.5466617563620275</v>
      </c>
      <c r="Q235">
        <f t="shared" si="74"/>
        <v>0.77101342529609296</v>
      </c>
      <c r="R235">
        <f t="shared" si="75"/>
        <v>4.8399999999999997E-3</v>
      </c>
    </row>
    <row r="236" spans="1:18" x14ac:dyDescent="0.3">
      <c r="A236">
        <f t="shared" ref="A236:A299" si="84">100/60</f>
        <v>1.6666666666666667</v>
      </c>
      <c r="B236">
        <v>20</v>
      </c>
      <c r="C236">
        <v>2</v>
      </c>
      <c r="D236" s="15">
        <v>6.9</v>
      </c>
      <c r="E236" s="1">
        <v>10.151999999999999</v>
      </c>
      <c r="F236" s="6">
        <f t="shared" si="82"/>
        <v>6.796690307328606</v>
      </c>
      <c r="G236" s="9">
        <v>1.08</v>
      </c>
      <c r="H236" s="8">
        <v>2.4199999999999998E-3</v>
      </c>
      <c r="I236" s="9">
        <f t="shared" si="71"/>
        <v>20.880990712855617</v>
      </c>
      <c r="J236" s="16">
        <v>4.5</v>
      </c>
      <c r="K236" s="7">
        <v>5.15</v>
      </c>
      <c r="L236" s="10">
        <f t="shared" si="76"/>
        <v>3.3119444283801882</v>
      </c>
      <c r="M236" s="12"/>
      <c r="N236" s="11">
        <f t="shared" si="83"/>
        <v>-2.2980759429153927</v>
      </c>
      <c r="O236">
        <f t="shared" si="72"/>
        <v>0.75772173913043472</v>
      </c>
      <c r="P236">
        <f t="shared" si="73"/>
        <v>8.1907210965311403</v>
      </c>
      <c r="Q236">
        <f t="shared" si="74"/>
        <v>1.1870610284827738</v>
      </c>
      <c r="R236">
        <f t="shared" si="75"/>
        <v>4.8399999999999997E-3</v>
      </c>
    </row>
    <row r="237" spans="1:18" x14ac:dyDescent="0.3">
      <c r="A237">
        <f t="shared" si="84"/>
        <v>1.6666666666666667</v>
      </c>
      <c r="B237">
        <v>20</v>
      </c>
      <c r="C237">
        <v>2</v>
      </c>
      <c r="D237" s="15">
        <v>9.1999999999999993</v>
      </c>
      <c r="E237" s="1">
        <v>10.151999999999999</v>
      </c>
      <c r="F237" s="6">
        <f t="shared" si="82"/>
        <v>9.062253743104808</v>
      </c>
      <c r="G237" s="9">
        <v>1.08</v>
      </c>
      <c r="H237" s="8">
        <v>2.4199999999999998E-3</v>
      </c>
      <c r="I237" s="9">
        <f t="shared" si="71"/>
        <v>27.841320950474156</v>
      </c>
      <c r="J237" s="16">
        <v>4.5</v>
      </c>
      <c r="K237" s="7">
        <v>8.35</v>
      </c>
      <c r="L237" s="10">
        <f t="shared" si="76"/>
        <v>0.96871609945156889</v>
      </c>
      <c r="M237" s="12"/>
      <c r="N237" s="11">
        <f t="shared" si="83"/>
        <v>-6.0411952089704375</v>
      </c>
      <c r="O237">
        <f t="shared" si="72"/>
        <v>0.92140434782608682</v>
      </c>
      <c r="P237">
        <f t="shared" si="73"/>
        <v>13.280101195346603</v>
      </c>
      <c r="Q237">
        <f t="shared" si="74"/>
        <v>1.4434892603637612</v>
      </c>
      <c r="R237">
        <f t="shared" si="75"/>
        <v>4.8399999999999997E-3</v>
      </c>
    </row>
    <row r="238" spans="1:18" x14ac:dyDescent="0.3">
      <c r="A238">
        <f t="shared" si="84"/>
        <v>1.6666666666666667</v>
      </c>
      <c r="B238">
        <v>20</v>
      </c>
      <c r="C238">
        <v>2</v>
      </c>
      <c r="D238" s="15">
        <v>11.5</v>
      </c>
      <c r="E238" s="1">
        <v>10.151999999999999</v>
      </c>
      <c r="F238" s="6">
        <f t="shared" si="82"/>
        <v>11.327817178881009</v>
      </c>
      <c r="G238" s="9">
        <v>1.08</v>
      </c>
      <c r="H238" s="8">
        <v>2.4199999999999998E-3</v>
      </c>
      <c r="I238" s="9">
        <f t="shared" si="71"/>
        <v>34.801651188092691</v>
      </c>
      <c r="J238" s="16">
        <v>4.5</v>
      </c>
      <c r="K238" s="7">
        <v>15.68</v>
      </c>
      <c r="L238" s="10">
        <f t="shared" si="76"/>
        <v>-1.7135560793244793</v>
      </c>
      <c r="M238" s="12"/>
      <c r="N238" s="11">
        <f t="shared" si="83"/>
        <v>-21.303062181447501</v>
      </c>
      <c r="O238">
        <f t="shared" si="72"/>
        <v>1.3842031304347826</v>
      </c>
      <c r="P238">
        <f t="shared" si="73"/>
        <v>24.937962484195776</v>
      </c>
      <c r="Q238">
        <f t="shared" si="74"/>
        <v>2.1685184768865891</v>
      </c>
      <c r="R238">
        <f t="shared" si="75"/>
        <v>4.8399999999999997E-3</v>
      </c>
    </row>
    <row r="239" spans="1:18" x14ac:dyDescent="0.3">
      <c r="A239">
        <f t="shared" si="84"/>
        <v>1.6666666666666667</v>
      </c>
      <c r="B239">
        <v>20</v>
      </c>
      <c r="C239">
        <v>2</v>
      </c>
      <c r="D239" s="15">
        <v>13.8</v>
      </c>
      <c r="E239" s="1">
        <v>10.151999999999999</v>
      </c>
      <c r="F239" s="6">
        <f t="shared" si="82"/>
        <v>13.593380614657212</v>
      </c>
      <c r="G239" s="9">
        <v>1.08</v>
      </c>
      <c r="H239" s="8">
        <v>2.4199999999999998E-3</v>
      </c>
      <c r="I239" s="9">
        <f t="shared" si="71"/>
        <v>41.761981425711234</v>
      </c>
      <c r="J239" s="16">
        <v>4.5</v>
      </c>
      <c r="K239" s="7">
        <v>21.51</v>
      </c>
      <c r="L239" s="10">
        <f t="shared" si="76"/>
        <v>-3.184720538127789</v>
      </c>
      <c r="M239" s="12"/>
      <c r="N239" s="11">
        <f t="shared" si="83"/>
        <v>-40.089509174311935</v>
      </c>
      <c r="O239">
        <f t="shared" si="72"/>
        <v>1.5823878260869564</v>
      </c>
      <c r="P239">
        <f t="shared" si="73"/>
        <v>34.210176851725201</v>
      </c>
      <c r="Q239">
        <f t="shared" si="74"/>
        <v>2.4789983225887826</v>
      </c>
      <c r="R239">
        <f t="shared" si="75"/>
        <v>4.8399999999999997E-3</v>
      </c>
    </row>
    <row r="240" spans="1:18" x14ac:dyDescent="0.3">
      <c r="A240">
        <f t="shared" si="84"/>
        <v>1.6666666666666667</v>
      </c>
      <c r="B240">
        <v>20</v>
      </c>
      <c r="C240">
        <v>2</v>
      </c>
      <c r="D240" s="16">
        <v>17.399999999999999</v>
      </c>
      <c r="E240" s="1">
        <v>10.151999999999999</v>
      </c>
      <c r="F240" s="6">
        <f t="shared" si="82"/>
        <v>17.139479905437351</v>
      </c>
      <c r="G240" s="9">
        <v>1.08</v>
      </c>
      <c r="H240" s="8">
        <v>2.4199999999999998E-3</v>
      </c>
      <c r="I240" s="9">
        <f t="shared" si="71"/>
        <v>52.656411362853284</v>
      </c>
      <c r="J240" s="16">
        <v>4.5</v>
      </c>
      <c r="K240" s="7">
        <v>29.7</v>
      </c>
      <c r="L240" s="10">
        <f t="shared" si="76"/>
        <v>-4.4303568625335545</v>
      </c>
      <c r="M240" s="12"/>
      <c r="N240" s="11">
        <f t="shared" si="83"/>
        <v>-76.429816513761452</v>
      </c>
      <c r="O240">
        <f t="shared" si="72"/>
        <v>1.7328413793103448</v>
      </c>
      <c r="P240">
        <f t="shared" si="73"/>
        <v>47.235809042131038</v>
      </c>
      <c r="Q240">
        <f t="shared" si="74"/>
        <v>2.714701669087991</v>
      </c>
      <c r="R240">
        <f t="shared" si="75"/>
        <v>4.8399999999999997E-3</v>
      </c>
    </row>
    <row r="241" spans="1:18" x14ac:dyDescent="0.3">
      <c r="A241">
        <f t="shared" si="84"/>
        <v>1.6666666666666667</v>
      </c>
      <c r="B241">
        <v>20</v>
      </c>
      <c r="C241">
        <v>4</v>
      </c>
      <c r="D241" s="15">
        <v>2.2999999999999998</v>
      </c>
      <c r="E241" s="1">
        <v>10.151999999999999</v>
      </c>
      <c r="F241" s="6">
        <f t="shared" si="82"/>
        <v>2.265563435776202</v>
      </c>
      <c r="G241" s="9">
        <v>1.08</v>
      </c>
      <c r="H241" s="8">
        <v>1.2099999999999999E-3</v>
      </c>
      <c r="I241" s="9">
        <f t="shared" si="71"/>
        <v>6.960330237618539</v>
      </c>
      <c r="J241" s="16">
        <v>4.5</v>
      </c>
      <c r="K241" s="7">
        <v>0.75</v>
      </c>
      <c r="L241" s="10">
        <f t="shared" si="76"/>
        <v>38.405573401221311</v>
      </c>
      <c r="M241" s="12"/>
      <c r="N241" s="11">
        <f>-(1.7*K241^2)/19.62</f>
        <v>-4.8738532110091735E-2</v>
      </c>
      <c r="O241">
        <f t="shared" si="72"/>
        <v>0.33104347826086955</v>
      </c>
      <c r="P241">
        <f t="shared" si="73"/>
        <v>1.1928234606598747</v>
      </c>
      <c r="Q241">
        <f t="shared" si="74"/>
        <v>0.51861889593907595</v>
      </c>
      <c r="R241">
        <f t="shared" si="75"/>
        <v>4.8399999999999997E-3</v>
      </c>
    </row>
    <row r="242" spans="1:18" x14ac:dyDescent="0.3">
      <c r="A242">
        <f t="shared" si="84"/>
        <v>1.6666666666666667</v>
      </c>
      <c r="B242">
        <v>20</v>
      </c>
      <c r="C242">
        <v>4</v>
      </c>
      <c r="D242" s="15">
        <v>4.5999999999999996</v>
      </c>
      <c r="E242" s="1">
        <v>10.151999999999999</v>
      </c>
      <c r="F242" s="6">
        <f t="shared" si="82"/>
        <v>4.531126871552404</v>
      </c>
      <c r="G242" s="9">
        <v>1.08</v>
      </c>
      <c r="H242" s="8">
        <v>1.2099999999999999E-3</v>
      </c>
      <c r="I242" s="9">
        <f t="shared" si="71"/>
        <v>13.920660475237078</v>
      </c>
      <c r="J242" s="16">
        <v>4.5</v>
      </c>
      <c r="K242" s="7">
        <v>2.76</v>
      </c>
      <c r="L242" s="10">
        <f t="shared" si="76"/>
        <v>9.0172228122374261</v>
      </c>
      <c r="M242" s="12"/>
      <c r="N242" s="11">
        <f t="shared" ref="N242:N247" si="85">-(1.7*K242^2)/19.62</f>
        <v>-0.66003669724770619</v>
      </c>
      <c r="O242">
        <f t="shared" si="72"/>
        <v>0.60911999999999988</v>
      </c>
      <c r="P242">
        <f t="shared" si="73"/>
        <v>4.3895903352283376</v>
      </c>
      <c r="Q242">
        <f t="shared" si="74"/>
        <v>0.95425876852789959</v>
      </c>
      <c r="R242">
        <f t="shared" si="75"/>
        <v>4.8399999999999997E-3</v>
      </c>
    </row>
    <row r="243" spans="1:18" x14ac:dyDescent="0.3">
      <c r="A243">
        <f t="shared" si="84"/>
        <v>1.6666666666666667</v>
      </c>
      <c r="B243">
        <v>20</v>
      </c>
      <c r="C243">
        <v>4</v>
      </c>
      <c r="D243" s="15">
        <v>6.9</v>
      </c>
      <c r="E243" s="1">
        <v>10.151999999999999</v>
      </c>
      <c r="F243" s="6">
        <f t="shared" si="82"/>
        <v>6.796690307328606</v>
      </c>
      <c r="G243" s="9">
        <v>1.08</v>
      </c>
      <c r="H243" s="8">
        <v>1.2099999999999999E-3</v>
      </c>
      <c r="I243" s="9">
        <f t="shared" si="71"/>
        <v>20.880990712855617</v>
      </c>
      <c r="J243" s="16">
        <v>4.5</v>
      </c>
      <c r="K243" s="7">
        <v>5.72</v>
      </c>
      <c r="L243" s="10">
        <f t="shared" si="76"/>
        <v>3.0839320851066914</v>
      </c>
      <c r="M243" s="12"/>
      <c r="N243" s="11">
        <f t="shared" si="85"/>
        <v>-2.8349276248725785</v>
      </c>
      <c r="O243">
        <f t="shared" si="72"/>
        <v>0.8415860869565216</v>
      </c>
      <c r="P243">
        <f t="shared" si="73"/>
        <v>9.097266926632642</v>
      </c>
      <c r="Q243">
        <f t="shared" si="74"/>
        <v>1.3184444821206727</v>
      </c>
      <c r="R243">
        <f t="shared" si="75"/>
        <v>4.8399999999999997E-3</v>
      </c>
    </row>
    <row r="244" spans="1:18" x14ac:dyDescent="0.3">
      <c r="A244">
        <f t="shared" si="84"/>
        <v>1.6666666666666667</v>
      </c>
      <c r="B244">
        <v>20</v>
      </c>
      <c r="C244">
        <v>4</v>
      </c>
      <c r="D244" s="15">
        <v>9.1999999999999993</v>
      </c>
      <c r="E244" s="1">
        <v>10.151999999999999</v>
      </c>
      <c r="F244" s="6">
        <f t="shared" si="82"/>
        <v>9.062253743104808</v>
      </c>
      <c r="G244" s="9">
        <v>1.08</v>
      </c>
      <c r="H244" s="8">
        <v>1.2099999999999999E-3</v>
      </c>
      <c r="I244" s="9">
        <f t="shared" si="71"/>
        <v>27.841320950474156</v>
      </c>
      <c r="J244" s="16">
        <v>4.5</v>
      </c>
      <c r="K244" s="7">
        <v>10.71</v>
      </c>
      <c r="L244" s="10">
        <f t="shared" si="76"/>
        <v>3.7583816593950603E-2</v>
      </c>
      <c r="M244" s="12"/>
      <c r="N244" s="11">
        <f t="shared" si="85"/>
        <v>-9.9386834862385331</v>
      </c>
      <c r="O244">
        <f t="shared" si="72"/>
        <v>1.1818252173913042</v>
      </c>
      <c r="P244">
        <f t="shared" si="73"/>
        <v>17.033519018223011</v>
      </c>
      <c r="Q244">
        <f t="shared" si="74"/>
        <v>1.8514694585025013</v>
      </c>
      <c r="R244">
        <f t="shared" si="75"/>
        <v>4.8399999999999997E-3</v>
      </c>
    </row>
    <row r="245" spans="1:18" x14ac:dyDescent="0.3">
      <c r="A245">
        <f t="shared" si="84"/>
        <v>1.6666666666666667</v>
      </c>
      <c r="B245">
        <v>20</v>
      </c>
      <c r="C245">
        <v>4</v>
      </c>
      <c r="D245" s="15">
        <v>11.5</v>
      </c>
      <c r="E245" s="1">
        <v>10.151999999999999</v>
      </c>
      <c r="F245" s="6">
        <f t="shared" si="82"/>
        <v>11.327817178881009</v>
      </c>
      <c r="G245" s="9">
        <v>1.08</v>
      </c>
      <c r="H245" s="8">
        <v>1.2099999999999999E-3</v>
      </c>
      <c r="I245" s="9">
        <f t="shared" si="71"/>
        <v>34.801651188092691</v>
      </c>
      <c r="J245" s="16">
        <v>4.5</v>
      </c>
      <c r="K245" s="7">
        <v>17.829999999999998</v>
      </c>
      <c r="L245" s="10">
        <f t="shared" si="76"/>
        <v>-2.6680416043128496</v>
      </c>
      <c r="M245" s="12"/>
      <c r="N245" s="11">
        <f t="shared" si="85"/>
        <v>-27.545623343527009</v>
      </c>
      <c r="O245">
        <f t="shared" si="72"/>
        <v>1.5740013913043476</v>
      </c>
      <c r="P245">
        <f t="shared" si="73"/>
        <v>28.357389738087413</v>
      </c>
      <c r="Q245">
        <f t="shared" si="74"/>
        <v>2.4658599772249925</v>
      </c>
      <c r="R245">
        <f t="shared" si="75"/>
        <v>4.8399999999999997E-3</v>
      </c>
    </row>
    <row r="246" spans="1:18" x14ac:dyDescent="0.3">
      <c r="A246">
        <f t="shared" si="84"/>
        <v>1.6666666666666667</v>
      </c>
      <c r="B246">
        <v>20</v>
      </c>
      <c r="C246">
        <v>4</v>
      </c>
      <c r="D246" s="15">
        <v>13.8</v>
      </c>
      <c r="E246" s="1">
        <v>10.151999999999999</v>
      </c>
      <c r="F246" s="6">
        <f t="shared" si="82"/>
        <v>13.593380614657212</v>
      </c>
      <c r="G246" s="9">
        <v>1.08</v>
      </c>
      <c r="H246" s="8">
        <v>1.2099999999999999E-3</v>
      </c>
      <c r="I246" s="9">
        <f t="shared" si="71"/>
        <v>41.761981425711234</v>
      </c>
      <c r="J246" s="16">
        <v>4.5</v>
      </c>
      <c r="K246" s="7">
        <v>22.7</v>
      </c>
      <c r="L246" s="10">
        <f t="shared" si="76"/>
        <v>-3.6687384603983353</v>
      </c>
      <c r="M246" s="12"/>
      <c r="N246" s="11">
        <f t="shared" si="85"/>
        <v>-44.647961264016303</v>
      </c>
      <c r="O246">
        <f t="shared" si="72"/>
        <v>1.6699304347826085</v>
      </c>
      <c r="P246">
        <f t="shared" si="73"/>
        <v>36.102790075972202</v>
      </c>
      <c r="Q246">
        <f t="shared" si="74"/>
        <v>2.6161442084037825</v>
      </c>
      <c r="R246">
        <f t="shared" si="75"/>
        <v>4.8399999999999997E-3</v>
      </c>
    </row>
    <row r="247" spans="1:18" x14ac:dyDescent="0.3">
      <c r="A247">
        <f t="shared" si="84"/>
        <v>1.6666666666666667</v>
      </c>
      <c r="B247">
        <v>20</v>
      </c>
      <c r="C247">
        <v>4</v>
      </c>
      <c r="D247" s="16">
        <v>17</v>
      </c>
      <c r="E247" s="1">
        <v>10.151999999999999</v>
      </c>
      <c r="F247" s="6">
        <f t="shared" si="82"/>
        <v>16.745468873128448</v>
      </c>
      <c r="G247" s="9">
        <v>1.08</v>
      </c>
      <c r="H247" s="8">
        <v>1.2099999999999999E-3</v>
      </c>
      <c r="I247" s="9">
        <f t="shared" si="71"/>
        <v>51.445919147615285</v>
      </c>
      <c r="J247" s="16">
        <v>4.5</v>
      </c>
      <c r="K247" s="7">
        <v>27.99</v>
      </c>
      <c r="L247" s="10">
        <f t="shared" si="76"/>
        <v>-4.0432285133035828</v>
      </c>
      <c r="M247" s="12"/>
      <c r="N247" s="11">
        <f t="shared" si="85"/>
        <v>-67.88216972477062</v>
      </c>
      <c r="O247">
        <f t="shared" si="72"/>
        <v>1.6714969411764704</v>
      </c>
      <c r="P247">
        <f t="shared" si="73"/>
        <v>44.516171551826517</v>
      </c>
      <c r="Q247">
        <f t="shared" si="74"/>
        <v>2.6185983265780304</v>
      </c>
      <c r="R247">
        <f t="shared" si="75"/>
        <v>4.8399999999999997E-3</v>
      </c>
    </row>
    <row r="248" spans="1:18" x14ac:dyDescent="0.3">
      <c r="A248">
        <f t="shared" si="84"/>
        <v>1.6666666666666667</v>
      </c>
      <c r="B248">
        <v>20</v>
      </c>
      <c r="C248">
        <v>6</v>
      </c>
      <c r="D248" s="15">
        <v>2.2999999999999998</v>
      </c>
      <c r="E248" s="1">
        <v>10.151999999999999</v>
      </c>
      <c r="F248" s="6">
        <f t="shared" si="82"/>
        <v>2.265563435776202</v>
      </c>
      <c r="G248" s="9">
        <v>1.08</v>
      </c>
      <c r="H248" s="8">
        <v>8.0667E-4</v>
      </c>
      <c r="I248" s="9">
        <f t="shared" si="71"/>
        <v>6.960330237618539</v>
      </c>
      <c r="J248" s="16">
        <v>3</v>
      </c>
      <c r="K248" s="7">
        <v>0</v>
      </c>
      <c r="L248" s="10">
        <f t="shared" si="76"/>
        <v>38.591876034869706</v>
      </c>
      <c r="M248" s="12"/>
      <c r="N248" s="11">
        <f>-(1.7*K248^2)/19.62</f>
        <v>0</v>
      </c>
      <c r="O248">
        <f t="shared" si="72"/>
        <v>0</v>
      </c>
      <c r="P248">
        <f t="shared" si="73"/>
        <v>0</v>
      </c>
      <c r="Q248">
        <f t="shared" si="74"/>
        <v>0</v>
      </c>
      <c r="R248">
        <f t="shared" si="75"/>
        <v>4.8400200000000004E-3</v>
      </c>
    </row>
    <row r="249" spans="1:18" x14ac:dyDescent="0.3">
      <c r="A249">
        <f t="shared" si="84"/>
        <v>1.6666666666666667</v>
      </c>
      <c r="B249">
        <v>20</v>
      </c>
      <c r="C249">
        <v>6</v>
      </c>
      <c r="D249" s="15">
        <v>4.5999999999999996</v>
      </c>
      <c r="E249" s="1">
        <v>10.151999999999999</v>
      </c>
      <c r="F249" s="6">
        <f t="shared" si="82"/>
        <v>4.531126871552404</v>
      </c>
      <c r="G249" s="9">
        <v>1.08</v>
      </c>
      <c r="H249" s="8">
        <v>8.0667E-4</v>
      </c>
      <c r="I249" s="9">
        <f t="shared" si="71"/>
        <v>13.920660475237078</v>
      </c>
      <c r="J249" s="16">
        <v>4.5</v>
      </c>
      <c r="K249" s="7">
        <v>2.48</v>
      </c>
      <c r="L249" s="10">
        <f t="shared" si="76"/>
        <v>9.1387086896102812</v>
      </c>
      <c r="M249" s="12"/>
      <c r="N249" s="11">
        <f t="shared" ref="N249:N254" si="86">-(1.7*K249^2)/19.62</f>
        <v>-0.53290927624872586</v>
      </c>
      <c r="O249">
        <f t="shared" si="72"/>
        <v>0.54732521739130424</v>
      </c>
      <c r="P249">
        <f t="shared" si="73"/>
        <v>3.9442695765819855</v>
      </c>
      <c r="Q249">
        <f t="shared" si="74"/>
        <v>0.85744990795260556</v>
      </c>
      <c r="R249">
        <f t="shared" si="75"/>
        <v>4.8400200000000004E-3</v>
      </c>
    </row>
    <row r="250" spans="1:18" x14ac:dyDescent="0.3">
      <c r="A250">
        <f t="shared" si="84"/>
        <v>1.6666666666666667</v>
      </c>
      <c r="B250">
        <v>20</v>
      </c>
      <c r="C250">
        <v>6</v>
      </c>
      <c r="D250" s="15">
        <v>6.9</v>
      </c>
      <c r="E250" s="1">
        <v>10.151999999999999</v>
      </c>
      <c r="F250" s="6">
        <f t="shared" si="82"/>
        <v>6.796690307328606</v>
      </c>
      <c r="G250" s="9">
        <v>1.08</v>
      </c>
      <c r="H250" s="8">
        <v>8.0667E-4</v>
      </c>
      <c r="I250" s="9">
        <f t="shared" si="71"/>
        <v>20.880990712855617</v>
      </c>
      <c r="J250" s="16">
        <v>4.5</v>
      </c>
      <c r="K250" s="7">
        <v>5.2</v>
      </c>
      <c r="L250" s="10">
        <f t="shared" si="76"/>
        <v>3.2929001591627971</v>
      </c>
      <c r="M250" s="12"/>
      <c r="N250" s="11">
        <f t="shared" si="86"/>
        <v>-2.342915392456677</v>
      </c>
      <c r="O250">
        <f t="shared" si="72"/>
        <v>0.7650782608695651</v>
      </c>
      <c r="P250">
        <f t="shared" si="73"/>
        <v>8.2702426605751302</v>
      </c>
      <c r="Q250">
        <f t="shared" si="74"/>
        <v>1.1985858928369753</v>
      </c>
      <c r="R250">
        <f t="shared" si="75"/>
        <v>4.8400200000000004E-3</v>
      </c>
    </row>
    <row r="251" spans="1:18" x14ac:dyDescent="0.3">
      <c r="A251">
        <f t="shared" si="84"/>
        <v>1.6666666666666667</v>
      </c>
      <c r="B251">
        <v>20</v>
      </c>
      <c r="C251">
        <v>6</v>
      </c>
      <c r="D251" s="15">
        <v>9.1999999999999993</v>
      </c>
      <c r="E251" s="1">
        <v>10.151999999999999</v>
      </c>
      <c r="F251" s="6">
        <f t="shared" si="82"/>
        <v>9.062253743104808</v>
      </c>
      <c r="G251" s="9">
        <v>1.08</v>
      </c>
      <c r="H251" s="8">
        <v>8.0667E-4</v>
      </c>
      <c r="I251" s="9">
        <f t="shared" si="71"/>
        <v>27.841320950474156</v>
      </c>
      <c r="J251" s="16">
        <v>4.5</v>
      </c>
      <c r="K251" s="7">
        <v>9.75</v>
      </c>
      <c r="L251" s="10">
        <f t="shared" si="76"/>
        <v>0.44417068426820444</v>
      </c>
      <c r="M251" s="12"/>
      <c r="N251" s="11">
        <f t="shared" si="86"/>
        <v>-8.2368119266055029</v>
      </c>
      <c r="O251">
        <f t="shared" si="72"/>
        <v>1.075891304347826</v>
      </c>
      <c r="P251">
        <f t="shared" si="73"/>
        <v>15.506704988578369</v>
      </c>
      <c r="Q251">
        <f t="shared" si="74"/>
        <v>1.6855114118019967</v>
      </c>
      <c r="R251">
        <f t="shared" si="75"/>
        <v>4.8400200000000004E-3</v>
      </c>
    </row>
    <row r="252" spans="1:18" x14ac:dyDescent="0.3">
      <c r="A252">
        <f t="shared" si="84"/>
        <v>1.6666666666666667</v>
      </c>
      <c r="B252">
        <v>20</v>
      </c>
      <c r="C252">
        <v>6</v>
      </c>
      <c r="D252" s="15">
        <v>11.5</v>
      </c>
      <c r="E252" s="1">
        <v>10.151999999999999</v>
      </c>
      <c r="F252" s="6">
        <f t="shared" si="82"/>
        <v>11.327817178881009</v>
      </c>
      <c r="G252" s="9">
        <v>1.08</v>
      </c>
      <c r="H252" s="8">
        <v>8.0667E-4</v>
      </c>
      <c r="I252" s="9">
        <f t="shared" si="71"/>
        <v>34.801651188092691</v>
      </c>
      <c r="J252" s="16">
        <v>4.5</v>
      </c>
      <c r="K252" s="7">
        <v>15.25</v>
      </c>
      <c r="L252" s="10">
        <f t="shared" si="76"/>
        <v>-1.5373565132970828</v>
      </c>
      <c r="M252" s="12"/>
      <c r="N252" s="11">
        <f t="shared" si="86"/>
        <v>-20.150675331294597</v>
      </c>
      <c r="O252">
        <f t="shared" si="72"/>
        <v>1.3462434782608694</v>
      </c>
      <c r="P252">
        <f t="shared" si="73"/>
        <v>24.254077033417452</v>
      </c>
      <c r="Q252">
        <f t="shared" si="74"/>
        <v>2.1090501768189087</v>
      </c>
      <c r="R252">
        <f t="shared" si="75"/>
        <v>4.8400200000000004E-3</v>
      </c>
    </row>
    <row r="253" spans="1:18" x14ac:dyDescent="0.3">
      <c r="A253">
        <f t="shared" si="84"/>
        <v>1.6666666666666667</v>
      </c>
      <c r="B253">
        <v>20</v>
      </c>
      <c r="C253">
        <v>6</v>
      </c>
      <c r="D253" s="15">
        <v>13.8</v>
      </c>
      <c r="E253" s="1">
        <v>10.151999999999999</v>
      </c>
      <c r="F253" s="6">
        <f t="shared" si="82"/>
        <v>13.593380614657212</v>
      </c>
      <c r="G253" s="9">
        <v>1.08</v>
      </c>
      <c r="H253" s="8">
        <v>8.0667E-4</v>
      </c>
      <c r="I253" s="9">
        <f t="shared" si="71"/>
        <v>41.761981425711234</v>
      </c>
      <c r="J253" s="16">
        <v>4.5</v>
      </c>
      <c r="K253" s="7">
        <v>15.42</v>
      </c>
      <c r="L253" s="10">
        <f t="shared" si="76"/>
        <v>-1.1155772478923249</v>
      </c>
      <c r="M253" s="12"/>
      <c r="N253" s="11">
        <f t="shared" si="86"/>
        <v>-20.602440366972477</v>
      </c>
      <c r="O253">
        <f t="shared" si="72"/>
        <v>1.134375652173913</v>
      </c>
      <c r="P253">
        <f t="shared" si="73"/>
        <v>24.524450351167022</v>
      </c>
      <c r="Q253">
        <f t="shared" si="74"/>
        <v>1.7771340834179001</v>
      </c>
      <c r="R253">
        <f t="shared" si="75"/>
        <v>4.8400200000000004E-3</v>
      </c>
    </row>
    <row r="254" spans="1:18" x14ac:dyDescent="0.3">
      <c r="A254">
        <f t="shared" si="84"/>
        <v>1.6666666666666667</v>
      </c>
      <c r="B254">
        <v>20</v>
      </c>
      <c r="C254">
        <v>6</v>
      </c>
      <c r="D254" s="16">
        <v>16.899999999999999</v>
      </c>
      <c r="E254" s="1">
        <v>10.151999999999999</v>
      </c>
      <c r="F254" s="6">
        <f t="shared" si="82"/>
        <v>16.646966115051221</v>
      </c>
      <c r="G254" s="9">
        <v>1.08</v>
      </c>
      <c r="H254" s="8">
        <v>8.0667E-4</v>
      </c>
      <c r="I254" s="9">
        <f t="shared" si="71"/>
        <v>51.14329609380578</v>
      </c>
      <c r="J254" s="16">
        <v>4.5</v>
      </c>
      <c r="K254" s="7">
        <v>21.65</v>
      </c>
      <c r="L254" s="10">
        <f t="shared" si="76"/>
        <v>-2.1605857770190786</v>
      </c>
      <c r="M254" s="12"/>
      <c r="N254" s="11">
        <f t="shared" si="86"/>
        <v>-40.613060652395504</v>
      </c>
      <c r="O254">
        <f t="shared" si="72"/>
        <v>1.3005372781065088</v>
      </c>
      <c r="P254">
        <f t="shared" si="73"/>
        <v>34.432837231048374</v>
      </c>
      <c r="Q254">
        <f t="shared" si="74"/>
        <v>2.0374459900028628</v>
      </c>
      <c r="R254">
        <f t="shared" si="75"/>
        <v>4.8400200000000004E-3</v>
      </c>
    </row>
    <row r="255" spans="1:18" x14ac:dyDescent="0.3">
      <c r="A255">
        <f t="shared" si="84"/>
        <v>1.6666666666666667</v>
      </c>
      <c r="B255">
        <v>30</v>
      </c>
      <c r="C255">
        <v>1</v>
      </c>
      <c r="D255" s="15">
        <v>3.3</v>
      </c>
      <c r="E255" s="1">
        <v>15.228</v>
      </c>
      <c r="F255" s="6">
        <f t="shared" si="82"/>
        <v>2.1670606776989754</v>
      </c>
      <c r="G255" s="9">
        <v>1.62</v>
      </c>
      <c r="H255" s="8">
        <v>6.9100000000000003E-3</v>
      </c>
      <c r="I255" s="9">
        <f t="shared" si="71"/>
        <v>5.4359951523980374</v>
      </c>
      <c r="J255" s="16">
        <v>4.5</v>
      </c>
      <c r="K255" s="7">
        <v>0.4</v>
      </c>
      <c r="L255" s="10">
        <f t="shared" si="76"/>
        <v>42.122043921814218</v>
      </c>
      <c r="M255" s="12"/>
      <c r="N255" s="11">
        <f>-(1.7*K255^2)/19.62</f>
        <v>-1.3863404689092763E-2</v>
      </c>
      <c r="O255">
        <f t="shared" si="72"/>
        <v>0.18458181818181821</v>
      </c>
      <c r="P255">
        <f t="shared" si="73"/>
        <v>0.63617251235193317</v>
      </c>
      <c r="Q255">
        <f t="shared" si="74"/>
        <v>0.19277954919755552</v>
      </c>
      <c r="R255">
        <f t="shared" si="75"/>
        <v>6.9100000000000003E-3</v>
      </c>
    </row>
    <row r="256" spans="1:18" x14ac:dyDescent="0.3">
      <c r="A256">
        <f t="shared" si="84"/>
        <v>1.6666666666666667</v>
      </c>
      <c r="B256">
        <v>30</v>
      </c>
      <c r="C256">
        <v>1</v>
      </c>
      <c r="D256" s="15">
        <v>6.6</v>
      </c>
      <c r="E256" s="1">
        <v>15.228</v>
      </c>
      <c r="F256" s="6">
        <f t="shared" si="82"/>
        <v>4.3341213553979507</v>
      </c>
      <c r="G256" s="9">
        <v>1.62</v>
      </c>
      <c r="H256" s="8">
        <v>6.9100000000000003E-3</v>
      </c>
      <c r="I256" s="9">
        <f t="shared" si="71"/>
        <v>10.871990304796075</v>
      </c>
      <c r="J256" s="16">
        <v>4.5</v>
      </c>
      <c r="K256" s="7">
        <v>1.56</v>
      </c>
      <c r="L256" s="10">
        <f t="shared" si="76"/>
        <v>10.32475102976529</v>
      </c>
      <c r="M256" s="12"/>
      <c r="N256" s="11">
        <f t="shared" ref="N256:N261" si="87">-(1.7*K256^2)/19.62</f>
        <v>-0.21086238532110094</v>
      </c>
      <c r="O256">
        <f t="shared" si="72"/>
        <v>0.35993454545454551</v>
      </c>
      <c r="P256">
        <f t="shared" si="73"/>
        <v>2.4810727981725389</v>
      </c>
      <c r="Q256">
        <f t="shared" si="74"/>
        <v>0.37592012093523319</v>
      </c>
      <c r="R256">
        <f t="shared" si="75"/>
        <v>6.9100000000000003E-3</v>
      </c>
    </row>
    <row r="257" spans="1:18" x14ac:dyDescent="0.3">
      <c r="A257">
        <f t="shared" si="84"/>
        <v>1.6666666666666667</v>
      </c>
      <c r="B257">
        <v>30</v>
      </c>
      <c r="C257">
        <v>1</v>
      </c>
      <c r="D257" s="15">
        <v>9.9</v>
      </c>
      <c r="E257" s="1">
        <v>15.228</v>
      </c>
      <c r="F257" s="6">
        <f t="shared" si="82"/>
        <v>6.501182033096927</v>
      </c>
      <c r="G257" s="9">
        <v>1.62</v>
      </c>
      <c r="H257" s="8">
        <v>6.9100000000000003E-3</v>
      </c>
      <c r="I257" s="9">
        <f t="shared" si="71"/>
        <v>16.307985457194114</v>
      </c>
      <c r="J257" s="16">
        <v>4.5</v>
      </c>
      <c r="K257" s="7">
        <v>3.67</v>
      </c>
      <c r="L257" s="10">
        <f t="shared" si="76"/>
        <v>4.1449157786856201</v>
      </c>
      <c r="M257" s="12"/>
      <c r="N257" s="11">
        <f t="shared" si="87"/>
        <v>-1.1670300713557593</v>
      </c>
      <c r="O257">
        <f t="shared" si="72"/>
        <v>0.56451272727272728</v>
      </c>
      <c r="P257">
        <f t="shared" si="73"/>
        <v>5.8368828008289864</v>
      </c>
      <c r="Q257">
        <f t="shared" si="74"/>
        <v>0.58958412129585713</v>
      </c>
      <c r="R257">
        <f t="shared" si="75"/>
        <v>6.9100000000000003E-3</v>
      </c>
    </row>
    <row r="258" spans="1:18" x14ac:dyDescent="0.3">
      <c r="A258">
        <f t="shared" si="84"/>
        <v>1.6666666666666667</v>
      </c>
      <c r="B258">
        <v>30</v>
      </c>
      <c r="C258">
        <v>1</v>
      </c>
      <c r="D258" s="15">
        <v>13.2</v>
      </c>
      <c r="E258" s="1">
        <v>15.228</v>
      </c>
      <c r="F258" s="6">
        <f t="shared" si="82"/>
        <v>8.6682427107959015</v>
      </c>
      <c r="G258" s="9">
        <v>1.62</v>
      </c>
      <c r="H258" s="8">
        <v>6.9100000000000003E-3</v>
      </c>
      <c r="I258" s="9">
        <f t="shared" si="71"/>
        <v>21.74398060959215</v>
      </c>
      <c r="J258" s="16">
        <v>4.5</v>
      </c>
      <c r="K258" s="7">
        <v>7.59</v>
      </c>
      <c r="L258" s="10">
        <f t="shared" si="76"/>
        <v>1.3328698476012399</v>
      </c>
      <c r="M258" s="12"/>
      <c r="N258" s="11">
        <f t="shared" si="87"/>
        <v>-4.9915275229357796</v>
      </c>
      <c r="O258">
        <f t="shared" si="72"/>
        <v>0.87561000000000011</v>
      </c>
      <c r="P258">
        <f t="shared" si="73"/>
        <v>12.071373421877929</v>
      </c>
      <c r="Q258">
        <f t="shared" si="74"/>
        <v>0.91449798650590375</v>
      </c>
      <c r="R258">
        <f t="shared" si="75"/>
        <v>6.9100000000000003E-3</v>
      </c>
    </row>
    <row r="259" spans="1:18" x14ac:dyDescent="0.3">
      <c r="A259">
        <f t="shared" si="84"/>
        <v>1.6666666666666667</v>
      </c>
      <c r="B259">
        <v>30</v>
      </c>
      <c r="C259">
        <v>1</v>
      </c>
      <c r="D259" s="15">
        <v>16.5</v>
      </c>
      <c r="E259" s="1">
        <v>15.228</v>
      </c>
      <c r="F259" s="6">
        <f t="shared" si="82"/>
        <v>10.835303388494877</v>
      </c>
      <c r="G259" s="9">
        <v>1.62</v>
      </c>
      <c r="H259" s="8">
        <v>6.9100000000000003E-3</v>
      </c>
      <c r="I259" s="9">
        <f t="shared" ref="I259:I322" si="88">(F259)/((9.81*G259*10^-2))^(1/2)</f>
        <v>27.179975761990189</v>
      </c>
      <c r="J259" s="16">
        <v>4.5</v>
      </c>
      <c r="K259" s="7">
        <v>12.12</v>
      </c>
      <c r="L259" s="10">
        <f t="shared" si="76"/>
        <v>-0.43982358501849894</v>
      </c>
      <c r="M259" s="12"/>
      <c r="N259" s="11">
        <f t="shared" si="87"/>
        <v>-12.727853211009172</v>
      </c>
      <c r="O259">
        <f t="shared" si="72"/>
        <v>1.1185658181818181</v>
      </c>
      <c r="P259">
        <f t="shared" si="73"/>
        <v>19.276027124263571</v>
      </c>
      <c r="Q259">
        <f t="shared" si="74"/>
        <v>1.1682440681371862</v>
      </c>
      <c r="R259">
        <f t="shared" si="75"/>
        <v>6.9100000000000003E-3</v>
      </c>
    </row>
    <row r="260" spans="1:18" x14ac:dyDescent="0.3">
      <c r="A260">
        <f t="shared" si="84"/>
        <v>1.6666666666666667</v>
      </c>
      <c r="B260">
        <v>30</v>
      </c>
      <c r="C260">
        <v>1</v>
      </c>
      <c r="D260" s="15">
        <v>19.8</v>
      </c>
      <c r="E260" s="1">
        <v>15.228</v>
      </c>
      <c r="F260" s="6">
        <f t="shared" si="82"/>
        <v>13.002364066193854</v>
      </c>
      <c r="G260" s="9">
        <v>1.62</v>
      </c>
      <c r="H260" s="8">
        <v>6.9100000000000003E-3</v>
      </c>
      <c r="I260" s="9">
        <f t="shared" si="88"/>
        <v>32.615970914388228</v>
      </c>
      <c r="J260" s="16">
        <v>4.5</v>
      </c>
      <c r="K260" s="7">
        <v>15.82</v>
      </c>
      <c r="L260" s="10">
        <f t="shared" si="76"/>
        <v>-1.3449519765699169</v>
      </c>
      <c r="M260" s="12"/>
      <c r="N260" s="11">
        <f t="shared" si="87"/>
        <v>-21.68517227319062</v>
      </c>
      <c r="O260">
        <f t="shared" ref="O260:O323" si="89">K260/F260</f>
        <v>1.2167018181818181</v>
      </c>
      <c r="P260">
        <f t="shared" ref="P260:P323" si="90">K260*PI()*(J260^2)/40</f>
        <v>25.160622863518956</v>
      </c>
      <c r="Q260">
        <f t="shared" ref="Q260:Q323" si="91">P260/D260</f>
        <v>1.2707385284605532</v>
      </c>
      <c r="R260">
        <f t="shared" ref="R260:R323" si="92">C260*H260</f>
        <v>6.9100000000000003E-3</v>
      </c>
    </row>
    <row r="261" spans="1:18" x14ac:dyDescent="0.3">
      <c r="A261">
        <f t="shared" si="84"/>
        <v>1.6666666666666667</v>
      </c>
      <c r="B261">
        <v>30</v>
      </c>
      <c r="C261">
        <v>1</v>
      </c>
      <c r="D261" s="16">
        <v>23.1</v>
      </c>
      <c r="E261" s="1">
        <v>15.228</v>
      </c>
      <c r="F261" s="6">
        <f t="shared" si="82"/>
        <v>15.169424743892829</v>
      </c>
      <c r="G261" s="9">
        <v>1.62</v>
      </c>
      <c r="H261" s="8">
        <v>6.9100000000000003E-3</v>
      </c>
      <c r="I261" s="9">
        <f t="shared" si="88"/>
        <v>38.051966066786271</v>
      </c>
      <c r="J261" s="16">
        <v>4.5</v>
      </c>
      <c r="K261" s="7">
        <v>20.92</v>
      </c>
      <c r="L261" s="10">
        <f t="shared" ref="L261:L324" si="93">(10.33+N261-0.234)/((F261^2)/19.62)</f>
        <v>-2.3723954934591607</v>
      </c>
      <c r="M261" s="12"/>
      <c r="N261" s="11">
        <f t="shared" si="87"/>
        <v>-37.920432212028544</v>
      </c>
      <c r="O261">
        <f t="shared" si="89"/>
        <v>1.3790898701298702</v>
      </c>
      <c r="P261">
        <f t="shared" si="90"/>
        <v>33.271822396006101</v>
      </c>
      <c r="Q261">
        <f t="shared" si="91"/>
        <v>1.4403386318617359</v>
      </c>
      <c r="R261">
        <f t="shared" si="92"/>
        <v>6.9100000000000003E-3</v>
      </c>
    </row>
    <row r="262" spans="1:18" x14ac:dyDescent="0.3">
      <c r="A262">
        <f t="shared" si="84"/>
        <v>1.6666666666666667</v>
      </c>
      <c r="B262">
        <v>30</v>
      </c>
      <c r="C262">
        <v>2</v>
      </c>
      <c r="D262" s="15">
        <v>3.3</v>
      </c>
      <c r="E262" s="1">
        <v>15.228</v>
      </c>
      <c r="F262" s="6">
        <f t="shared" si="82"/>
        <v>2.1670606776989754</v>
      </c>
      <c r="G262" s="9">
        <v>1.62</v>
      </c>
      <c r="H262" s="8">
        <v>3.4550000000000002E-3</v>
      </c>
      <c r="I262" s="9">
        <f t="shared" si="88"/>
        <v>5.4359951523980374</v>
      </c>
      <c r="J262" s="16">
        <v>4.5</v>
      </c>
      <c r="K262" s="7">
        <v>0.67</v>
      </c>
      <c r="L262" s="10">
        <f t="shared" si="93"/>
        <v>42.017462553492898</v>
      </c>
      <c r="M262" s="12"/>
      <c r="N262" s="11">
        <f>-(1.7*K262^2)/19.62</f>
        <v>-3.8895514780835881E-2</v>
      </c>
      <c r="O262">
        <f t="shared" si="89"/>
        <v>0.30917454545454548</v>
      </c>
      <c r="P262">
        <f t="shared" si="90"/>
        <v>1.065588958189488</v>
      </c>
      <c r="Q262">
        <f t="shared" si="91"/>
        <v>0.32290574490590546</v>
      </c>
      <c r="R262">
        <f t="shared" si="92"/>
        <v>6.9100000000000003E-3</v>
      </c>
    </row>
    <row r="263" spans="1:18" x14ac:dyDescent="0.3">
      <c r="A263">
        <f t="shared" si="84"/>
        <v>1.6666666666666667</v>
      </c>
      <c r="B263">
        <v>30</v>
      </c>
      <c r="C263">
        <v>2</v>
      </c>
      <c r="D263" s="15">
        <v>6.6</v>
      </c>
      <c r="E263" s="1">
        <v>15.228</v>
      </c>
      <c r="F263" s="6">
        <f t="shared" si="82"/>
        <v>4.3341213553979507</v>
      </c>
      <c r="G263" s="9">
        <v>1.62</v>
      </c>
      <c r="H263" s="8">
        <v>3.4550000000000002E-3</v>
      </c>
      <c r="I263" s="9">
        <f t="shared" si="88"/>
        <v>10.871990304796075</v>
      </c>
      <c r="J263" s="16">
        <v>4.5</v>
      </c>
      <c r="K263" s="7">
        <v>2.74</v>
      </c>
      <c r="L263" s="10">
        <f t="shared" si="93"/>
        <v>9.8655559251768619</v>
      </c>
      <c r="M263" s="12"/>
      <c r="N263" s="11">
        <f t="shared" ref="N263:N268" si="94">-(1.7*K263^2)/19.62</f>
        <v>-0.65050560652395517</v>
      </c>
      <c r="O263">
        <f t="shared" si="89"/>
        <v>0.63219272727272735</v>
      </c>
      <c r="P263">
        <f t="shared" si="90"/>
        <v>4.3577817096107427</v>
      </c>
      <c r="Q263">
        <f t="shared" si="91"/>
        <v>0.66026995600162774</v>
      </c>
      <c r="R263">
        <f t="shared" si="92"/>
        <v>6.9100000000000003E-3</v>
      </c>
    </row>
    <row r="264" spans="1:18" x14ac:dyDescent="0.3">
      <c r="A264">
        <f t="shared" si="84"/>
        <v>1.6666666666666667</v>
      </c>
      <c r="B264">
        <v>30</v>
      </c>
      <c r="C264">
        <v>2</v>
      </c>
      <c r="D264" s="15">
        <v>9.9</v>
      </c>
      <c r="E264" s="1">
        <v>15.228</v>
      </c>
      <c r="F264" s="6">
        <f t="shared" si="82"/>
        <v>6.501182033096927</v>
      </c>
      <c r="G264" s="9">
        <v>1.62</v>
      </c>
      <c r="H264" s="8">
        <v>3.4550000000000002E-3</v>
      </c>
      <c r="I264" s="9">
        <f t="shared" si="88"/>
        <v>16.307985457194114</v>
      </c>
      <c r="J264" s="16">
        <v>4.5</v>
      </c>
      <c r="K264" s="7">
        <v>6.43</v>
      </c>
      <c r="L264" s="10">
        <f t="shared" si="93"/>
        <v>3.0236857401004955</v>
      </c>
      <c r="M264" s="12"/>
      <c r="N264" s="11">
        <f t="shared" si="94"/>
        <v>-3.5823817533129456</v>
      </c>
      <c r="O264">
        <f t="shared" si="89"/>
        <v>0.98905090909090898</v>
      </c>
      <c r="P264">
        <f t="shared" si="90"/>
        <v>10.226473136057324</v>
      </c>
      <c r="Q264">
        <f t="shared" si="91"/>
        <v>1.0329770844502346</v>
      </c>
      <c r="R264">
        <f t="shared" si="92"/>
        <v>6.9100000000000003E-3</v>
      </c>
    </row>
    <row r="265" spans="1:18" x14ac:dyDescent="0.3">
      <c r="A265">
        <f t="shared" si="84"/>
        <v>1.6666666666666667</v>
      </c>
      <c r="B265">
        <v>30</v>
      </c>
      <c r="C265">
        <v>2</v>
      </c>
      <c r="D265" s="15">
        <v>13.2</v>
      </c>
      <c r="E265" s="1">
        <v>15.228</v>
      </c>
      <c r="F265" s="6">
        <f t="shared" si="82"/>
        <v>8.6682427107959015</v>
      </c>
      <c r="G265" s="9">
        <v>1.62</v>
      </c>
      <c r="H265" s="8">
        <v>3.4550000000000002E-3</v>
      </c>
      <c r="I265" s="9">
        <f t="shared" si="88"/>
        <v>21.74398060959215</v>
      </c>
      <c r="J265" s="16">
        <v>4.5</v>
      </c>
      <c r="K265" s="7">
        <v>12.11</v>
      </c>
      <c r="L265" s="10">
        <f t="shared" si="93"/>
        <v>-0.68174233671942119</v>
      </c>
      <c r="M265" s="12"/>
      <c r="N265" s="11">
        <f t="shared" si="94"/>
        <v>-12.706858817533128</v>
      </c>
      <c r="O265">
        <f t="shared" si="89"/>
        <v>1.3970536363636363</v>
      </c>
      <c r="P265">
        <f t="shared" si="90"/>
        <v>19.260122811454771</v>
      </c>
      <c r="Q265">
        <f t="shared" si="91"/>
        <v>1.4591002129889978</v>
      </c>
      <c r="R265">
        <f t="shared" si="92"/>
        <v>6.9100000000000003E-3</v>
      </c>
    </row>
    <row r="266" spans="1:18" x14ac:dyDescent="0.3">
      <c r="A266">
        <f t="shared" si="84"/>
        <v>1.6666666666666667</v>
      </c>
      <c r="B266">
        <v>30</v>
      </c>
      <c r="C266">
        <v>2</v>
      </c>
      <c r="D266" s="15">
        <v>16.5</v>
      </c>
      <c r="E266" s="1">
        <v>15.228</v>
      </c>
      <c r="F266" s="6">
        <f t="shared" si="82"/>
        <v>10.835303388494877</v>
      </c>
      <c r="G266" s="9">
        <v>1.62</v>
      </c>
      <c r="H266" s="8">
        <v>3.4550000000000002E-3</v>
      </c>
      <c r="I266" s="9">
        <f t="shared" si="88"/>
        <v>27.179975761990189</v>
      </c>
      <c r="J266" s="16">
        <v>4.5</v>
      </c>
      <c r="K266" s="7">
        <v>17.45</v>
      </c>
      <c r="L266" s="10">
        <f t="shared" si="93"/>
        <v>-2.721979453003796</v>
      </c>
      <c r="M266" s="12"/>
      <c r="N266" s="11">
        <f t="shared" si="94"/>
        <v>-26.384008664627927</v>
      </c>
      <c r="O266">
        <f t="shared" si="89"/>
        <v>1.6104763636363637</v>
      </c>
      <c r="P266">
        <f t="shared" si="90"/>
        <v>27.75302585135308</v>
      </c>
      <c r="Q266">
        <f t="shared" si="91"/>
        <v>1.6820015667486714</v>
      </c>
      <c r="R266">
        <f t="shared" si="92"/>
        <v>6.9100000000000003E-3</v>
      </c>
    </row>
    <row r="267" spans="1:18" x14ac:dyDescent="0.3">
      <c r="A267">
        <f t="shared" si="84"/>
        <v>1.6666666666666667</v>
      </c>
      <c r="B267">
        <v>30</v>
      </c>
      <c r="C267">
        <v>2</v>
      </c>
      <c r="D267" s="15">
        <v>19.8</v>
      </c>
      <c r="E267" s="1">
        <v>15.228</v>
      </c>
      <c r="F267" s="6">
        <f t="shared" si="82"/>
        <v>13.002364066193854</v>
      </c>
      <c r="G267" s="9">
        <v>1.62</v>
      </c>
      <c r="H267" s="8">
        <v>3.4550000000000002E-3</v>
      </c>
      <c r="I267" s="9">
        <f t="shared" si="88"/>
        <v>32.615970914388228</v>
      </c>
      <c r="J267" s="16">
        <v>4.5</v>
      </c>
      <c r="K267" s="7">
        <v>22.76</v>
      </c>
      <c r="L267" s="10">
        <f t="shared" si="93"/>
        <v>-4.0372675968793388</v>
      </c>
      <c r="M267" s="12"/>
      <c r="N267" s="11">
        <f t="shared" si="94"/>
        <v>-44.884297655453615</v>
      </c>
      <c r="O267">
        <f t="shared" si="89"/>
        <v>1.7504509090909091</v>
      </c>
      <c r="P267">
        <f t="shared" si="90"/>
        <v>36.198215952824995</v>
      </c>
      <c r="Q267">
        <f t="shared" si="91"/>
        <v>1.8281927248901513</v>
      </c>
      <c r="R267">
        <f t="shared" si="92"/>
        <v>6.9100000000000003E-3</v>
      </c>
    </row>
    <row r="268" spans="1:18" x14ac:dyDescent="0.3">
      <c r="A268">
        <f t="shared" si="84"/>
        <v>1.6666666666666667</v>
      </c>
      <c r="B268">
        <v>30</v>
      </c>
      <c r="C268">
        <v>2</v>
      </c>
      <c r="D268" s="16">
        <v>23.1</v>
      </c>
      <c r="E268" s="1">
        <v>15.228</v>
      </c>
      <c r="F268" s="6">
        <f t="shared" si="82"/>
        <v>15.169424743892829</v>
      </c>
      <c r="G268" s="9">
        <v>1.62</v>
      </c>
      <c r="H268" s="8">
        <v>3.4550000000000002E-3</v>
      </c>
      <c r="I268" s="9">
        <f t="shared" si="88"/>
        <v>38.051966066786271</v>
      </c>
      <c r="J268" s="16">
        <v>4.5</v>
      </c>
      <c r="K268" s="7">
        <v>27.38</v>
      </c>
      <c r="L268" s="10">
        <f t="shared" si="93"/>
        <v>-4.6774985501543194</v>
      </c>
      <c r="M268" s="12"/>
      <c r="N268" s="11">
        <f t="shared" si="94"/>
        <v>-64.95563098878695</v>
      </c>
      <c r="O268">
        <f t="shared" si="89"/>
        <v>1.8049464935064934</v>
      </c>
      <c r="P268">
        <f t="shared" si="90"/>
        <v>43.546008470489824</v>
      </c>
      <c r="Q268">
        <f t="shared" si="91"/>
        <v>1.8851085917960961</v>
      </c>
      <c r="R268">
        <f t="shared" si="92"/>
        <v>6.9100000000000003E-3</v>
      </c>
    </row>
    <row r="269" spans="1:18" x14ac:dyDescent="0.3">
      <c r="A269">
        <f t="shared" si="84"/>
        <v>1.6666666666666667</v>
      </c>
      <c r="B269">
        <v>30</v>
      </c>
      <c r="C269">
        <v>4</v>
      </c>
      <c r="D269" s="15">
        <v>3.3</v>
      </c>
      <c r="E269" s="1">
        <v>15.228</v>
      </c>
      <c r="F269" s="6">
        <f t="shared" si="82"/>
        <v>2.1670606776989754</v>
      </c>
      <c r="G269" s="9">
        <v>1.62</v>
      </c>
      <c r="H269" s="8">
        <v>1.7275000000000001E-3</v>
      </c>
      <c r="I269" s="9">
        <f t="shared" si="88"/>
        <v>5.4359951523980374</v>
      </c>
      <c r="J269" s="16">
        <v>4.5</v>
      </c>
      <c r="K269" s="7">
        <v>0.76</v>
      </c>
      <c r="L269" s="10">
        <f t="shared" si="93"/>
        <v>41.970873345798353</v>
      </c>
      <c r="M269" s="12"/>
      <c r="N269" s="11">
        <f>-(1.7*K269^2)/19.62</f>
        <v>-5.0046890927624869E-2</v>
      </c>
      <c r="O269">
        <f t="shared" si="89"/>
        <v>0.3507054545454546</v>
      </c>
      <c r="P269">
        <f t="shared" si="90"/>
        <v>1.2087277734686728</v>
      </c>
      <c r="Q269">
        <f t="shared" si="91"/>
        <v>0.3662811434753554</v>
      </c>
      <c r="R269">
        <f t="shared" si="92"/>
        <v>6.9100000000000003E-3</v>
      </c>
    </row>
    <row r="270" spans="1:18" x14ac:dyDescent="0.3">
      <c r="A270">
        <f t="shared" si="84"/>
        <v>1.6666666666666667</v>
      </c>
      <c r="B270">
        <v>30</v>
      </c>
      <c r="C270">
        <v>4</v>
      </c>
      <c r="D270" s="15">
        <v>6.6</v>
      </c>
      <c r="E270" s="1">
        <v>15.228</v>
      </c>
      <c r="F270" s="6">
        <f t="shared" si="82"/>
        <v>4.3341213553979507</v>
      </c>
      <c r="G270" s="9">
        <v>1.62</v>
      </c>
      <c r="H270" s="8">
        <v>1.7275000000000001E-3</v>
      </c>
      <c r="I270" s="9">
        <f t="shared" si="88"/>
        <v>10.871990304796075</v>
      </c>
      <c r="J270" s="16">
        <v>4.5</v>
      </c>
      <c r="K270" s="7">
        <v>2.52</v>
      </c>
      <c r="L270" s="10">
        <f t="shared" si="93"/>
        <v>9.9702820929004989</v>
      </c>
      <c r="M270" s="12"/>
      <c r="N270" s="11">
        <f t="shared" ref="N270:N275" si="95">-(1.7*K270^2)/19.62</f>
        <v>-0.55023853211009177</v>
      </c>
      <c r="O270">
        <f t="shared" si="89"/>
        <v>0.58143272727272732</v>
      </c>
      <c r="P270">
        <f t="shared" si="90"/>
        <v>4.0078868278171784</v>
      </c>
      <c r="Q270">
        <f t="shared" si="91"/>
        <v>0.60725557997229984</v>
      </c>
      <c r="R270">
        <f t="shared" si="92"/>
        <v>6.9100000000000003E-3</v>
      </c>
    </row>
    <row r="271" spans="1:18" x14ac:dyDescent="0.3">
      <c r="A271">
        <f t="shared" si="84"/>
        <v>1.6666666666666667</v>
      </c>
      <c r="B271">
        <v>30</v>
      </c>
      <c r="C271">
        <v>4</v>
      </c>
      <c r="D271" s="15">
        <v>9.9</v>
      </c>
      <c r="E271" s="1">
        <v>15.228</v>
      </c>
      <c r="F271" s="6">
        <f t="shared" si="82"/>
        <v>6.501182033096927</v>
      </c>
      <c r="G271" s="9">
        <v>1.62</v>
      </c>
      <c r="H271" s="8">
        <v>1.7275000000000001E-3</v>
      </c>
      <c r="I271" s="9">
        <f t="shared" si="88"/>
        <v>16.307985457194114</v>
      </c>
      <c r="J271" s="16">
        <v>4.5</v>
      </c>
      <c r="K271" s="7">
        <v>5.2</v>
      </c>
      <c r="L271" s="10">
        <f t="shared" si="93"/>
        <v>3.5990582318122315</v>
      </c>
      <c r="M271" s="12"/>
      <c r="N271" s="11">
        <f t="shared" si="95"/>
        <v>-2.342915392456677</v>
      </c>
      <c r="O271">
        <f t="shared" si="89"/>
        <v>0.79985454545454548</v>
      </c>
      <c r="P271">
        <f t="shared" si="90"/>
        <v>8.2702426605751302</v>
      </c>
      <c r="Q271">
        <f t="shared" si="91"/>
        <v>0.83537804652274039</v>
      </c>
      <c r="R271">
        <f t="shared" si="92"/>
        <v>6.9100000000000003E-3</v>
      </c>
    </row>
    <row r="272" spans="1:18" x14ac:dyDescent="0.3">
      <c r="A272">
        <f t="shared" si="84"/>
        <v>1.6666666666666667</v>
      </c>
      <c r="B272">
        <v>30</v>
      </c>
      <c r="C272">
        <v>4</v>
      </c>
      <c r="D272" s="15">
        <v>13.2</v>
      </c>
      <c r="E272" s="1">
        <v>15.228</v>
      </c>
      <c r="F272" s="6">
        <f t="shared" si="82"/>
        <v>8.6682427107959015</v>
      </c>
      <c r="G272" s="9">
        <v>1.62</v>
      </c>
      <c r="H272" s="8">
        <v>1.7275000000000001E-3</v>
      </c>
      <c r="I272" s="9">
        <f t="shared" si="88"/>
        <v>21.74398060959215</v>
      </c>
      <c r="J272" s="16">
        <v>4.5</v>
      </c>
      <c r="K272" s="7">
        <v>9.6300000000000008</v>
      </c>
      <c r="L272" s="10">
        <f t="shared" si="93"/>
        <v>0.53808402822471069</v>
      </c>
      <c r="M272" s="12"/>
      <c r="N272" s="11">
        <f t="shared" si="95"/>
        <v>-8.0353073394495418</v>
      </c>
      <c r="O272">
        <f t="shared" si="89"/>
        <v>1.1109518181818183</v>
      </c>
      <c r="P272">
        <f t="shared" si="90"/>
        <v>15.31585323487279</v>
      </c>
      <c r="Q272">
        <f t="shared" si="91"/>
        <v>1.1602919117327872</v>
      </c>
      <c r="R272">
        <f t="shared" si="92"/>
        <v>6.9100000000000003E-3</v>
      </c>
    </row>
    <row r="273" spans="1:18" x14ac:dyDescent="0.3">
      <c r="A273">
        <f t="shared" si="84"/>
        <v>1.6666666666666667</v>
      </c>
      <c r="B273">
        <v>30</v>
      </c>
      <c r="C273">
        <v>4</v>
      </c>
      <c r="D273" s="15">
        <v>16.5</v>
      </c>
      <c r="E273" s="1">
        <v>15.228</v>
      </c>
      <c r="F273" s="6">
        <f t="shared" si="82"/>
        <v>10.835303388494877</v>
      </c>
      <c r="G273" s="9">
        <v>1.62</v>
      </c>
      <c r="H273" s="8">
        <v>1.7275000000000001E-3</v>
      </c>
      <c r="I273" s="9">
        <f t="shared" si="88"/>
        <v>27.179975761990189</v>
      </c>
      <c r="J273" s="16">
        <v>4.5</v>
      </c>
      <c r="K273" s="7">
        <v>13.32</v>
      </c>
      <c r="L273" s="10">
        <f t="shared" si="93"/>
        <v>-0.88186720040283006</v>
      </c>
      <c r="M273" s="12"/>
      <c r="N273" s="11">
        <f t="shared" si="95"/>
        <v>-15.372990825688074</v>
      </c>
      <c r="O273">
        <f t="shared" si="89"/>
        <v>1.2293149090909092</v>
      </c>
      <c r="P273">
        <f t="shared" si="90"/>
        <v>21.184544661319372</v>
      </c>
      <c r="Q273">
        <f t="shared" si="91"/>
        <v>1.2839117976557195</v>
      </c>
      <c r="R273">
        <f t="shared" si="92"/>
        <v>6.9100000000000003E-3</v>
      </c>
    </row>
    <row r="274" spans="1:18" x14ac:dyDescent="0.3">
      <c r="A274">
        <f t="shared" si="84"/>
        <v>1.6666666666666667</v>
      </c>
      <c r="B274">
        <v>30</v>
      </c>
      <c r="C274">
        <v>4</v>
      </c>
      <c r="D274" s="15">
        <v>19.8</v>
      </c>
      <c r="E274" s="1">
        <v>15.228</v>
      </c>
      <c r="F274" s="6">
        <f t="shared" si="82"/>
        <v>13.002364066193854</v>
      </c>
      <c r="G274" s="9">
        <v>1.62</v>
      </c>
      <c r="H274" s="8">
        <v>1.7275000000000001E-3</v>
      </c>
      <c r="I274" s="9">
        <f t="shared" si="88"/>
        <v>32.615970914388228</v>
      </c>
      <c r="J274" s="16">
        <v>4.5</v>
      </c>
      <c r="K274" s="7">
        <v>16.79</v>
      </c>
      <c r="L274" s="10">
        <f t="shared" si="93"/>
        <v>-1.6630249803322308</v>
      </c>
      <c r="M274" s="12"/>
      <c r="N274" s="11">
        <f t="shared" si="95"/>
        <v>-24.425941386340465</v>
      </c>
      <c r="O274">
        <f t="shared" si="89"/>
        <v>1.2913036363636363</v>
      </c>
      <c r="P274">
        <f t="shared" si="90"/>
        <v>26.703341205972389</v>
      </c>
      <c r="Q274">
        <f t="shared" si="91"/>
        <v>1.3486535962612318</v>
      </c>
      <c r="R274">
        <f t="shared" si="92"/>
        <v>6.9100000000000003E-3</v>
      </c>
    </row>
    <row r="275" spans="1:18" x14ac:dyDescent="0.3">
      <c r="A275">
        <f t="shared" si="84"/>
        <v>1.6666666666666667</v>
      </c>
      <c r="B275">
        <v>30</v>
      </c>
      <c r="C275">
        <v>4</v>
      </c>
      <c r="D275" s="16">
        <v>23.5</v>
      </c>
      <c r="E275" s="1">
        <v>15.228</v>
      </c>
      <c r="F275" s="6">
        <f t="shared" si="82"/>
        <v>15.432098765432098</v>
      </c>
      <c r="G275" s="9">
        <v>1.62</v>
      </c>
      <c r="H275" s="8">
        <v>1.7275000000000001E-3</v>
      </c>
      <c r="I275" s="9">
        <f t="shared" si="88"/>
        <v>38.710874570107244</v>
      </c>
      <c r="J275" s="16">
        <v>4.5</v>
      </c>
      <c r="K275" s="7">
        <v>21.82</v>
      </c>
      <c r="L275" s="10">
        <f t="shared" si="93"/>
        <v>-2.5669048967424004</v>
      </c>
      <c r="M275" s="12"/>
      <c r="N275" s="11">
        <f t="shared" si="95"/>
        <v>-41.253367991845053</v>
      </c>
      <c r="O275">
        <f t="shared" si="89"/>
        <v>1.4139360000000001</v>
      </c>
      <c r="P275">
        <f t="shared" si="90"/>
        <v>34.703210548797955</v>
      </c>
      <c r="Q275">
        <f t="shared" si="91"/>
        <v>1.4767323637786365</v>
      </c>
      <c r="R275">
        <f t="shared" si="92"/>
        <v>6.9100000000000003E-3</v>
      </c>
    </row>
    <row r="276" spans="1:18" x14ac:dyDescent="0.3">
      <c r="A276">
        <f t="shared" si="84"/>
        <v>1.6666666666666667</v>
      </c>
      <c r="B276">
        <v>30</v>
      </c>
      <c r="C276">
        <v>6</v>
      </c>
      <c r="D276" s="15">
        <v>3.3</v>
      </c>
      <c r="E276" s="1">
        <v>15.228</v>
      </c>
      <c r="F276" s="6">
        <f t="shared" si="82"/>
        <v>2.1670606776989754</v>
      </c>
      <c r="G276" s="9">
        <v>1.62</v>
      </c>
      <c r="H276" s="8">
        <v>1.15167E-3</v>
      </c>
      <c r="I276" s="9">
        <f t="shared" si="88"/>
        <v>5.4359951523980374</v>
      </c>
      <c r="J276" s="16">
        <v>3</v>
      </c>
      <c r="K276" s="7">
        <v>0</v>
      </c>
      <c r="L276" s="10">
        <f t="shared" si="93"/>
        <v>42.179963682739846</v>
      </c>
      <c r="M276" s="12"/>
      <c r="N276" s="11">
        <f>-(1.7*K276^2)/19.62</f>
        <v>0</v>
      </c>
      <c r="O276">
        <f t="shared" si="89"/>
        <v>0</v>
      </c>
      <c r="P276">
        <f t="shared" si="90"/>
        <v>0</v>
      </c>
      <c r="Q276">
        <f t="shared" si="91"/>
        <v>0</v>
      </c>
      <c r="R276">
        <f t="shared" si="92"/>
        <v>6.9100200000000002E-3</v>
      </c>
    </row>
    <row r="277" spans="1:18" x14ac:dyDescent="0.3">
      <c r="A277">
        <f t="shared" si="84"/>
        <v>1.6666666666666667</v>
      </c>
      <c r="B277">
        <v>30</v>
      </c>
      <c r="C277">
        <v>6</v>
      </c>
      <c r="D277" s="15">
        <v>6.6</v>
      </c>
      <c r="E277" s="1">
        <v>15.228</v>
      </c>
      <c r="F277" s="6">
        <f t="shared" si="82"/>
        <v>4.3341213553979507</v>
      </c>
      <c r="G277" s="9">
        <v>1.62</v>
      </c>
      <c r="H277" s="8">
        <v>1.15167E-3</v>
      </c>
      <c r="I277" s="9">
        <f t="shared" si="88"/>
        <v>10.871990304796075</v>
      </c>
      <c r="J277" s="16">
        <v>4.5</v>
      </c>
      <c r="K277" s="7">
        <v>2.25</v>
      </c>
      <c r="L277" s="10">
        <f t="shared" si="93"/>
        <v>10.086836561800665</v>
      </c>
      <c r="M277" s="12"/>
      <c r="N277" s="11">
        <f t="shared" ref="N277:N282" si="96">-(1.7*K277^2)/19.62</f>
        <v>-0.43864678899082565</v>
      </c>
      <c r="O277">
        <f t="shared" si="89"/>
        <v>0.51913636363636373</v>
      </c>
      <c r="P277">
        <f t="shared" si="90"/>
        <v>3.5784703819796233</v>
      </c>
      <c r="Q277">
        <f t="shared" si="91"/>
        <v>0.54219248211812476</v>
      </c>
      <c r="R277">
        <f t="shared" si="92"/>
        <v>6.9100200000000002E-3</v>
      </c>
    </row>
    <row r="278" spans="1:18" x14ac:dyDescent="0.3">
      <c r="A278">
        <f t="shared" si="84"/>
        <v>1.6666666666666667</v>
      </c>
      <c r="B278">
        <v>30</v>
      </c>
      <c r="C278">
        <v>6</v>
      </c>
      <c r="D278" s="15">
        <v>9.9</v>
      </c>
      <c r="E278" s="1">
        <v>15.228</v>
      </c>
      <c r="F278" s="6">
        <f t="shared" si="82"/>
        <v>6.501182033096927</v>
      </c>
      <c r="G278" s="9">
        <v>1.62</v>
      </c>
      <c r="H278" s="8">
        <v>1.15167E-3</v>
      </c>
      <c r="I278" s="9">
        <f t="shared" si="88"/>
        <v>16.307985457194114</v>
      </c>
      <c r="J278" s="16">
        <v>4.5</v>
      </c>
      <c r="K278" s="7">
        <v>4.63</v>
      </c>
      <c r="L278" s="10">
        <f t="shared" si="93"/>
        <v>3.8244264348971901</v>
      </c>
      <c r="M278" s="12"/>
      <c r="N278" s="11">
        <f t="shared" si="96"/>
        <v>-1.8574276248725787</v>
      </c>
      <c r="O278">
        <f t="shared" si="89"/>
        <v>0.71217818181818182</v>
      </c>
      <c r="P278">
        <f t="shared" si="90"/>
        <v>7.3636968304736259</v>
      </c>
      <c r="Q278">
        <f t="shared" si="91"/>
        <v>0.74380776065390153</v>
      </c>
      <c r="R278">
        <f t="shared" si="92"/>
        <v>6.9100200000000002E-3</v>
      </c>
    </row>
    <row r="279" spans="1:18" x14ac:dyDescent="0.3">
      <c r="A279">
        <f t="shared" si="84"/>
        <v>1.6666666666666667</v>
      </c>
      <c r="B279">
        <v>30</v>
      </c>
      <c r="C279">
        <v>6</v>
      </c>
      <c r="D279" s="15">
        <v>13.2</v>
      </c>
      <c r="E279" s="1">
        <v>15.228</v>
      </c>
      <c r="F279" s="6">
        <f t="shared" si="82"/>
        <v>8.6682427107959015</v>
      </c>
      <c r="G279" s="9">
        <v>1.62</v>
      </c>
      <c r="H279" s="8">
        <v>1.15167E-3</v>
      </c>
      <c r="I279" s="9">
        <f t="shared" si="88"/>
        <v>21.74398060959215</v>
      </c>
      <c r="J279" s="16">
        <v>4.5</v>
      </c>
      <c r="K279" s="7">
        <v>8.15</v>
      </c>
      <c r="L279" s="10">
        <f t="shared" si="93"/>
        <v>1.1334448707642151</v>
      </c>
      <c r="M279" s="12"/>
      <c r="N279" s="11">
        <f t="shared" si="96"/>
        <v>-5.7552624872578999</v>
      </c>
      <c r="O279">
        <f t="shared" si="89"/>
        <v>0.94021363636363653</v>
      </c>
      <c r="P279">
        <f t="shared" si="90"/>
        <v>12.962014939170638</v>
      </c>
      <c r="Q279">
        <f t="shared" si="91"/>
        <v>0.98197082872504837</v>
      </c>
      <c r="R279">
        <f t="shared" si="92"/>
        <v>6.9100200000000002E-3</v>
      </c>
    </row>
    <row r="280" spans="1:18" x14ac:dyDescent="0.3">
      <c r="A280">
        <f t="shared" si="84"/>
        <v>1.6666666666666667</v>
      </c>
      <c r="B280">
        <v>30</v>
      </c>
      <c r="C280">
        <v>6</v>
      </c>
      <c r="D280" s="15">
        <v>16.5</v>
      </c>
      <c r="E280" s="1">
        <v>15.228</v>
      </c>
      <c r="F280" s="6">
        <f t="shared" si="82"/>
        <v>10.835303388494877</v>
      </c>
      <c r="G280" s="9">
        <v>1.62</v>
      </c>
      <c r="H280" s="8">
        <v>1.15167E-3</v>
      </c>
      <c r="I280" s="9">
        <f t="shared" si="88"/>
        <v>27.179975761990189</v>
      </c>
      <c r="J280" s="16">
        <v>4.5</v>
      </c>
      <c r="K280" s="7">
        <v>8.25</v>
      </c>
      <c r="L280" s="10">
        <f t="shared" si="93"/>
        <v>0.70165761530959359</v>
      </c>
      <c r="M280" s="12"/>
      <c r="N280" s="11">
        <f t="shared" si="96"/>
        <v>-5.8973623853211006</v>
      </c>
      <c r="O280">
        <f t="shared" si="89"/>
        <v>0.76140000000000008</v>
      </c>
      <c r="P280">
        <f t="shared" si="90"/>
        <v>13.121058067258621</v>
      </c>
      <c r="Q280">
        <f t="shared" si="91"/>
        <v>0.79521564043991644</v>
      </c>
      <c r="R280">
        <f t="shared" si="92"/>
        <v>6.9100200000000002E-3</v>
      </c>
    </row>
    <row r="281" spans="1:18" x14ac:dyDescent="0.3">
      <c r="A281">
        <f t="shared" si="84"/>
        <v>1.6666666666666667</v>
      </c>
      <c r="B281">
        <v>30</v>
      </c>
      <c r="C281">
        <v>6</v>
      </c>
      <c r="D281" s="15">
        <v>19.8</v>
      </c>
      <c r="E281" s="1">
        <v>15.228</v>
      </c>
      <c r="F281" s="6">
        <f t="shared" si="82"/>
        <v>13.002364066193854</v>
      </c>
      <c r="G281" s="9">
        <v>1.62</v>
      </c>
      <c r="H281" s="8">
        <v>1.15167E-3</v>
      </c>
      <c r="I281" s="9">
        <f t="shared" si="88"/>
        <v>32.615970914388228</v>
      </c>
      <c r="J281" s="16">
        <v>4.5</v>
      </c>
      <c r="K281" s="7">
        <v>12.8</v>
      </c>
      <c r="L281" s="10">
        <f t="shared" si="93"/>
        <v>-0.47582976403041327</v>
      </c>
      <c r="M281" s="12"/>
      <c r="N281" s="11">
        <f t="shared" si="96"/>
        <v>-14.196126401630989</v>
      </c>
      <c r="O281">
        <f t="shared" si="89"/>
        <v>0.98443636363636366</v>
      </c>
      <c r="P281">
        <f t="shared" si="90"/>
        <v>20.357520395261862</v>
      </c>
      <c r="Q281">
        <f t="shared" si="91"/>
        <v>1.028157595720296</v>
      </c>
      <c r="R281">
        <f t="shared" si="92"/>
        <v>6.9100200000000002E-3</v>
      </c>
    </row>
    <row r="282" spans="1:18" x14ac:dyDescent="0.3">
      <c r="A282">
        <f t="shared" si="84"/>
        <v>1.6666666666666667</v>
      </c>
      <c r="B282">
        <v>30</v>
      </c>
      <c r="C282">
        <v>6</v>
      </c>
      <c r="D282" s="16">
        <v>23.5</v>
      </c>
      <c r="E282" s="1">
        <v>15.228</v>
      </c>
      <c r="F282" s="6">
        <f t="shared" si="82"/>
        <v>15.432098765432098</v>
      </c>
      <c r="G282" s="9">
        <v>1.62</v>
      </c>
      <c r="H282" s="8">
        <v>1.15167E-3</v>
      </c>
      <c r="I282" s="9">
        <f t="shared" si="88"/>
        <v>38.710874570107244</v>
      </c>
      <c r="J282" s="16">
        <v>4.5</v>
      </c>
      <c r="K282" s="7">
        <v>15.16</v>
      </c>
      <c r="L282" s="10">
        <f t="shared" si="93"/>
        <v>-0.8088190848000002</v>
      </c>
      <c r="M282" s="12"/>
      <c r="N282" s="11">
        <f t="shared" si="96"/>
        <v>-19.913533129459736</v>
      </c>
      <c r="O282">
        <f t="shared" si="89"/>
        <v>0.98236800000000002</v>
      </c>
      <c r="P282">
        <f t="shared" si="90"/>
        <v>24.110938218138266</v>
      </c>
      <c r="Q282">
        <f t="shared" si="91"/>
        <v>1.0259973709846071</v>
      </c>
      <c r="R282">
        <f t="shared" si="92"/>
        <v>6.9100200000000002E-3</v>
      </c>
    </row>
    <row r="283" spans="1:18" x14ac:dyDescent="0.3">
      <c r="A283">
        <f t="shared" si="84"/>
        <v>1.6666666666666667</v>
      </c>
      <c r="B283">
        <v>40</v>
      </c>
      <c r="C283">
        <v>1</v>
      </c>
      <c r="D283" s="15">
        <v>3.9</v>
      </c>
      <c r="E283" s="1">
        <v>20.303999999999998</v>
      </c>
      <c r="F283" s="6">
        <f t="shared" si="82"/>
        <v>1.9208037825059101</v>
      </c>
      <c r="G283" s="9">
        <v>2.16</v>
      </c>
      <c r="H283" s="8">
        <v>8.7799999999999996E-3</v>
      </c>
      <c r="I283" s="9">
        <f t="shared" si="88"/>
        <v>4.1727428630955616</v>
      </c>
      <c r="J283" s="16">
        <v>3</v>
      </c>
      <c r="K283" s="7">
        <v>0</v>
      </c>
      <c r="L283" s="10">
        <f t="shared" si="93"/>
        <v>53.688632274677403</v>
      </c>
      <c r="M283" s="12"/>
      <c r="N283" s="11">
        <f>-(1.7*K283^2)/19.62</f>
        <v>0</v>
      </c>
      <c r="O283">
        <f t="shared" si="89"/>
        <v>0</v>
      </c>
      <c r="P283">
        <f t="shared" si="90"/>
        <v>0</v>
      </c>
      <c r="Q283">
        <f t="shared" si="91"/>
        <v>0</v>
      </c>
      <c r="R283">
        <f t="shared" si="92"/>
        <v>8.7799999999999996E-3</v>
      </c>
    </row>
    <row r="284" spans="1:18" x14ac:dyDescent="0.3">
      <c r="A284">
        <f t="shared" si="84"/>
        <v>1.6666666666666667</v>
      </c>
      <c r="B284">
        <v>40</v>
      </c>
      <c r="C284">
        <v>1</v>
      </c>
      <c r="D284" s="15">
        <v>7.8</v>
      </c>
      <c r="E284" s="1">
        <v>20.303999999999998</v>
      </c>
      <c r="F284" s="6">
        <f t="shared" si="82"/>
        <v>3.8416075650118202</v>
      </c>
      <c r="G284" s="9">
        <v>2.16</v>
      </c>
      <c r="H284" s="8">
        <v>8.7799999999999996E-3</v>
      </c>
      <c r="I284" s="9">
        <f t="shared" si="88"/>
        <v>8.3454857261911233</v>
      </c>
      <c r="J284" s="16">
        <v>4.5</v>
      </c>
      <c r="K284" s="7">
        <v>1.35</v>
      </c>
      <c r="L284" s="10">
        <f t="shared" si="93"/>
        <v>13.212220355343906</v>
      </c>
      <c r="M284" s="12"/>
      <c r="N284" s="11">
        <f t="shared" ref="N284:N289" si="97">-(1.7*K284^2)/19.62</f>
        <v>-0.15791284403669725</v>
      </c>
      <c r="O284">
        <f t="shared" si="89"/>
        <v>0.35141538461538463</v>
      </c>
      <c r="P284">
        <f t="shared" si="90"/>
        <v>2.1470822291877742</v>
      </c>
      <c r="Q284">
        <f t="shared" si="91"/>
        <v>0.27526695245997107</v>
      </c>
      <c r="R284">
        <f t="shared" si="92"/>
        <v>8.7799999999999996E-3</v>
      </c>
    </row>
    <row r="285" spans="1:18" x14ac:dyDescent="0.3">
      <c r="A285">
        <f t="shared" si="84"/>
        <v>1.6666666666666667</v>
      </c>
      <c r="B285">
        <v>40</v>
      </c>
      <c r="C285">
        <v>1</v>
      </c>
      <c r="D285" s="15">
        <v>11.7</v>
      </c>
      <c r="E285" s="1">
        <v>20.303999999999998</v>
      </c>
      <c r="F285" s="6">
        <f t="shared" si="82"/>
        <v>5.7624113475177312</v>
      </c>
      <c r="G285" s="9">
        <v>2.16</v>
      </c>
      <c r="H285" s="8">
        <v>8.7799999999999996E-3</v>
      </c>
      <c r="I285" s="9">
        <f t="shared" si="88"/>
        <v>12.518228589286688</v>
      </c>
      <c r="J285" s="16">
        <v>4.5</v>
      </c>
      <c r="K285" s="7">
        <v>2.87</v>
      </c>
      <c r="L285" s="10">
        <f t="shared" si="93"/>
        <v>5.5437030036298225</v>
      </c>
      <c r="M285" s="12"/>
      <c r="N285" s="11">
        <f t="shared" si="97"/>
        <v>-0.71369673802242606</v>
      </c>
      <c r="O285">
        <f t="shared" si="89"/>
        <v>0.49805538461538457</v>
      </c>
      <c r="P285">
        <f t="shared" si="90"/>
        <v>4.5645377761251202</v>
      </c>
      <c r="Q285">
        <f t="shared" si="91"/>
        <v>0.3901314338568479</v>
      </c>
      <c r="R285">
        <f t="shared" si="92"/>
        <v>8.7799999999999996E-3</v>
      </c>
    </row>
    <row r="286" spans="1:18" x14ac:dyDescent="0.3">
      <c r="A286">
        <f t="shared" si="84"/>
        <v>1.6666666666666667</v>
      </c>
      <c r="B286">
        <v>40</v>
      </c>
      <c r="C286">
        <v>1</v>
      </c>
      <c r="D286" s="15">
        <v>15.6</v>
      </c>
      <c r="E286" s="1">
        <v>20.303999999999998</v>
      </c>
      <c r="F286" s="6">
        <f t="shared" si="82"/>
        <v>7.6832151300236404</v>
      </c>
      <c r="G286" s="9">
        <v>2.16</v>
      </c>
      <c r="H286" s="8">
        <v>8.7799999999999996E-3</v>
      </c>
      <c r="I286" s="9">
        <f t="shared" si="88"/>
        <v>16.690971452382247</v>
      </c>
      <c r="J286" s="16">
        <v>4.5</v>
      </c>
      <c r="K286" s="7">
        <v>5.1100000000000003</v>
      </c>
      <c r="L286" s="10">
        <f t="shared" si="93"/>
        <v>2.6035622107029588</v>
      </c>
      <c r="M286" s="12"/>
      <c r="N286" s="11">
        <f t="shared" si="97"/>
        <v>-2.2625163098878698</v>
      </c>
      <c r="O286">
        <f t="shared" si="89"/>
        <v>0.66508615384615388</v>
      </c>
      <c r="P286">
        <f t="shared" si="90"/>
        <v>8.1271038452959452</v>
      </c>
      <c r="Q286">
        <f t="shared" si="91"/>
        <v>0.52096819521127857</v>
      </c>
      <c r="R286">
        <f t="shared" si="92"/>
        <v>8.7799999999999996E-3</v>
      </c>
    </row>
    <row r="287" spans="1:18" x14ac:dyDescent="0.3">
      <c r="A287">
        <f t="shared" si="84"/>
        <v>1.6666666666666667</v>
      </c>
      <c r="B287">
        <v>40</v>
      </c>
      <c r="C287">
        <v>1</v>
      </c>
      <c r="D287" s="15">
        <v>19.5</v>
      </c>
      <c r="E287" s="1">
        <v>20.303999999999998</v>
      </c>
      <c r="F287" s="6">
        <f t="shared" si="82"/>
        <v>9.6040189125295505</v>
      </c>
      <c r="G287" s="9">
        <v>2.16</v>
      </c>
      <c r="H287" s="8">
        <v>8.7799999999999996E-3</v>
      </c>
      <c r="I287" s="9">
        <f t="shared" si="88"/>
        <v>20.863714315477811</v>
      </c>
      <c r="J287" s="16">
        <v>4.5</v>
      </c>
      <c r="K287" s="7">
        <v>8.7200000000000006</v>
      </c>
      <c r="L287" s="10">
        <f t="shared" si="93"/>
        <v>0.74610087323781304</v>
      </c>
      <c r="M287" s="12"/>
      <c r="N287" s="11">
        <f t="shared" si="97"/>
        <v>-6.5884444444444448</v>
      </c>
      <c r="O287">
        <f t="shared" si="89"/>
        <v>0.90795323076923085</v>
      </c>
      <c r="P287">
        <f t="shared" si="90"/>
        <v>13.868560769272142</v>
      </c>
      <c r="Q287">
        <f t="shared" si="91"/>
        <v>0.71120824457805853</v>
      </c>
      <c r="R287">
        <f t="shared" si="92"/>
        <v>8.7799999999999996E-3</v>
      </c>
    </row>
    <row r="288" spans="1:18" x14ac:dyDescent="0.3">
      <c r="A288">
        <f t="shared" si="84"/>
        <v>1.6666666666666667</v>
      </c>
      <c r="B288">
        <v>40</v>
      </c>
      <c r="C288">
        <v>1</v>
      </c>
      <c r="D288" s="15">
        <v>23.4</v>
      </c>
      <c r="E288" s="1">
        <v>20.303999999999998</v>
      </c>
      <c r="F288" s="6">
        <f t="shared" si="82"/>
        <v>11.524822695035462</v>
      </c>
      <c r="G288" s="9">
        <v>2.16</v>
      </c>
      <c r="H288" s="8">
        <v>8.7799999999999996E-3</v>
      </c>
      <c r="I288" s="9">
        <f t="shared" si="88"/>
        <v>25.036457178573375</v>
      </c>
      <c r="J288" s="16">
        <v>4.5</v>
      </c>
      <c r="K288" s="7">
        <v>12.42</v>
      </c>
      <c r="L288" s="10">
        <f t="shared" si="93"/>
        <v>-0.48299666524402307</v>
      </c>
      <c r="M288" s="12"/>
      <c r="N288" s="11">
        <f t="shared" si="97"/>
        <v>-13.365743119266051</v>
      </c>
      <c r="O288">
        <f t="shared" si="89"/>
        <v>1.077673846153846</v>
      </c>
      <c r="P288">
        <f t="shared" si="90"/>
        <v>19.753156508527525</v>
      </c>
      <c r="Q288">
        <f t="shared" si="91"/>
        <v>0.84415198754391141</v>
      </c>
      <c r="R288">
        <f t="shared" si="92"/>
        <v>8.7799999999999996E-3</v>
      </c>
    </row>
    <row r="289" spans="1:18" x14ac:dyDescent="0.3">
      <c r="A289">
        <f t="shared" si="84"/>
        <v>1.6666666666666667</v>
      </c>
      <c r="B289">
        <v>40</v>
      </c>
      <c r="C289">
        <v>1</v>
      </c>
      <c r="D289" s="16">
        <v>26.8</v>
      </c>
      <c r="E289" s="1">
        <v>20.303999999999998</v>
      </c>
      <c r="F289" s="6">
        <f t="shared" si="82"/>
        <v>13.199369582348307</v>
      </c>
      <c r="G289" s="9">
        <v>2.16</v>
      </c>
      <c r="H289" s="8">
        <v>8.7799999999999996E-3</v>
      </c>
      <c r="I289" s="9">
        <f t="shared" si="88"/>
        <v>28.674233007938739</v>
      </c>
      <c r="J289" s="16">
        <v>4.5</v>
      </c>
      <c r="K289" s="7">
        <v>14.97</v>
      </c>
      <c r="L289" s="10">
        <f t="shared" si="93"/>
        <v>-1.0497330137549028</v>
      </c>
      <c r="M289" s="12"/>
      <c r="N289" s="11">
        <f t="shared" si="97"/>
        <v>-19.417509174311927</v>
      </c>
      <c r="O289">
        <f t="shared" si="89"/>
        <v>1.1341450746268655</v>
      </c>
      <c r="P289">
        <f t="shared" si="90"/>
        <v>23.808756274771095</v>
      </c>
      <c r="Q289">
        <f t="shared" si="91"/>
        <v>0.88838642816310054</v>
      </c>
      <c r="R289">
        <f t="shared" si="92"/>
        <v>8.7799999999999996E-3</v>
      </c>
    </row>
    <row r="290" spans="1:18" x14ac:dyDescent="0.3">
      <c r="A290">
        <f t="shared" si="84"/>
        <v>1.6666666666666667</v>
      </c>
      <c r="B290">
        <v>40</v>
      </c>
      <c r="C290">
        <v>2</v>
      </c>
      <c r="D290" s="15">
        <v>3.9</v>
      </c>
      <c r="E290" s="1">
        <v>20.303999999999998</v>
      </c>
      <c r="F290" s="6">
        <f t="shared" si="82"/>
        <v>1.9208037825059101</v>
      </c>
      <c r="G290" s="9">
        <v>2.16</v>
      </c>
      <c r="H290" s="8">
        <v>4.3899999999999998E-3</v>
      </c>
      <c r="I290" s="9">
        <f t="shared" si="88"/>
        <v>4.1727428630955616</v>
      </c>
      <c r="J290" s="16">
        <v>4.5</v>
      </c>
      <c r="K290" s="7">
        <v>0.65</v>
      </c>
      <c r="L290" s="10">
        <f t="shared" si="93"/>
        <v>53.493957522677398</v>
      </c>
      <c r="M290" s="12"/>
      <c r="N290" s="11">
        <f>-(1.7*K290^2)/19.62</f>
        <v>-3.6608053007135578E-2</v>
      </c>
      <c r="O290">
        <f t="shared" si="89"/>
        <v>0.33840000000000003</v>
      </c>
      <c r="P290">
        <f t="shared" si="90"/>
        <v>1.0337803325718913</v>
      </c>
      <c r="Q290">
        <f t="shared" si="91"/>
        <v>0.26507188014663879</v>
      </c>
      <c r="R290">
        <f t="shared" si="92"/>
        <v>8.7799999999999996E-3</v>
      </c>
    </row>
    <row r="291" spans="1:18" x14ac:dyDescent="0.3">
      <c r="A291">
        <f t="shared" si="84"/>
        <v>1.6666666666666667</v>
      </c>
      <c r="B291">
        <v>40</v>
      </c>
      <c r="C291">
        <v>2</v>
      </c>
      <c r="D291" s="15">
        <v>7.8</v>
      </c>
      <c r="E291" s="1">
        <v>20.303999999999998</v>
      </c>
      <c r="F291" s="6">
        <f t="shared" si="82"/>
        <v>3.8416075650118202</v>
      </c>
      <c r="G291" s="9">
        <v>2.16</v>
      </c>
      <c r="H291" s="8">
        <v>4.3899999999999998E-3</v>
      </c>
      <c r="I291" s="9">
        <f t="shared" si="88"/>
        <v>8.3454857261911233</v>
      </c>
      <c r="J291" s="16">
        <v>4.5</v>
      </c>
      <c r="K291" s="7">
        <v>2.16</v>
      </c>
      <c r="L291" s="10">
        <f t="shared" si="93"/>
        <v>12.884717522556215</v>
      </c>
      <c r="M291" s="12"/>
      <c r="N291" s="11">
        <f t="shared" ref="N291:N296" si="98">-(1.7*K291^2)/19.62</f>
        <v>-0.404256880733945</v>
      </c>
      <c r="O291">
        <f t="shared" si="89"/>
        <v>0.56226461538461547</v>
      </c>
      <c r="P291">
        <f t="shared" si="90"/>
        <v>3.4353315667004387</v>
      </c>
      <c r="Q291">
        <f t="shared" si="91"/>
        <v>0.44042712393595368</v>
      </c>
      <c r="R291">
        <f t="shared" si="92"/>
        <v>8.7799999999999996E-3</v>
      </c>
    </row>
    <row r="292" spans="1:18" x14ac:dyDescent="0.3">
      <c r="A292">
        <f t="shared" si="84"/>
        <v>1.6666666666666667</v>
      </c>
      <c r="B292">
        <v>40</v>
      </c>
      <c r="C292">
        <v>2</v>
      </c>
      <c r="D292" s="15">
        <v>11.7</v>
      </c>
      <c r="E292" s="1">
        <v>20.303999999999998</v>
      </c>
      <c r="F292" s="6">
        <f t="shared" si="82"/>
        <v>5.7624113475177312</v>
      </c>
      <c r="G292" s="9">
        <v>2.16</v>
      </c>
      <c r="H292" s="8">
        <v>4.3899999999999998E-3</v>
      </c>
      <c r="I292" s="9">
        <f t="shared" si="88"/>
        <v>12.518228589286688</v>
      </c>
      <c r="J292" s="16">
        <v>4.5</v>
      </c>
      <c r="K292" s="7">
        <v>4.83</v>
      </c>
      <c r="L292" s="10">
        <f t="shared" si="93"/>
        <v>4.771045184515029</v>
      </c>
      <c r="M292" s="12"/>
      <c r="N292" s="11">
        <f t="shared" si="98"/>
        <v>-2.0213623853211007</v>
      </c>
      <c r="O292">
        <f t="shared" si="89"/>
        <v>0.83819076923076918</v>
      </c>
      <c r="P292">
        <f t="shared" si="90"/>
        <v>7.6817830866495926</v>
      </c>
      <c r="Q292">
        <f t="shared" si="91"/>
        <v>0.65656265697859773</v>
      </c>
      <c r="R292">
        <f t="shared" si="92"/>
        <v>8.7799999999999996E-3</v>
      </c>
    </row>
    <row r="293" spans="1:18" x14ac:dyDescent="0.3">
      <c r="A293">
        <f t="shared" si="84"/>
        <v>1.6666666666666667</v>
      </c>
      <c r="B293">
        <v>40</v>
      </c>
      <c r="C293">
        <v>2</v>
      </c>
      <c r="D293" s="15">
        <v>15.6</v>
      </c>
      <c r="E293" s="1">
        <v>20.303999999999998</v>
      </c>
      <c r="F293" s="6">
        <f t="shared" ref="F293:F356" si="99">(D293*10^-3)/(E293*10^-4)</f>
        <v>7.6832151300236404</v>
      </c>
      <c r="G293" s="9">
        <v>2.16</v>
      </c>
      <c r="H293" s="8">
        <v>4.3899999999999998E-3</v>
      </c>
      <c r="I293" s="9">
        <f t="shared" si="88"/>
        <v>16.690971452382247</v>
      </c>
      <c r="J293" s="16">
        <v>4.5</v>
      </c>
      <c r="K293" s="7">
        <v>8.8800000000000008</v>
      </c>
      <c r="L293" s="10">
        <f t="shared" si="93"/>
        <v>1.0846873331275737</v>
      </c>
      <c r="M293" s="12"/>
      <c r="N293" s="11">
        <f t="shared" si="98"/>
        <v>-6.8324403669724783</v>
      </c>
      <c r="O293">
        <f t="shared" si="89"/>
        <v>1.1557661538461539</v>
      </c>
      <c r="P293">
        <f t="shared" si="90"/>
        <v>14.123029774212915</v>
      </c>
      <c r="Q293">
        <f t="shared" si="91"/>
        <v>0.90532242142390484</v>
      </c>
      <c r="R293">
        <f t="shared" si="92"/>
        <v>8.7799999999999996E-3</v>
      </c>
    </row>
    <row r="294" spans="1:18" x14ac:dyDescent="0.3">
      <c r="A294">
        <f t="shared" si="84"/>
        <v>1.6666666666666667</v>
      </c>
      <c r="B294">
        <v>40</v>
      </c>
      <c r="C294">
        <v>2</v>
      </c>
      <c r="D294" s="15">
        <v>19.5</v>
      </c>
      <c r="E294" s="1">
        <v>20.303999999999998</v>
      </c>
      <c r="F294" s="6">
        <f t="shared" si="99"/>
        <v>9.6040189125295505</v>
      </c>
      <c r="G294" s="9">
        <v>2.16</v>
      </c>
      <c r="H294" s="8">
        <v>4.3899999999999998E-3</v>
      </c>
      <c r="I294" s="9">
        <f t="shared" si="88"/>
        <v>20.863714315477811</v>
      </c>
      <c r="J294" s="16">
        <v>4.5</v>
      </c>
      <c r="K294" s="7">
        <v>12.69</v>
      </c>
      <c r="L294" s="10">
        <f t="shared" si="93"/>
        <v>-0.82047012492269777</v>
      </c>
      <c r="M294" s="12"/>
      <c r="N294" s="11">
        <f t="shared" si="98"/>
        <v>-13.953178899082566</v>
      </c>
      <c r="O294">
        <f t="shared" si="89"/>
        <v>1.3213218461538461</v>
      </c>
      <c r="P294">
        <f t="shared" si="90"/>
        <v>20.182572954365078</v>
      </c>
      <c r="Q294">
        <f t="shared" si="91"/>
        <v>1.0350037412494912</v>
      </c>
      <c r="R294">
        <f t="shared" si="92"/>
        <v>8.7799999999999996E-3</v>
      </c>
    </row>
    <row r="295" spans="1:18" x14ac:dyDescent="0.3">
      <c r="A295">
        <f t="shared" si="84"/>
        <v>1.6666666666666667</v>
      </c>
      <c r="B295">
        <v>40</v>
      </c>
      <c r="C295">
        <v>2</v>
      </c>
      <c r="D295" s="15">
        <v>23.4</v>
      </c>
      <c r="E295" s="1">
        <v>20.303999999999998</v>
      </c>
      <c r="F295" s="6">
        <f t="shared" si="99"/>
        <v>11.524822695035462</v>
      </c>
      <c r="G295" s="9">
        <v>2.16</v>
      </c>
      <c r="H295" s="8">
        <v>4.3899999999999998E-3</v>
      </c>
      <c r="I295" s="9">
        <f t="shared" si="88"/>
        <v>25.036457178573375</v>
      </c>
      <c r="J295" s="16">
        <v>4.5</v>
      </c>
      <c r="K295" s="7">
        <v>15.94</v>
      </c>
      <c r="L295" s="10">
        <f t="shared" si="93"/>
        <v>-1.7606978751621296</v>
      </c>
      <c r="M295" s="12"/>
      <c r="N295" s="11">
        <f t="shared" si="98"/>
        <v>-22.015398572884809</v>
      </c>
      <c r="O295">
        <f t="shared" si="89"/>
        <v>1.3831015384615382</v>
      </c>
      <c r="P295">
        <f t="shared" si="90"/>
        <v>25.351474617224532</v>
      </c>
      <c r="Q295">
        <f t="shared" si="91"/>
        <v>1.0833963511634417</v>
      </c>
      <c r="R295">
        <f t="shared" si="92"/>
        <v>8.7799999999999996E-3</v>
      </c>
    </row>
    <row r="296" spans="1:18" x14ac:dyDescent="0.3">
      <c r="A296">
        <f t="shared" si="84"/>
        <v>1.6666666666666667</v>
      </c>
      <c r="B296">
        <v>40</v>
      </c>
      <c r="C296">
        <v>2</v>
      </c>
      <c r="D296" s="16">
        <v>26.8</v>
      </c>
      <c r="E296" s="1">
        <v>20.303999999999998</v>
      </c>
      <c r="F296" s="6">
        <f t="shared" si="99"/>
        <v>13.199369582348307</v>
      </c>
      <c r="G296" s="9">
        <v>2.16</v>
      </c>
      <c r="H296" s="8">
        <v>4.3899999999999998E-3</v>
      </c>
      <c r="I296" s="9">
        <f t="shared" si="88"/>
        <v>28.674233007938739</v>
      </c>
      <c r="J296" s="16">
        <v>4.5</v>
      </c>
      <c r="K296" s="7">
        <v>18.940000000000001</v>
      </c>
      <c r="L296" s="10">
        <f t="shared" si="93"/>
        <v>-2.3633260557722426</v>
      </c>
      <c r="M296" s="12"/>
      <c r="N296" s="11">
        <f t="shared" si="98"/>
        <v>-31.082065239551479</v>
      </c>
      <c r="O296">
        <f t="shared" si="89"/>
        <v>1.4349170149253732</v>
      </c>
      <c r="P296">
        <f t="shared" si="90"/>
        <v>30.122768459864034</v>
      </c>
      <c r="Q296">
        <f t="shared" si="91"/>
        <v>1.1239838977561207</v>
      </c>
      <c r="R296">
        <f t="shared" si="92"/>
        <v>8.7799999999999996E-3</v>
      </c>
    </row>
    <row r="297" spans="1:18" x14ac:dyDescent="0.3">
      <c r="A297">
        <f t="shared" si="84"/>
        <v>1.6666666666666667</v>
      </c>
      <c r="B297">
        <v>40</v>
      </c>
      <c r="C297">
        <v>4</v>
      </c>
      <c r="D297" s="15">
        <v>3.9</v>
      </c>
      <c r="E297" s="1">
        <v>20.303999999999998</v>
      </c>
      <c r="F297" s="6">
        <f t="shared" si="99"/>
        <v>1.9208037825059101</v>
      </c>
      <c r="G297" s="9">
        <v>2.16</v>
      </c>
      <c r="H297" s="8">
        <v>2.1949999999999999E-3</v>
      </c>
      <c r="I297" s="9">
        <f t="shared" si="88"/>
        <v>4.1727428630955616</v>
      </c>
      <c r="J297" s="16">
        <v>4.5</v>
      </c>
      <c r="K297" s="7">
        <v>0.6</v>
      </c>
      <c r="L297" s="10">
        <f t="shared" si="93"/>
        <v>53.522755562914085</v>
      </c>
      <c r="M297" s="12"/>
      <c r="N297" s="11">
        <f>-(1.7*K297^2)/19.62</f>
        <v>-3.1192660550458714E-2</v>
      </c>
      <c r="O297">
        <f t="shared" si="89"/>
        <v>0.31236923076923079</v>
      </c>
      <c r="P297">
        <f t="shared" si="90"/>
        <v>0.9542587685278997</v>
      </c>
      <c r="Q297">
        <f t="shared" si="91"/>
        <v>0.2446817355199743</v>
      </c>
      <c r="R297">
        <f t="shared" si="92"/>
        <v>8.7799999999999996E-3</v>
      </c>
    </row>
    <row r="298" spans="1:18" x14ac:dyDescent="0.3">
      <c r="A298">
        <f t="shared" si="84"/>
        <v>1.6666666666666667</v>
      </c>
      <c r="B298">
        <v>40</v>
      </c>
      <c r="C298">
        <v>4</v>
      </c>
      <c r="D298" s="15">
        <v>7.8</v>
      </c>
      <c r="E298" s="1">
        <v>20.303999999999998</v>
      </c>
      <c r="F298" s="6">
        <f t="shared" si="99"/>
        <v>3.8416075650118202</v>
      </c>
      <c r="G298" s="9">
        <v>2.16</v>
      </c>
      <c r="H298" s="8">
        <v>2.1949999999999999E-3</v>
      </c>
      <c r="I298" s="9">
        <f t="shared" si="88"/>
        <v>8.3454857261911233</v>
      </c>
      <c r="J298" s="16">
        <v>4.5</v>
      </c>
      <c r="K298" s="7">
        <v>2.36</v>
      </c>
      <c r="L298" s="10">
        <f t="shared" si="93"/>
        <v>12.780583809060355</v>
      </c>
      <c r="M298" s="12"/>
      <c r="N298" s="11">
        <f t="shared" ref="N298:N303" si="100">-(1.7*K298^2)/19.62</f>
        <v>-0.48258511722731895</v>
      </c>
      <c r="O298">
        <f t="shared" si="89"/>
        <v>0.61432615384615386</v>
      </c>
      <c r="P298">
        <f t="shared" si="90"/>
        <v>3.7534178228764055</v>
      </c>
      <c r="Q298">
        <f t="shared" si="91"/>
        <v>0.48120741318928278</v>
      </c>
      <c r="R298">
        <f t="shared" si="92"/>
        <v>8.7799999999999996E-3</v>
      </c>
    </row>
    <row r="299" spans="1:18" x14ac:dyDescent="0.3">
      <c r="A299">
        <f t="shared" si="84"/>
        <v>1.6666666666666667</v>
      </c>
      <c r="B299">
        <v>40</v>
      </c>
      <c r="C299">
        <v>4</v>
      </c>
      <c r="D299" s="15">
        <v>11.7</v>
      </c>
      <c r="E299" s="1">
        <v>20.303999999999998</v>
      </c>
      <c r="F299" s="6">
        <f t="shared" si="99"/>
        <v>5.7624113475177312</v>
      </c>
      <c r="G299" s="9">
        <v>2.16</v>
      </c>
      <c r="H299" s="8">
        <v>2.1949999999999999E-3</v>
      </c>
      <c r="I299" s="9">
        <f t="shared" si="88"/>
        <v>12.518228589286688</v>
      </c>
      <c r="J299" s="16">
        <v>4.5</v>
      </c>
      <c r="K299" s="7">
        <v>5.04</v>
      </c>
      <c r="L299" s="10">
        <f t="shared" si="93"/>
        <v>4.6649301658508868</v>
      </c>
      <c r="M299" s="12"/>
      <c r="N299" s="11">
        <f t="shared" si="100"/>
        <v>-2.2009541284403671</v>
      </c>
      <c r="O299">
        <f t="shared" si="89"/>
        <v>0.8746338461538461</v>
      </c>
      <c r="P299">
        <f t="shared" si="90"/>
        <v>8.0157736556343568</v>
      </c>
      <c r="Q299">
        <f t="shared" si="91"/>
        <v>0.68510885945592803</v>
      </c>
      <c r="R299">
        <f t="shared" si="92"/>
        <v>8.7799999999999996E-3</v>
      </c>
    </row>
    <row r="300" spans="1:18" x14ac:dyDescent="0.3">
      <c r="A300">
        <f t="shared" ref="A300:A338" si="101">100/60</f>
        <v>1.6666666666666667</v>
      </c>
      <c r="B300">
        <v>40</v>
      </c>
      <c r="C300">
        <v>4</v>
      </c>
      <c r="D300" s="15">
        <v>15.6</v>
      </c>
      <c r="E300" s="1">
        <v>20.303999999999998</v>
      </c>
      <c r="F300" s="6">
        <f t="shared" si="99"/>
        <v>7.6832151300236404</v>
      </c>
      <c r="G300" s="9">
        <v>2.16</v>
      </c>
      <c r="H300" s="8">
        <v>2.1949999999999999E-3</v>
      </c>
      <c r="I300" s="9">
        <f t="shared" si="88"/>
        <v>16.690971452382247</v>
      </c>
      <c r="J300" s="16">
        <v>4.5</v>
      </c>
      <c r="K300" s="7">
        <v>7.62</v>
      </c>
      <c r="L300" s="10">
        <f t="shared" si="93"/>
        <v>1.6833985896482841</v>
      </c>
      <c r="M300" s="12"/>
      <c r="N300" s="11">
        <f t="shared" si="100"/>
        <v>-5.0310642201834863</v>
      </c>
      <c r="O300">
        <f t="shared" si="89"/>
        <v>0.99177230769230773</v>
      </c>
      <c r="P300">
        <f t="shared" si="90"/>
        <v>12.119086360304326</v>
      </c>
      <c r="Q300">
        <f t="shared" si="91"/>
        <v>0.77686451027591841</v>
      </c>
      <c r="R300">
        <f t="shared" si="92"/>
        <v>8.7799999999999996E-3</v>
      </c>
    </row>
    <row r="301" spans="1:18" x14ac:dyDescent="0.3">
      <c r="A301">
        <f t="shared" si="101"/>
        <v>1.6666666666666667</v>
      </c>
      <c r="B301">
        <v>40</v>
      </c>
      <c r="C301">
        <v>4</v>
      </c>
      <c r="D301" s="15">
        <v>19.5</v>
      </c>
      <c r="E301" s="1">
        <v>20.303999999999998</v>
      </c>
      <c r="F301" s="6">
        <f t="shared" si="99"/>
        <v>9.6040189125295505</v>
      </c>
      <c r="G301" s="9">
        <v>2.16</v>
      </c>
      <c r="H301" s="8">
        <v>2.1949999999999999E-3</v>
      </c>
      <c r="I301" s="9">
        <f t="shared" si="88"/>
        <v>20.863714315477811</v>
      </c>
      <c r="J301" s="16">
        <v>4.5</v>
      </c>
      <c r="K301" s="7">
        <v>8.99</v>
      </c>
      <c r="L301" s="10">
        <f t="shared" si="93"/>
        <v>0.65797057627796462</v>
      </c>
      <c r="M301" s="12"/>
      <c r="N301" s="11">
        <f t="shared" si="100"/>
        <v>-7.0027609582059123</v>
      </c>
      <c r="O301">
        <f t="shared" si="89"/>
        <v>0.93606646153846162</v>
      </c>
      <c r="P301">
        <f t="shared" si="90"/>
        <v>14.297977215109697</v>
      </c>
      <c r="Q301">
        <f t="shared" si="91"/>
        <v>0.73322960077485622</v>
      </c>
      <c r="R301">
        <f t="shared" si="92"/>
        <v>8.7799999999999996E-3</v>
      </c>
    </row>
    <row r="302" spans="1:18" x14ac:dyDescent="0.3">
      <c r="A302">
        <f t="shared" si="101"/>
        <v>1.6666666666666667</v>
      </c>
      <c r="B302">
        <v>40</v>
      </c>
      <c r="C302">
        <v>4</v>
      </c>
      <c r="D302" s="15">
        <v>23.4</v>
      </c>
      <c r="E302" s="1">
        <v>20.303999999999998</v>
      </c>
      <c r="F302" s="6">
        <f t="shared" si="99"/>
        <v>11.524822695035462</v>
      </c>
      <c r="G302" s="9">
        <v>2.16</v>
      </c>
      <c r="H302" s="8">
        <v>2.1949999999999999E-3</v>
      </c>
      <c r="I302" s="9">
        <f t="shared" si="88"/>
        <v>25.036457178573375</v>
      </c>
      <c r="J302" s="16">
        <v>4.5</v>
      </c>
      <c r="K302" s="7">
        <v>11.82</v>
      </c>
      <c r="L302" s="10">
        <f t="shared" si="93"/>
        <v>-0.29684613315408259</v>
      </c>
      <c r="M302" s="12"/>
      <c r="N302" s="11">
        <f t="shared" si="100"/>
        <v>-12.105559633027521</v>
      </c>
      <c r="O302">
        <f t="shared" si="89"/>
        <v>1.0256123076923076</v>
      </c>
      <c r="P302">
        <f t="shared" si="90"/>
        <v>18.798897739999624</v>
      </c>
      <c r="Q302">
        <f t="shared" si="91"/>
        <v>0.8033716982905823</v>
      </c>
      <c r="R302">
        <f t="shared" si="92"/>
        <v>8.7799999999999996E-3</v>
      </c>
    </row>
    <row r="303" spans="1:18" x14ac:dyDescent="0.3">
      <c r="A303">
        <f t="shared" si="101"/>
        <v>1.6666666666666667</v>
      </c>
      <c r="B303">
        <v>40</v>
      </c>
      <c r="C303">
        <v>4</v>
      </c>
      <c r="D303" s="16">
        <v>26.9</v>
      </c>
      <c r="E303" s="1">
        <v>20.303999999999998</v>
      </c>
      <c r="F303" s="6">
        <f t="shared" si="99"/>
        <v>13.248620961386919</v>
      </c>
      <c r="G303" s="9">
        <v>2.16</v>
      </c>
      <c r="H303" s="8">
        <v>2.1949999999999999E-3</v>
      </c>
      <c r="I303" s="9">
        <f t="shared" si="88"/>
        <v>28.781226414684774</v>
      </c>
      <c r="J303" s="16">
        <v>4.5</v>
      </c>
      <c r="K303" s="7">
        <v>14.59</v>
      </c>
      <c r="L303" s="10">
        <f t="shared" si="93"/>
        <v>-0.93315115579629893</v>
      </c>
      <c r="M303" s="12"/>
      <c r="N303" s="11">
        <f t="shared" si="100"/>
        <v>-18.444228848114168</v>
      </c>
      <c r="O303">
        <f t="shared" si="89"/>
        <v>1.101246691449814</v>
      </c>
      <c r="P303">
        <f t="shared" si="90"/>
        <v>23.204392388036759</v>
      </c>
      <c r="Q303">
        <f t="shared" si="91"/>
        <v>0.86261681739913609</v>
      </c>
      <c r="R303">
        <f t="shared" si="92"/>
        <v>8.7799999999999996E-3</v>
      </c>
    </row>
    <row r="304" spans="1:18" x14ac:dyDescent="0.3">
      <c r="A304">
        <f t="shared" si="101"/>
        <v>1.6666666666666667</v>
      </c>
      <c r="B304">
        <v>40</v>
      </c>
      <c r="C304">
        <v>6</v>
      </c>
      <c r="D304" s="15">
        <v>3.9</v>
      </c>
      <c r="E304" s="1">
        <v>20.303999999999998</v>
      </c>
      <c r="F304" s="6">
        <f t="shared" si="99"/>
        <v>1.9208037825059101</v>
      </c>
      <c r="G304" s="9">
        <v>2.16</v>
      </c>
      <c r="H304" s="8">
        <v>1.4633300000000001E-3</v>
      </c>
      <c r="I304" s="9">
        <f t="shared" si="88"/>
        <v>4.1727428630955616</v>
      </c>
      <c r="J304" s="16">
        <v>4.5</v>
      </c>
      <c r="K304" s="7">
        <v>0.57999999999999996</v>
      </c>
      <c r="L304" s="10">
        <f t="shared" si="93"/>
        <v>53.533629702907461</v>
      </c>
      <c r="M304" s="12"/>
      <c r="N304" s="11">
        <f>-(1.7*K304^2)/19.62</f>
        <v>-2.9147808358817529E-2</v>
      </c>
      <c r="O304">
        <f t="shared" si="89"/>
        <v>0.30195692307692307</v>
      </c>
      <c r="P304">
        <f t="shared" si="90"/>
        <v>0.92245014291030292</v>
      </c>
      <c r="Q304">
        <f t="shared" si="91"/>
        <v>0.23652567766930846</v>
      </c>
      <c r="R304">
        <f t="shared" si="92"/>
        <v>8.7799799999999997E-3</v>
      </c>
    </row>
    <row r="305" spans="1:18" x14ac:dyDescent="0.3">
      <c r="A305">
        <f t="shared" si="101"/>
        <v>1.6666666666666667</v>
      </c>
      <c r="B305">
        <v>40</v>
      </c>
      <c r="C305">
        <v>6</v>
      </c>
      <c r="D305" s="15">
        <v>7.8</v>
      </c>
      <c r="E305" s="1">
        <v>20.303999999999998</v>
      </c>
      <c r="F305" s="6">
        <f t="shared" si="99"/>
        <v>3.8416075650118202</v>
      </c>
      <c r="G305" s="9">
        <v>2.16</v>
      </c>
      <c r="H305" s="8">
        <v>1.4633300000000001E-3</v>
      </c>
      <c r="I305" s="9">
        <f t="shared" si="88"/>
        <v>8.3454857261911233</v>
      </c>
      <c r="J305" s="16">
        <v>4.5</v>
      </c>
      <c r="K305" s="7">
        <v>2.25</v>
      </c>
      <c r="L305" s="10">
        <f t="shared" si="93"/>
        <v>12.838997753876452</v>
      </c>
      <c r="M305" s="12"/>
      <c r="N305" s="11">
        <f t="shared" ref="N305:N310" si="102">-(1.7*K305^2)/19.62</f>
        <v>-0.43864678899082565</v>
      </c>
      <c r="O305">
        <f t="shared" si="89"/>
        <v>0.58569230769230773</v>
      </c>
      <c r="P305">
        <f t="shared" si="90"/>
        <v>3.5784703819796233</v>
      </c>
      <c r="Q305">
        <f t="shared" si="91"/>
        <v>0.45877825409995171</v>
      </c>
      <c r="R305">
        <f t="shared" si="92"/>
        <v>8.7799799999999997E-3</v>
      </c>
    </row>
    <row r="306" spans="1:18" x14ac:dyDescent="0.3">
      <c r="A306">
        <f t="shared" si="101"/>
        <v>1.6666666666666667</v>
      </c>
      <c r="B306">
        <v>40</v>
      </c>
      <c r="C306">
        <v>6</v>
      </c>
      <c r="D306" s="15">
        <v>11.7</v>
      </c>
      <c r="E306" s="1">
        <v>20.303999999999998</v>
      </c>
      <c r="F306" s="6">
        <f t="shared" si="99"/>
        <v>5.7624113475177312</v>
      </c>
      <c r="G306" s="9">
        <v>2.16</v>
      </c>
      <c r="H306" s="8">
        <v>1.4633300000000001E-3</v>
      </c>
      <c r="I306" s="9">
        <f t="shared" si="88"/>
        <v>12.518228589286688</v>
      </c>
      <c r="J306" s="16">
        <v>4.5</v>
      </c>
      <c r="K306" s="7">
        <v>4.21</v>
      </c>
      <c r="L306" s="10">
        <f t="shared" si="93"/>
        <v>5.0579914172591716</v>
      </c>
      <c r="M306" s="12"/>
      <c r="N306" s="11">
        <f t="shared" si="102"/>
        <v>-1.5357273190621812</v>
      </c>
      <c r="O306">
        <f t="shared" si="89"/>
        <v>0.73059692307692303</v>
      </c>
      <c r="P306">
        <f t="shared" si="90"/>
        <v>6.6957156925040966</v>
      </c>
      <c r="Q306">
        <f t="shared" si="91"/>
        <v>0.57228339252171767</v>
      </c>
      <c r="R306">
        <f t="shared" si="92"/>
        <v>8.7799799999999997E-3</v>
      </c>
    </row>
    <row r="307" spans="1:18" x14ac:dyDescent="0.3">
      <c r="A307">
        <f t="shared" si="101"/>
        <v>1.6666666666666667</v>
      </c>
      <c r="B307">
        <v>40</v>
      </c>
      <c r="C307">
        <v>6</v>
      </c>
      <c r="D307" s="15">
        <v>15.6</v>
      </c>
      <c r="E307" s="1">
        <v>20.303999999999998</v>
      </c>
      <c r="F307" s="6">
        <f t="shared" si="99"/>
        <v>7.6832151300236404</v>
      </c>
      <c r="G307" s="9">
        <v>2.16</v>
      </c>
      <c r="H307" s="8">
        <v>1.4633300000000001E-3</v>
      </c>
      <c r="I307" s="9">
        <f t="shared" si="88"/>
        <v>16.690971452382247</v>
      </c>
      <c r="J307" s="16">
        <v>4.5</v>
      </c>
      <c r="K307" s="7">
        <v>5.61</v>
      </c>
      <c r="L307" s="10">
        <f t="shared" si="93"/>
        <v>2.4492047150343197</v>
      </c>
      <c r="M307" s="12"/>
      <c r="N307" s="11">
        <f t="shared" si="102"/>
        <v>-2.7269403669724772</v>
      </c>
      <c r="O307">
        <f t="shared" si="89"/>
        <v>0.73016307692307703</v>
      </c>
      <c r="P307">
        <f t="shared" si="90"/>
        <v>8.9223194857358621</v>
      </c>
      <c r="Q307">
        <f t="shared" si="91"/>
        <v>0.57194355677793984</v>
      </c>
      <c r="R307">
        <f t="shared" si="92"/>
        <v>8.7799799999999997E-3</v>
      </c>
    </row>
    <row r="308" spans="1:18" x14ac:dyDescent="0.3">
      <c r="A308">
        <f t="shared" si="101"/>
        <v>1.6666666666666667</v>
      </c>
      <c r="B308">
        <v>40</v>
      </c>
      <c r="C308">
        <v>6</v>
      </c>
      <c r="D308" s="15">
        <v>19.5</v>
      </c>
      <c r="E308" s="1">
        <v>20.303999999999998</v>
      </c>
      <c r="F308" s="6">
        <f t="shared" si="99"/>
        <v>9.6040189125295505</v>
      </c>
      <c r="G308" s="9">
        <v>2.16</v>
      </c>
      <c r="H308" s="8">
        <v>1.4633300000000001E-3</v>
      </c>
      <c r="I308" s="9">
        <f t="shared" si="88"/>
        <v>20.863714315477811</v>
      </c>
      <c r="J308" s="16">
        <v>4.5</v>
      </c>
      <c r="K308" s="7">
        <v>6.24</v>
      </c>
      <c r="L308" s="10">
        <f t="shared" si="93"/>
        <v>1.4298962852142962</v>
      </c>
      <c r="M308" s="12"/>
      <c r="N308" s="11">
        <f t="shared" si="102"/>
        <v>-3.373798165137615</v>
      </c>
      <c r="O308">
        <f t="shared" si="89"/>
        <v>0.64972800000000008</v>
      </c>
      <c r="P308">
        <f t="shared" si="90"/>
        <v>9.9242911926901556</v>
      </c>
      <c r="Q308">
        <f t="shared" si="91"/>
        <v>0.50893800988154647</v>
      </c>
      <c r="R308">
        <f t="shared" si="92"/>
        <v>8.7799799999999997E-3</v>
      </c>
    </row>
    <row r="309" spans="1:18" x14ac:dyDescent="0.3">
      <c r="A309">
        <f t="shared" si="101"/>
        <v>1.6666666666666667</v>
      </c>
      <c r="B309">
        <v>40</v>
      </c>
      <c r="C309">
        <v>6</v>
      </c>
      <c r="D309" s="15">
        <v>23.4</v>
      </c>
      <c r="E309" s="1">
        <v>20.303999999999998</v>
      </c>
      <c r="F309" s="6">
        <f t="shared" si="99"/>
        <v>11.524822695035462</v>
      </c>
      <c r="G309" s="9">
        <v>2.16</v>
      </c>
      <c r="H309" s="8">
        <v>1.4633300000000001E-3</v>
      </c>
      <c r="I309" s="9">
        <f t="shared" si="88"/>
        <v>25.036457178573375</v>
      </c>
      <c r="J309" s="16">
        <v>4.5</v>
      </c>
      <c r="K309" s="7">
        <v>8.94</v>
      </c>
      <c r="L309" s="10">
        <f t="shared" si="93"/>
        <v>0.46839843044733737</v>
      </c>
      <c r="M309" s="12"/>
      <c r="N309" s="11">
        <f t="shared" si="102"/>
        <v>-6.9250825688073387</v>
      </c>
      <c r="O309">
        <f t="shared" si="89"/>
        <v>0.77571692307692297</v>
      </c>
      <c r="P309">
        <f t="shared" si="90"/>
        <v>14.218455651065705</v>
      </c>
      <c r="Q309">
        <f t="shared" si="91"/>
        <v>0.60762630987460287</v>
      </c>
      <c r="R309">
        <f t="shared" si="92"/>
        <v>8.7799799999999997E-3</v>
      </c>
    </row>
    <row r="310" spans="1:18" x14ac:dyDescent="0.3">
      <c r="A310">
        <f t="shared" si="101"/>
        <v>1.6666666666666667</v>
      </c>
      <c r="B310">
        <v>40</v>
      </c>
      <c r="C310">
        <v>6</v>
      </c>
      <c r="D310" s="16">
        <v>26.7</v>
      </c>
      <c r="E310" s="1">
        <v>20.303999999999998</v>
      </c>
      <c r="F310" s="6">
        <f t="shared" si="99"/>
        <v>13.150118203309693</v>
      </c>
      <c r="G310" s="9">
        <v>2.16</v>
      </c>
      <c r="H310" s="8">
        <v>1.4633300000000001E-3</v>
      </c>
      <c r="I310" s="9">
        <f t="shared" si="88"/>
        <v>28.567239601192696</v>
      </c>
      <c r="J310" s="16">
        <v>4.5</v>
      </c>
      <c r="K310" s="7">
        <v>10.61</v>
      </c>
      <c r="L310" s="10">
        <f t="shared" si="93"/>
        <v>3.880830634677454E-2</v>
      </c>
      <c r="M310" s="12"/>
      <c r="N310" s="11">
        <f t="shared" si="102"/>
        <v>-9.7539536187563698</v>
      </c>
      <c r="O310">
        <f t="shared" si="89"/>
        <v>0.8068368539325842</v>
      </c>
      <c r="P310">
        <f t="shared" si="90"/>
        <v>16.874475890135024</v>
      </c>
      <c r="Q310">
        <f t="shared" si="91"/>
        <v>0.63200284232715442</v>
      </c>
      <c r="R310">
        <f t="shared" si="92"/>
        <v>8.7799799999999997E-3</v>
      </c>
    </row>
    <row r="311" spans="1:18" x14ac:dyDescent="0.3">
      <c r="A311">
        <f t="shared" si="101"/>
        <v>1.6666666666666667</v>
      </c>
      <c r="B311">
        <v>60</v>
      </c>
      <c r="C311">
        <v>1</v>
      </c>
      <c r="D311" s="15">
        <v>4.5999999999999996</v>
      </c>
      <c r="E311" s="1">
        <v>30.456</v>
      </c>
      <c r="F311" s="6">
        <f t="shared" si="99"/>
        <v>1.510375623850801</v>
      </c>
      <c r="G311" s="9">
        <v>3.24</v>
      </c>
      <c r="H311" s="8">
        <v>1.205E-2</v>
      </c>
      <c r="I311" s="9">
        <f t="shared" si="88"/>
        <v>2.6790323575585031</v>
      </c>
      <c r="J311" s="16">
        <v>3</v>
      </c>
      <c r="K311" s="7">
        <v>0</v>
      </c>
      <c r="L311" s="10">
        <f t="shared" si="93"/>
        <v>86.83172107845688</v>
      </c>
      <c r="M311" s="12"/>
      <c r="N311" s="11">
        <f>-(1.7*K311^2)/19.62</f>
        <v>0</v>
      </c>
      <c r="O311">
        <f t="shared" si="89"/>
        <v>0</v>
      </c>
      <c r="P311">
        <f t="shared" si="90"/>
        <v>0</v>
      </c>
      <c r="Q311">
        <f t="shared" si="91"/>
        <v>0</v>
      </c>
      <c r="R311">
        <f t="shared" si="92"/>
        <v>1.205E-2</v>
      </c>
    </row>
    <row r="312" spans="1:18" x14ac:dyDescent="0.3">
      <c r="A312">
        <f t="shared" si="101"/>
        <v>1.6666666666666667</v>
      </c>
      <c r="B312">
        <v>60</v>
      </c>
      <c r="C312">
        <v>1</v>
      </c>
      <c r="D312" s="15">
        <v>9.1999999999999993</v>
      </c>
      <c r="E312" s="1">
        <v>30.456</v>
      </c>
      <c r="F312" s="6">
        <f t="shared" si="99"/>
        <v>3.0207512477016021</v>
      </c>
      <c r="G312" s="9">
        <v>3.24</v>
      </c>
      <c r="H312" s="8">
        <v>1.205E-2</v>
      </c>
      <c r="I312" s="9">
        <f t="shared" si="88"/>
        <v>5.3580647151170062</v>
      </c>
      <c r="J312" s="16">
        <v>4.5</v>
      </c>
      <c r="K312" s="7">
        <v>0.65</v>
      </c>
      <c r="L312" s="10">
        <f t="shared" si="93"/>
        <v>21.629217406897773</v>
      </c>
      <c r="M312" s="12"/>
      <c r="N312" s="11">
        <f t="shared" ref="N312:N317" si="103">-(1.7*K312^2)/19.62</f>
        <v>-3.6608053007135578E-2</v>
      </c>
      <c r="O312">
        <f t="shared" si="89"/>
        <v>0.21517826086956524</v>
      </c>
      <c r="P312">
        <f t="shared" si="90"/>
        <v>1.0337803325718913</v>
      </c>
      <c r="Q312">
        <f t="shared" si="91"/>
        <v>0.11236742745346645</v>
      </c>
      <c r="R312">
        <f t="shared" si="92"/>
        <v>1.205E-2</v>
      </c>
    </row>
    <row r="313" spans="1:18" x14ac:dyDescent="0.3">
      <c r="A313">
        <f t="shared" si="101"/>
        <v>1.6666666666666667</v>
      </c>
      <c r="B313">
        <v>60</v>
      </c>
      <c r="C313">
        <v>1</v>
      </c>
      <c r="D313" s="15">
        <v>13.8</v>
      </c>
      <c r="E313" s="1">
        <v>30.456</v>
      </c>
      <c r="F313" s="6">
        <f t="shared" si="99"/>
        <v>4.5311268715524031</v>
      </c>
      <c r="G313" s="9">
        <v>3.24</v>
      </c>
      <c r="H313" s="8">
        <v>1.205E-2</v>
      </c>
      <c r="I313" s="9">
        <f t="shared" si="88"/>
        <v>8.0370970726755093</v>
      </c>
      <c r="J313" s="16">
        <v>4.5</v>
      </c>
      <c r="K313" s="7">
        <v>2.09</v>
      </c>
      <c r="L313" s="10">
        <f t="shared" si="93"/>
        <v>9.2862852158109668</v>
      </c>
      <c r="M313" s="12"/>
      <c r="N313" s="11">
        <f t="shared" si="103"/>
        <v>-0.378479612640163</v>
      </c>
      <c r="O313">
        <f t="shared" si="89"/>
        <v>0.46125391304347829</v>
      </c>
      <c r="P313">
        <f t="shared" si="90"/>
        <v>3.3240013770388499</v>
      </c>
      <c r="Q313">
        <f t="shared" si="91"/>
        <v>0.2408696650028152</v>
      </c>
      <c r="R313">
        <f t="shared" si="92"/>
        <v>1.205E-2</v>
      </c>
    </row>
    <row r="314" spans="1:18" x14ac:dyDescent="0.3">
      <c r="A314">
        <f t="shared" si="101"/>
        <v>1.6666666666666667</v>
      </c>
      <c r="B314">
        <v>60</v>
      </c>
      <c r="C314">
        <v>1</v>
      </c>
      <c r="D314" s="15">
        <v>18.399999999999999</v>
      </c>
      <c r="E314" s="1">
        <v>30.456</v>
      </c>
      <c r="F314" s="6">
        <f t="shared" si="99"/>
        <v>6.0415024954032042</v>
      </c>
      <c r="G314" s="9">
        <v>3.24</v>
      </c>
      <c r="H314" s="8">
        <v>1.205E-2</v>
      </c>
      <c r="I314" s="9">
        <f t="shared" si="88"/>
        <v>10.716129430234012</v>
      </c>
      <c r="J314" s="16">
        <v>4.5</v>
      </c>
      <c r="K314" s="7">
        <v>4.1399999999999997</v>
      </c>
      <c r="L314" s="10">
        <f t="shared" si="93"/>
        <v>4.6286944124835552</v>
      </c>
      <c r="M314" s="12"/>
      <c r="N314" s="11">
        <f t="shared" si="103"/>
        <v>-1.4850825688073392</v>
      </c>
      <c r="O314">
        <f t="shared" si="89"/>
        <v>0.68525999999999998</v>
      </c>
      <c r="P314">
        <f t="shared" si="90"/>
        <v>6.5843855028425065</v>
      </c>
      <c r="Q314">
        <f t="shared" si="91"/>
        <v>0.35784703819796232</v>
      </c>
      <c r="R314">
        <f t="shared" si="92"/>
        <v>1.205E-2</v>
      </c>
    </row>
    <row r="315" spans="1:18" x14ac:dyDescent="0.3">
      <c r="A315">
        <f t="shared" si="101"/>
        <v>1.6666666666666667</v>
      </c>
      <c r="B315">
        <v>60</v>
      </c>
      <c r="C315">
        <v>1</v>
      </c>
      <c r="D315" s="15">
        <v>23</v>
      </c>
      <c r="E315" s="1">
        <v>30.456</v>
      </c>
      <c r="F315" s="6">
        <f t="shared" si="99"/>
        <v>7.5518781192540052</v>
      </c>
      <c r="G315" s="9">
        <v>3.24</v>
      </c>
      <c r="H315" s="8">
        <v>1.205E-2</v>
      </c>
      <c r="I315" s="9">
        <f t="shared" si="88"/>
        <v>13.395161787792516</v>
      </c>
      <c r="J315" s="16">
        <v>4.5</v>
      </c>
      <c r="K315" s="7">
        <v>6.59</v>
      </c>
      <c r="L315" s="10">
        <f t="shared" si="93"/>
        <v>2.1787457384429496</v>
      </c>
      <c r="M315" s="12"/>
      <c r="N315" s="11">
        <f t="shared" si="103"/>
        <v>-3.7628832823649336</v>
      </c>
      <c r="O315">
        <f t="shared" si="89"/>
        <v>0.87263060869565223</v>
      </c>
      <c r="P315">
        <f t="shared" si="90"/>
        <v>10.480942140998097</v>
      </c>
      <c r="Q315">
        <f t="shared" si="91"/>
        <v>0.45569313656513466</v>
      </c>
      <c r="R315">
        <f t="shared" si="92"/>
        <v>1.205E-2</v>
      </c>
    </row>
    <row r="316" spans="1:18" x14ac:dyDescent="0.3">
      <c r="A316">
        <f t="shared" si="101"/>
        <v>1.6666666666666667</v>
      </c>
      <c r="B316">
        <v>60</v>
      </c>
      <c r="C316">
        <v>1</v>
      </c>
      <c r="D316" s="15">
        <v>27.6</v>
      </c>
      <c r="E316" s="1">
        <v>30.456</v>
      </c>
      <c r="F316" s="6">
        <f t="shared" si="99"/>
        <v>9.0622537431048062</v>
      </c>
      <c r="G316" s="9">
        <v>3.24</v>
      </c>
      <c r="H316" s="8">
        <v>1.205E-2</v>
      </c>
      <c r="I316" s="9">
        <f t="shared" si="88"/>
        <v>16.074194145351019</v>
      </c>
      <c r="J316" s="16">
        <v>4.5</v>
      </c>
      <c r="K316" s="7">
        <v>9.3000000000000007</v>
      </c>
      <c r="L316" s="10">
        <f t="shared" si="93"/>
        <v>0.62162394281829869</v>
      </c>
      <c r="M316" s="12"/>
      <c r="N316" s="11">
        <f t="shared" si="103"/>
        <v>-7.494036697247707</v>
      </c>
      <c r="O316">
        <f t="shared" si="89"/>
        <v>1.0262347826086957</v>
      </c>
      <c r="P316">
        <f t="shared" si="90"/>
        <v>14.791010912182447</v>
      </c>
      <c r="Q316">
        <f t="shared" si="91"/>
        <v>0.53590619247037852</v>
      </c>
      <c r="R316">
        <f t="shared" si="92"/>
        <v>1.205E-2</v>
      </c>
    </row>
    <row r="317" spans="1:18" x14ac:dyDescent="0.3">
      <c r="A317">
        <f t="shared" si="101"/>
        <v>1.6666666666666667</v>
      </c>
      <c r="B317">
        <v>60</v>
      </c>
      <c r="C317">
        <v>1</v>
      </c>
      <c r="D317" s="16">
        <v>32.6</v>
      </c>
      <c r="E317" s="1">
        <v>30.456</v>
      </c>
      <c r="F317" s="6">
        <f t="shared" si="99"/>
        <v>10.703966377725243</v>
      </c>
      <c r="G317" s="9">
        <v>3.24</v>
      </c>
      <c r="H317" s="8">
        <v>1.205E-2</v>
      </c>
      <c r="I317" s="9">
        <f t="shared" si="88"/>
        <v>18.986185838349392</v>
      </c>
      <c r="J317" s="16">
        <v>4.5</v>
      </c>
      <c r="K317" s="7">
        <v>11.81</v>
      </c>
      <c r="L317" s="10">
        <f t="shared" si="93"/>
        <v>-0.34061431682736992</v>
      </c>
      <c r="M317" s="12"/>
      <c r="N317" s="11">
        <f t="shared" si="103"/>
        <v>-12.085085117227317</v>
      </c>
      <c r="O317">
        <f t="shared" si="89"/>
        <v>1.1033293251533742</v>
      </c>
      <c r="P317">
        <f t="shared" si="90"/>
        <v>18.782993427190824</v>
      </c>
      <c r="Q317">
        <f t="shared" si="91"/>
        <v>0.57616544255186575</v>
      </c>
      <c r="R317">
        <f t="shared" si="92"/>
        <v>1.205E-2</v>
      </c>
    </row>
    <row r="318" spans="1:18" x14ac:dyDescent="0.3">
      <c r="A318">
        <f t="shared" si="101"/>
        <v>1.6666666666666667</v>
      </c>
      <c r="B318">
        <v>60</v>
      </c>
      <c r="C318">
        <v>2</v>
      </c>
      <c r="D318" s="15">
        <v>4.5999999999999996</v>
      </c>
      <c r="E318" s="1">
        <v>30.456</v>
      </c>
      <c r="F318" s="6">
        <f t="shared" si="99"/>
        <v>1.510375623850801</v>
      </c>
      <c r="G318" s="9">
        <v>3.24</v>
      </c>
      <c r="H318" s="8">
        <v>6.025E-3</v>
      </c>
      <c r="I318" s="9">
        <f t="shared" si="88"/>
        <v>2.6790323575585031</v>
      </c>
      <c r="J318" s="16">
        <v>3</v>
      </c>
      <c r="K318" s="7">
        <v>0</v>
      </c>
      <c r="L318" s="10">
        <f t="shared" si="93"/>
        <v>86.83172107845688</v>
      </c>
      <c r="M318" s="12"/>
      <c r="N318" s="11">
        <f>-(1.7*K318^2)/19.62</f>
        <v>0</v>
      </c>
      <c r="O318">
        <f t="shared" si="89"/>
        <v>0</v>
      </c>
      <c r="P318">
        <f t="shared" si="90"/>
        <v>0</v>
      </c>
      <c r="Q318">
        <f t="shared" si="91"/>
        <v>0</v>
      </c>
      <c r="R318">
        <f t="shared" si="92"/>
        <v>1.205E-2</v>
      </c>
    </row>
    <row r="319" spans="1:18" x14ac:dyDescent="0.3">
      <c r="A319">
        <f t="shared" si="101"/>
        <v>1.6666666666666667</v>
      </c>
      <c r="B319">
        <v>60</v>
      </c>
      <c r="C319">
        <v>2</v>
      </c>
      <c r="D319" s="15">
        <v>9.1999999999999993</v>
      </c>
      <c r="E319" s="1">
        <v>30.456</v>
      </c>
      <c r="F319" s="6">
        <f t="shared" si="99"/>
        <v>3.0207512477016021</v>
      </c>
      <c r="G319" s="9">
        <v>3.24</v>
      </c>
      <c r="H319" s="8">
        <v>6.025E-3</v>
      </c>
      <c r="I319" s="9">
        <f t="shared" si="88"/>
        <v>5.3580647151170062</v>
      </c>
      <c r="J319" s="16">
        <v>4.5</v>
      </c>
      <c r="K319" s="7">
        <v>1.38</v>
      </c>
      <c r="L319" s="10">
        <f t="shared" si="93"/>
        <v>21.353135534094221</v>
      </c>
      <c r="M319" s="12"/>
      <c r="N319" s="11">
        <f t="shared" ref="N319:N324" si="104">-(1.7*K319^2)/19.62</f>
        <v>-0.16500917431192655</v>
      </c>
      <c r="O319">
        <f t="shared" si="89"/>
        <v>0.45684000000000002</v>
      </c>
      <c r="P319">
        <f t="shared" si="90"/>
        <v>2.1947951676141688</v>
      </c>
      <c r="Q319">
        <f t="shared" si="91"/>
        <v>0.2385646921319749</v>
      </c>
      <c r="R319">
        <f t="shared" si="92"/>
        <v>1.205E-2</v>
      </c>
    </row>
    <row r="320" spans="1:18" x14ac:dyDescent="0.3">
      <c r="A320">
        <f t="shared" si="101"/>
        <v>1.6666666666666667</v>
      </c>
      <c r="B320">
        <v>60</v>
      </c>
      <c r="C320">
        <v>2</v>
      </c>
      <c r="D320" s="15">
        <v>13.8</v>
      </c>
      <c r="E320" s="1">
        <v>30.456</v>
      </c>
      <c r="F320" s="6">
        <f t="shared" si="99"/>
        <v>4.5311268715524031</v>
      </c>
      <c r="G320" s="9">
        <v>3.24</v>
      </c>
      <c r="H320" s="8">
        <v>6.025E-3</v>
      </c>
      <c r="I320" s="9">
        <f t="shared" si="88"/>
        <v>8.0370970726755093</v>
      </c>
      <c r="J320" s="16">
        <v>4.5</v>
      </c>
      <c r="K320" s="7">
        <v>2.68</v>
      </c>
      <c r="L320" s="10">
        <f t="shared" si="93"/>
        <v>9.0532578816435567</v>
      </c>
      <c r="M320" s="12"/>
      <c r="N320" s="11">
        <f t="shared" si="104"/>
        <v>-0.6223282364933741</v>
      </c>
      <c r="O320">
        <f t="shared" si="89"/>
        <v>0.59146434782608703</v>
      </c>
      <c r="P320">
        <f t="shared" si="90"/>
        <v>4.2623558327579518</v>
      </c>
      <c r="Q320">
        <f t="shared" si="91"/>
        <v>0.3088663646926052</v>
      </c>
      <c r="R320">
        <f t="shared" si="92"/>
        <v>1.205E-2</v>
      </c>
    </row>
    <row r="321" spans="1:18" x14ac:dyDescent="0.3">
      <c r="A321">
        <f t="shared" si="101"/>
        <v>1.6666666666666667</v>
      </c>
      <c r="B321">
        <v>60</v>
      </c>
      <c r="C321">
        <v>2</v>
      </c>
      <c r="D321" s="15">
        <v>18.399999999999999</v>
      </c>
      <c r="E321" s="1">
        <v>30.456</v>
      </c>
      <c r="F321" s="6">
        <f t="shared" si="99"/>
        <v>6.0415024954032042</v>
      </c>
      <c r="G321" s="9">
        <v>3.24</v>
      </c>
      <c r="H321" s="8">
        <v>6.025E-3</v>
      </c>
      <c r="I321" s="9">
        <f t="shared" si="88"/>
        <v>10.716129430234012</v>
      </c>
      <c r="J321" s="16">
        <v>4.5</v>
      </c>
      <c r="K321" s="7">
        <v>4.42</v>
      </c>
      <c r="L321" s="10">
        <f t="shared" si="93"/>
        <v>4.5170618744014375</v>
      </c>
      <c r="M321" s="12"/>
      <c r="N321" s="11">
        <f t="shared" si="104"/>
        <v>-1.6927563710499489</v>
      </c>
      <c r="O321">
        <f t="shared" si="89"/>
        <v>0.73160608695652174</v>
      </c>
      <c r="P321">
        <f t="shared" si="90"/>
        <v>7.0297062614888599</v>
      </c>
      <c r="Q321">
        <f t="shared" si="91"/>
        <v>0.38204925334178591</v>
      </c>
      <c r="R321">
        <f t="shared" si="92"/>
        <v>1.205E-2</v>
      </c>
    </row>
    <row r="322" spans="1:18" x14ac:dyDescent="0.3">
      <c r="A322">
        <f t="shared" si="101"/>
        <v>1.6666666666666667</v>
      </c>
      <c r="B322">
        <v>60</v>
      </c>
      <c r="C322">
        <v>2</v>
      </c>
      <c r="D322" s="15">
        <v>23</v>
      </c>
      <c r="E322" s="1">
        <v>30.456</v>
      </c>
      <c r="F322" s="6">
        <f t="shared" si="99"/>
        <v>7.5518781192540052</v>
      </c>
      <c r="G322" s="9">
        <v>3.24</v>
      </c>
      <c r="H322" s="8">
        <v>6.025E-3</v>
      </c>
      <c r="I322" s="9">
        <f t="shared" si="88"/>
        <v>13.395161787792516</v>
      </c>
      <c r="J322" s="16">
        <v>4.5</v>
      </c>
      <c r="K322" s="7">
        <v>5.58</v>
      </c>
      <c r="L322" s="10">
        <f t="shared" si="93"/>
        <v>2.5451419115655023</v>
      </c>
      <c r="M322" s="12"/>
      <c r="N322" s="11">
        <f t="shared" si="104"/>
        <v>-2.697853211009174</v>
      </c>
      <c r="O322">
        <f t="shared" si="89"/>
        <v>0.7388890434782609</v>
      </c>
      <c r="P322">
        <f t="shared" si="90"/>
        <v>8.8746065473094671</v>
      </c>
      <c r="Q322">
        <f t="shared" si="91"/>
        <v>0.38585245857867251</v>
      </c>
      <c r="R322">
        <f t="shared" si="92"/>
        <v>1.205E-2</v>
      </c>
    </row>
    <row r="323" spans="1:18" x14ac:dyDescent="0.3">
      <c r="A323">
        <f t="shared" si="101"/>
        <v>1.6666666666666667</v>
      </c>
      <c r="B323">
        <v>60</v>
      </c>
      <c r="C323">
        <v>2</v>
      </c>
      <c r="D323" s="15">
        <v>27.6</v>
      </c>
      <c r="E323" s="1">
        <v>30.456</v>
      </c>
      <c r="F323" s="6">
        <f t="shared" si="99"/>
        <v>9.0622537431048062</v>
      </c>
      <c r="G323" s="9">
        <v>3.24</v>
      </c>
      <c r="H323" s="8">
        <v>6.025E-3</v>
      </c>
      <c r="I323" s="9">
        <f t="shared" ref="I323:I338" si="105">(F323)/((9.81*G323*10^-2))^(1/2)</f>
        <v>16.074194145351019</v>
      </c>
      <c r="J323" s="16">
        <v>4.5</v>
      </c>
      <c r="K323" s="7">
        <v>7.6</v>
      </c>
      <c r="L323" s="10">
        <f t="shared" si="93"/>
        <v>1.2163433500092256</v>
      </c>
      <c r="M323" s="12"/>
      <c r="N323" s="11">
        <f t="shared" si="104"/>
        <v>-5.0046890927624865</v>
      </c>
      <c r="O323">
        <f t="shared" si="89"/>
        <v>0.8386434782608696</v>
      </c>
      <c r="P323">
        <f t="shared" si="90"/>
        <v>12.08727773468673</v>
      </c>
      <c r="Q323">
        <f t="shared" si="91"/>
        <v>0.43794484545966411</v>
      </c>
      <c r="R323">
        <f t="shared" si="92"/>
        <v>1.205E-2</v>
      </c>
    </row>
    <row r="324" spans="1:18" x14ac:dyDescent="0.3">
      <c r="A324">
        <f t="shared" si="101"/>
        <v>1.6666666666666667</v>
      </c>
      <c r="B324">
        <v>60</v>
      </c>
      <c r="C324">
        <v>2</v>
      </c>
      <c r="D324" s="16">
        <v>32.5</v>
      </c>
      <c r="E324" s="1">
        <v>30.456</v>
      </c>
      <c r="F324" s="6">
        <f t="shared" si="99"/>
        <v>10.671132125032834</v>
      </c>
      <c r="G324" s="9">
        <v>3.24</v>
      </c>
      <c r="H324" s="8">
        <v>6.025E-3</v>
      </c>
      <c r="I324" s="9">
        <f t="shared" si="105"/>
        <v>18.927946004489424</v>
      </c>
      <c r="J324" s="16">
        <v>4.5</v>
      </c>
      <c r="K324" s="7">
        <v>8.7799999999999994</v>
      </c>
      <c r="L324" s="10">
        <f t="shared" si="93"/>
        <v>0.58866635806099565</v>
      </c>
      <c r="M324" s="12"/>
      <c r="N324" s="11">
        <f t="shared" si="104"/>
        <v>-6.6794230377166146</v>
      </c>
      <c r="O324">
        <f t="shared" ref="O324:O387" si="106">K324/F324</f>
        <v>0.82278055384615378</v>
      </c>
      <c r="P324">
        <f t="shared" ref="P324:P387" si="107">K324*PI()*(J324^2)/40</f>
        <v>13.963986646124932</v>
      </c>
      <c r="Q324">
        <f t="shared" ref="Q324:Q387" si="108">P324/D324</f>
        <v>0.42966112757307484</v>
      </c>
      <c r="R324">
        <f t="shared" ref="R324:R387" si="109">C324*H324</f>
        <v>1.205E-2</v>
      </c>
    </row>
    <row r="325" spans="1:18" x14ac:dyDescent="0.3">
      <c r="A325">
        <f t="shared" si="101"/>
        <v>1.6666666666666667</v>
      </c>
      <c r="B325">
        <v>60</v>
      </c>
      <c r="C325">
        <v>4</v>
      </c>
      <c r="D325" s="15">
        <v>4.5999999999999996</v>
      </c>
      <c r="E325" s="1">
        <v>30.456</v>
      </c>
      <c r="F325" s="6">
        <f t="shared" si="99"/>
        <v>1.510375623850801</v>
      </c>
      <c r="G325" s="9">
        <v>3.24</v>
      </c>
      <c r="H325" s="8">
        <v>3.0125E-3</v>
      </c>
      <c r="I325" s="9">
        <f t="shared" si="105"/>
        <v>2.6790323575585031</v>
      </c>
      <c r="J325" s="16">
        <v>3</v>
      </c>
      <c r="K325" s="7">
        <v>0</v>
      </c>
      <c r="L325" s="10">
        <f t="shared" ref="L325:L388" si="110">(10.33+N325-0.234)/((F325^2)/19.62)</f>
        <v>86.83172107845688</v>
      </c>
      <c r="M325" s="12"/>
      <c r="N325" s="11">
        <f>-(1.7*K325^2)/19.62</f>
        <v>0</v>
      </c>
      <c r="O325">
        <f t="shared" si="106"/>
        <v>0</v>
      </c>
      <c r="P325">
        <f t="shared" si="107"/>
        <v>0</v>
      </c>
      <c r="Q325">
        <f t="shared" si="108"/>
        <v>0</v>
      </c>
      <c r="R325">
        <f t="shared" si="109"/>
        <v>1.205E-2</v>
      </c>
    </row>
    <row r="326" spans="1:18" x14ac:dyDescent="0.3">
      <c r="A326">
        <f t="shared" si="101"/>
        <v>1.6666666666666667</v>
      </c>
      <c r="B326">
        <v>60</v>
      </c>
      <c r="C326">
        <v>4</v>
      </c>
      <c r="D326" s="15">
        <v>9.1999999999999993</v>
      </c>
      <c r="E326" s="1">
        <v>30.456</v>
      </c>
      <c r="F326" s="6">
        <f t="shared" si="99"/>
        <v>3.0207512477016021</v>
      </c>
      <c r="G326" s="9">
        <v>3.24</v>
      </c>
      <c r="H326" s="8">
        <v>3.0125E-3</v>
      </c>
      <c r="I326" s="9">
        <f t="shared" si="105"/>
        <v>5.3580647151170062</v>
      </c>
      <c r="J326" s="16">
        <v>4.5</v>
      </c>
      <c r="K326" s="7">
        <v>1.08</v>
      </c>
      <c r="L326" s="10">
        <f t="shared" si="110"/>
        <v>21.490626877726733</v>
      </c>
      <c r="M326" s="12"/>
      <c r="N326" s="11">
        <f t="shared" ref="N326:N331" si="111">-(1.7*K326^2)/19.62</f>
        <v>-0.10106422018348625</v>
      </c>
      <c r="O326">
        <f t="shared" si="106"/>
        <v>0.35752695652173916</v>
      </c>
      <c r="P326">
        <f t="shared" si="107"/>
        <v>1.7176657833502194</v>
      </c>
      <c r="Q326">
        <f t="shared" si="108"/>
        <v>0.18670280253806734</v>
      </c>
      <c r="R326">
        <f t="shared" si="109"/>
        <v>1.205E-2</v>
      </c>
    </row>
    <row r="327" spans="1:18" x14ac:dyDescent="0.3">
      <c r="A327">
        <f t="shared" si="101"/>
        <v>1.6666666666666667</v>
      </c>
      <c r="B327">
        <v>60</v>
      </c>
      <c r="C327">
        <v>4</v>
      </c>
      <c r="D327" s="15">
        <v>13.8</v>
      </c>
      <c r="E327" s="1">
        <v>30.456</v>
      </c>
      <c r="F327" s="6">
        <f t="shared" si="99"/>
        <v>4.5311268715524031</v>
      </c>
      <c r="G327" s="9">
        <v>3.24</v>
      </c>
      <c r="H327" s="8">
        <v>3.0125E-3</v>
      </c>
      <c r="I327" s="9">
        <f t="shared" si="105"/>
        <v>8.0370970726755093</v>
      </c>
      <c r="J327" s="16">
        <v>4.5</v>
      </c>
      <c r="K327" s="7">
        <v>1.97</v>
      </c>
      <c r="L327" s="10">
        <f t="shared" si="110"/>
        <v>9.3266259460836327</v>
      </c>
      <c r="M327" s="12"/>
      <c r="N327" s="11">
        <f t="shared" si="111"/>
        <v>-0.33626554536187564</v>
      </c>
      <c r="O327">
        <f t="shared" si="106"/>
        <v>0.43477043478260874</v>
      </c>
      <c r="P327">
        <f t="shared" si="107"/>
        <v>3.1331496233332703</v>
      </c>
      <c r="Q327">
        <f t="shared" si="108"/>
        <v>0.22703982777777321</v>
      </c>
      <c r="R327">
        <f t="shared" si="109"/>
        <v>1.205E-2</v>
      </c>
    </row>
    <row r="328" spans="1:18" x14ac:dyDescent="0.3">
      <c r="A328">
        <f t="shared" si="101"/>
        <v>1.6666666666666667</v>
      </c>
      <c r="B328">
        <v>60</v>
      </c>
      <c r="C328">
        <v>4</v>
      </c>
      <c r="D328" s="15">
        <v>18.399999999999999</v>
      </c>
      <c r="E328" s="1">
        <v>30.456</v>
      </c>
      <c r="F328" s="6">
        <f t="shared" si="99"/>
        <v>6.0415024954032042</v>
      </c>
      <c r="G328" s="9">
        <v>3.24</v>
      </c>
      <c r="H328" s="8">
        <v>3.0125E-3</v>
      </c>
      <c r="I328" s="9">
        <f t="shared" si="105"/>
        <v>10.716129430234012</v>
      </c>
      <c r="J328" s="16">
        <v>4.5</v>
      </c>
      <c r="K328" s="7">
        <v>2.0699999999999998</v>
      </c>
      <c r="L328" s="10">
        <f t="shared" si="110"/>
        <v>5.2274105286735555</v>
      </c>
      <c r="M328" s="12"/>
      <c r="N328" s="11">
        <f t="shared" si="111"/>
        <v>-0.37127064220183481</v>
      </c>
      <c r="O328">
        <f t="shared" si="106"/>
        <v>0.34262999999999999</v>
      </c>
      <c r="P328">
        <f t="shared" si="107"/>
        <v>3.2921927514212532</v>
      </c>
      <c r="Q328">
        <f t="shared" si="108"/>
        <v>0.17892351909898116</v>
      </c>
      <c r="R328">
        <f t="shared" si="109"/>
        <v>1.205E-2</v>
      </c>
    </row>
    <row r="329" spans="1:18" x14ac:dyDescent="0.3">
      <c r="A329">
        <f t="shared" si="101"/>
        <v>1.6666666666666667</v>
      </c>
      <c r="B329">
        <v>60</v>
      </c>
      <c r="C329">
        <v>4</v>
      </c>
      <c r="D329" s="15">
        <v>23</v>
      </c>
      <c r="E329" s="1">
        <v>30.456</v>
      </c>
      <c r="F329" s="6">
        <f t="shared" si="99"/>
        <v>7.5518781192540052</v>
      </c>
      <c r="G329" s="9">
        <v>3.24</v>
      </c>
      <c r="H329" s="8">
        <v>3.0125E-3</v>
      </c>
      <c r="I329" s="9">
        <f t="shared" si="105"/>
        <v>13.395161787792516</v>
      </c>
      <c r="J329" s="16">
        <v>4.5</v>
      </c>
      <c r="K329" s="7">
        <v>2.34</v>
      </c>
      <c r="L329" s="10">
        <f t="shared" si="110"/>
        <v>3.3100498510094525</v>
      </c>
      <c r="M329" s="12"/>
      <c r="N329" s="11">
        <f t="shared" si="111"/>
        <v>-0.47444036697247693</v>
      </c>
      <c r="O329">
        <f t="shared" si="106"/>
        <v>0.30985669565217394</v>
      </c>
      <c r="P329">
        <f t="shared" si="107"/>
        <v>3.7216091972588083</v>
      </c>
      <c r="Q329">
        <f t="shared" si="108"/>
        <v>0.16180909553299166</v>
      </c>
      <c r="R329">
        <f t="shared" si="109"/>
        <v>1.205E-2</v>
      </c>
    </row>
    <row r="330" spans="1:18" x14ac:dyDescent="0.3">
      <c r="A330">
        <f t="shared" si="101"/>
        <v>1.6666666666666667</v>
      </c>
      <c r="B330">
        <v>60</v>
      </c>
      <c r="C330">
        <v>4</v>
      </c>
      <c r="D330" s="15">
        <v>27.6</v>
      </c>
      <c r="E330" s="1">
        <v>30.456</v>
      </c>
      <c r="F330" s="6">
        <f t="shared" si="99"/>
        <v>9.0622537431048062</v>
      </c>
      <c r="G330" s="9">
        <v>3.24</v>
      </c>
      <c r="H330" s="8">
        <v>3.0125E-3</v>
      </c>
      <c r="I330" s="9">
        <f t="shared" si="105"/>
        <v>16.074194145351019</v>
      </c>
      <c r="J330" s="16">
        <v>4.5</v>
      </c>
      <c r="K330" s="7">
        <v>2.99</v>
      </c>
      <c r="L330" s="10">
        <f t="shared" si="110"/>
        <v>2.2269295660593578</v>
      </c>
      <c r="M330" s="12"/>
      <c r="N330" s="11">
        <f t="shared" si="111"/>
        <v>-0.77462640163098884</v>
      </c>
      <c r="O330">
        <f t="shared" si="106"/>
        <v>0.32994000000000007</v>
      </c>
      <c r="P330">
        <f t="shared" si="107"/>
        <v>4.7553895298306994</v>
      </c>
      <c r="Q330">
        <f t="shared" si="108"/>
        <v>0.17229672209531519</v>
      </c>
      <c r="R330">
        <f t="shared" si="109"/>
        <v>1.205E-2</v>
      </c>
    </row>
    <row r="331" spans="1:18" x14ac:dyDescent="0.3">
      <c r="A331">
        <f t="shared" si="101"/>
        <v>1.6666666666666667</v>
      </c>
      <c r="B331">
        <v>60</v>
      </c>
      <c r="C331">
        <v>4</v>
      </c>
      <c r="D331" s="16">
        <v>32.5</v>
      </c>
      <c r="E331" s="1">
        <v>30.456</v>
      </c>
      <c r="F331" s="6">
        <f t="shared" si="99"/>
        <v>10.671132125032834</v>
      </c>
      <c r="G331" s="9">
        <v>3.24</v>
      </c>
      <c r="H331" s="8">
        <v>3.0125E-3</v>
      </c>
      <c r="I331" s="9">
        <f t="shared" si="105"/>
        <v>18.927946004489424</v>
      </c>
      <c r="J331" s="16">
        <v>4.5</v>
      </c>
      <c r="K331" s="7">
        <v>3.79</v>
      </c>
      <c r="L331" s="10">
        <f t="shared" si="110"/>
        <v>1.5250714149100004</v>
      </c>
      <c r="M331" s="12"/>
      <c r="N331" s="11">
        <f t="shared" si="111"/>
        <v>-1.2445958205912335</v>
      </c>
      <c r="O331">
        <f t="shared" si="106"/>
        <v>0.35516381538461539</v>
      </c>
      <c r="P331">
        <f t="shared" si="107"/>
        <v>6.0277345545345664</v>
      </c>
      <c r="Q331">
        <f t="shared" si="108"/>
        <v>0.18546875552414049</v>
      </c>
      <c r="R331">
        <f t="shared" si="109"/>
        <v>1.205E-2</v>
      </c>
    </row>
    <row r="332" spans="1:18" x14ac:dyDescent="0.3">
      <c r="A332">
        <f t="shared" si="101"/>
        <v>1.6666666666666667</v>
      </c>
      <c r="B332">
        <v>60</v>
      </c>
      <c r="C332">
        <v>6</v>
      </c>
      <c r="D332" s="15">
        <v>4.5999999999999996</v>
      </c>
      <c r="E332" s="1">
        <v>30.456</v>
      </c>
      <c r="F332" s="6">
        <f t="shared" si="99"/>
        <v>1.510375623850801</v>
      </c>
      <c r="G332" s="9">
        <v>3.24</v>
      </c>
      <c r="H332" s="8">
        <v>2.00833E-3</v>
      </c>
      <c r="I332" s="9">
        <f t="shared" si="105"/>
        <v>2.6790323575585031</v>
      </c>
      <c r="J332" s="16">
        <v>3</v>
      </c>
      <c r="K332" s="7">
        <v>0</v>
      </c>
      <c r="L332" s="10">
        <f t="shared" si="110"/>
        <v>86.83172107845688</v>
      </c>
      <c r="M332" s="12"/>
      <c r="N332" s="11">
        <f>-(1.7*K332^2)/19.62</f>
        <v>0</v>
      </c>
      <c r="O332">
        <f t="shared" si="106"/>
        <v>0</v>
      </c>
      <c r="P332">
        <f t="shared" si="107"/>
        <v>0</v>
      </c>
      <c r="Q332">
        <f t="shared" si="108"/>
        <v>0</v>
      </c>
      <c r="R332">
        <f t="shared" si="109"/>
        <v>1.204998E-2</v>
      </c>
    </row>
    <row r="333" spans="1:18" x14ac:dyDescent="0.3">
      <c r="A333">
        <f t="shared" si="101"/>
        <v>1.6666666666666667</v>
      </c>
      <c r="B333">
        <v>60</v>
      </c>
      <c r="C333">
        <v>6</v>
      </c>
      <c r="D333" s="15">
        <v>9.1999999999999993</v>
      </c>
      <c r="E333" s="1">
        <v>30.456</v>
      </c>
      <c r="F333" s="6">
        <f t="shared" si="99"/>
        <v>3.0207512477016021</v>
      </c>
      <c r="G333" s="9">
        <v>3.24</v>
      </c>
      <c r="H333" s="8">
        <v>2.00833E-3</v>
      </c>
      <c r="I333" s="9">
        <f t="shared" si="105"/>
        <v>5.3580647151170062</v>
      </c>
      <c r="J333" s="16">
        <v>3</v>
      </c>
      <c r="K333" s="7">
        <v>0</v>
      </c>
      <c r="L333" s="10">
        <f t="shared" si="110"/>
        <v>21.70793026961422</v>
      </c>
      <c r="M333" s="12"/>
      <c r="N333" s="11">
        <f t="shared" ref="N333:N338" si="112">-(1.7*K333^2)/19.62</f>
        <v>0</v>
      </c>
      <c r="O333">
        <f t="shared" si="106"/>
        <v>0</v>
      </c>
      <c r="P333">
        <f t="shared" si="107"/>
        <v>0</v>
      </c>
      <c r="Q333">
        <f t="shared" si="108"/>
        <v>0</v>
      </c>
      <c r="R333">
        <f t="shared" si="109"/>
        <v>1.204998E-2</v>
      </c>
    </row>
    <row r="334" spans="1:18" x14ac:dyDescent="0.3">
      <c r="A334">
        <f t="shared" si="101"/>
        <v>1.6666666666666667</v>
      </c>
      <c r="B334">
        <v>60</v>
      </c>
      <c r="C334">
        <v>6</v>
      </c>
      <c r="D334" s="15">
        <v>13.8</v>
      </c>
      <c r="E334" s="1">
        <v>30.456</v>
      </c>
      <c r="F334" s="6">
        <f t="shared" si="99"/>
        <v>4.5311268715524031</v>
      </c>
      <c r="G334" s="9">
        <v>3.24</v>
      </c>
      <c r="H334" s="8">
        <v>2.00833E-3</v>
      </c>
      <c r="I334" s="9">
        <f t="shared" si="105"/>
        <v>8.0370970726755093</v>
      </c>
      <c r="J334" s="16">
        <v>3</v>
      </c>
      <c r="K334" s="7">
        <v>0.47</v>
      </c>
      <c r="L334" s="10">
        <f t="shared" si="110"/>
        <v>9.6296782301516863</v>
      </c>
      <c r="M334" s="12"/>
      <c r="N334" s="11">
        <f t="shared" si="112"/>
        <v>-1.9140163098878692E-2</v>
      </c>
      <c r="O334">
        <f t="shared" si="106"/>
        <v>0.10372695652173913</v>
      </c>
      <c r="P334">
        <f t="shared" si="107"/>
        <v>0.33222342311712061</v>
      </c>
      <c r="Q334">
        <f t="shared" si="108"/>
        <v>2.4074161095443521E-2</v>
      </c>
      <c r="R334">
        <f t="shared" si="109"/>
        <v>1.204998E-2</v>
      </c>
    </row>
    <row r="335" spans="1:18" x14ac:dyDescent="0.3">
      <c r="A335">
        <f t="shared" si="101"/>
        <v>1.6666666666666667</v>
      </c>
      <c r="B335">
        <v>60</v>
      </c>
      <c r="C335">
        <v>6</v>
      </c>
      <c r="D335" s="15">
        <v>18.399999999999999</v>
      </c>
      <c r="E335" s="1">
        <v>30.456</v>
      </c>
      <c r="F335" s="6">
        <f t="shared" si="99"/>
        <v>6.0415024954032042</v>
      </c>
      <c r="G335" s="9">
        <v>3.24</v>
      </c>
      <c r="H335" s="8">
        <v>2.00833E-3</v>
      </c>
      <c r="I335" s="9">
        <f t="shared" si="105"/>
        <v>10.716129430234012</v>
      </c>
      <c r="J335" s="16">
        <v>3</v>
      </c>
      <c r="K335" s="7">
        <v>1.02</v>
      </c>
      <c r="L335" s="10">
        <f t="shared" si="110"/>
        <v>5.3785252523916078</v>
      </c>
      <c r="M335" s="12"/>
      <c r="N335" s="11">
        <f t="shared" si="112"/>
        <v>-9.0146788990825691E-2</v>
      </c>
      <c r="O335">
        <f t="shared" si="106"/>
        <v>0.1688321739130435</v>
      </c>
      <c r="P335">
        <f t="shared" si="107"/>
        <v>0.72099551399885753</v>
      </c>
      <c r="Q335">
        <f t="shared" si="108"/>
        <v>3.918453880428574E-2</v>
      </c>
      <c r="R335">
        <f t="shared" si="109"/>
        <v>1.204998E-2</v>
      </c>
    </row>
    <row r="336" spans="1:18" x14ac:dyDescent="0.3">
      <c r="A336">
        <f t="shared" si="101"/>
        <v>1.6666666666666667</v>
      </c>
      <c r="B336">
        <v>60</v>
      </c>
      <c r="C336">
        <v>6</v>
      </c>
      <c r="D336" s="15">
        <v>23</v>
      </c>
      <c r="E336" s="1">
        <v>30.456</v>
      </c>
      <c r="F336" s="6">
        <f t="shared" si="99"/>
        <v>7.5518781192540052</v>
      </c>
      <c r="G336" s="9">
        <v>3.24</v>
      </c>
      <c r="H336" s="8">
        <v>2.00833E-3</v>
      </c>
      <c r="I336" s="9">
        <f t="shared" si="105"/>
        <v>13.395161787792516</v>
      </c>
      <c r="J336" s="16">
        <v>4.5</v>
      </c>
      <c r="K336" s="7">
        <v>0.55000000000000004</v>
      </c>
      <c r="L336" s="10">
        <f t="shared" si="110"/>
        <v>3.4642517956696928</v>
      </c>
      <c r="M336" s="12"/>
      <c r="N336" s="11">
        <f t="shared" si="112"/>
        <v>-2.6210499490316008E-2</v>
      </c>
      <c r="O336">
        <f t="shared" si="106"/>
        <v>7.2829565217391312E-2</v>
      </c>
      <c r="P336">
        <f t="shared" si="107"/>
        <v>0.87473720448390824</v>
      </c>
      <c r="Q336">
        <f t="shared" si="108"/>
        <v>3.8032052368865574E-2</v>
      </c>
      <c r="R336">
        <f t="shared" si="109"/>
        <v>1.204998E-2</v>
      </c>
    </row>
    <row r="337" spans="1:18" x14ac:dyDescent="0.3">
      <c r="A337">
        <f t="shared" si="101"/>
        <v>1.6666666666666667</v>
      </c>
      <c r="B337">
        <v>60</v>
      </c>
      <c r="C337">
        <v>6</v>
      </c>
      <c r="D337" s="15">
        <v>27.6</v>
      </c>
      <c r="E337" s="1">
        <v>30.456</v>
      </c>
      <c r="F337" s="6">
        <f t="shared" si="99"/>
        <v>9.0622537431048062</v>
      </c>
      <c r="G337" s="9">
        <v>3.24</v>
      </c>
      <c r="H337" s="8">
        <v>2.00833E-3</v>
      </c>
      <c r="I337" s="9">
        <f t="shared" si="105"/>
        <v>16.074194145351019</v>
      </c>
      <c r="J337" s="16">
        <v>4.5</v>
      </c>
      <c r="K337" s="7">
        <v>0.95</v>
      </c>
      <c r="L337" s="10">
        <f t="shared" si="110"/>
        <v>2.3933102380829494</v>
      </c>
      <c r="M337" s="12"/>
      <c r="N337" s="11">
        <f t="shared" si="112"/>
        <v>-7.8198267074413852E-2</v>
      </c>
      <c r="O337">
        <f t="shared" si="106"/>
        <v>0.1048304347826087</v>
      </c>
      <c r="P337">
        <f t="shared" si="107"/>
        <v>1.5109097168358412</v>
      </c>
      <c r="Q337">
        <f t="shared" si="108"/>
        <v>5.4743105682458014E-2</v>
      </c>
      <c r="R337">
        <f t="shared" si="109"/>
        <v>1.204998E-2</v>
      </c>
    </row>
    <row r="338" spans="1:18" x14ac:dyDescent="0.3">
      <c r="A338">
        <f t="shared" si="101"/>
        <v>1.6666666666666667</v>
      </c>
      <c r="B338">
        <v>60</v>
      </c>
      <c r="C338">
        <v>6</v>
      </c>
      <c r="D338" s="16">
        <v>32</v>
      </c>
      <c r="E338" s="1">
        <v>30.456</v>
      </c>
      <c r="F338" s="6">
        <f t="shared" si="99"/>
        <v>10.506960861570789</v>
      </c>
      <c r="G338" s="9">
        <v>3.24</v>
      </c>
      <c r="H338" s="8">
        <v>2.00833E-3</v>
      </c>
      <c r="I338" s="9">
        <f t="shared" si="105"/>
        <v>18.636746835189584</v>
      </c>
      <c r="J338" s="16">
        <v>4.5</v>
      </c>
      <c r="K338" s="7">
        <v>1</v>
      </c>
      <c r="L338" s="10">
        <f t="shared" si="110"/>
        <v>1.7788970342853008</v>
      </c>
      <c r="M338" s="12"/>
      <c r="N338" s="11">
        <f t="shared" si="112"/>
        <v>-8.6646279306829763E-2</v>
      </c>
      <c r="O338">
        <f t="shared" si="106"/>
        <v>9.517500000000001E-2</v>
      </c>
      <c r="P338">
        <f t="shared" si="107"/>
        <v>1.5904312808798327</v>
      </c>
      <c r="Q338">
        <f t="shared" si="108"/>
        <v>4.970097752749477E-2</v>
      </c>
      <c r="R338">
        <f t="shared" si="109"/>
        <v>1.204998E-2</v>
      </c>
    </row>
    <row r="339" spans="1:18" x14ac:dyDescent="0.3">
      <c r="A339">
        <v>1</v>
      </c>
      <c r="B339">
        <v>10</v>
      </c>
      <c r="C339">
        <v>1</v>
      </c>
      <c r="D339" s="16">
        <v>1.8</v>
      </c>
      <c r="E339" s="9">
        <v>5.1402817540000001</v>
      </c>
      <c r="F339" s="7">
        <f t="shared" si="99"/>
        <v>3.5017535733314595</v>
      </c>
      <c r="G339" s="6">
        <v>5.8784999999999998</v>
      </c>
      <c r="H339" s="8">
        <v>5.5425099999999996E-3</v>
      </c>
      <c r="I339" s="17">
        <f>F339/((E339*10^-4)/(G339*10^-2)*9.81)^(1/2)</f>
        <v>11.956136806902013</v>
      </c>
      <c r="J339" s="16">
        <v>4.5</v>
      </c>
      <c r="K339" s="7">
        <v>0</v>
      </c>
      <c r="L339" s="10">
        <f t="shared" si="110"/>
        <v>16.153892333298177</v>
      </c>
      <c r="M339" s="12"/>
      <c r="N339" s="11">
        <f>-(1.7*K339^2)/19.62</f>
        <v>0</v>
      </c>
      <c r="O339">
        <f t="shared" si="106"/>
        <v>0</v>
      </c>
      <c r="P339">
        <f t="shared" si="107"/>
        <v>0</v>
      </c>
      <c r="Q339">
        <f t="shared" si="108"/>
        <v>0</v>
      </c>
      <c r="R339">
        <f t="shared" si="109"/>
        <v>5.5425099999999996E-3</v>
      </c>
    </row>
    <row r="340" spans="1:18" x14ac:dyDescent="0.3">
      <c r="A340">
        <v>1</v>
      </c>
      <c r="B340">
        <v>10</v>
      </c>
      <c r="C340">
        <v>1</v>
      </c>
      <c r="D340" s="16">
        <v>3.6</v>
      </c>
      <c r="E340" s="9">
        <v>5.1402817540000001</v>
      </c>
      <c r="F340" s="7">
        <f t="shared" si="99"/>
        <v>7.0035071466629191</v>
      </c>
      <c r="G340" s="6">
        <v>5.8784999999999998</v>
      </c>
      <c r="H340" s="8">
        <v>5.5425099999999996E-3</v>
      </c>
      <c r="I340" s="17">
        <f t="shared" ref="I340:I345" si="113">F340/((E340*10^-4)/(G340*10^-2)*9.81)^(1/2)</f>
        <v>23.912273613804025</v>
      </c>
      <c r="J340" s="16">
        <v>4.5</v>
      </c>
      <c r="K340" s="7">
        <v>1.62</v>
      </c>
      <c r="L340" s="10">
        <f t="shared" si="110"/>
        <v>3.9475136390871297</v>
      </c>
      <c r="M340" s="12"/>
      <c r="N340" s="11">
        <f t="shared" ref="N340:N345" si="114">-(1.7*K340^2)/19.62</f>
        <v>-0.22739449541284407</v>
      </c>
      <c r="O340">
        <f t="shared" si="106"/>
        <v>0.23131267892999999</v>
      </c>
      <c r="P340">
        <f t="shared" si="107"/>
        <v>2.5764986750253294</v>
      </c>
      <c r="Q340">
        <f t="shared" si="108"/>
        <v>0.71569407639592486</v>
      </c>
      <c r="R340">
        <f t="shared" si="109"/>
        <v>5.5425099999999996E-3</v>
      </c>
    </row>
    <row r="341" spans="1:18" x14ac:dyDescent="0.3">
      <c r="A341">
        <v>1</v>
      </c>
      <c r="B341">
        <v>10</v>
      </c>
      <c r="C341">
        <v>1</v>
      </c>
      <c r="D341" s="16">
        <v>5.4</v>
      </c>
      <c r="E341" s="9">
        <v>5.1402817540000001</v>
      </c>
      <c r="F341" s="7">
        <f t="shared" si="99"/>
        <v>10.505260719994377</v>
      </c>
      <c r="G341" s="6">
        <v>5.8784999999999998</v>
      </c>
      <c r="H341" s="8">
        <v>5.5425099999999996E-3</v>
      </c>
      <c r="I341" s="17">
        <f t="shared" si="113"/>
        <v>35.868410420706034</v>
      </c>
      <c r="J341" s="16">
        <v>4.5</v>
      </c>
      <c r="K341" s="7">
        <v>3.35</v>
      </c>
      <c r="L341" s="10">
        <f t="shared" si="110"/>
        <v>1.6220048429139446</v>
      </c>
      <c r="M341" s="12"/>
      <c r="N341" s="11">
        <f t="shared" si="114"/>
        <v>-0.97238786952089706</v>
      </c>
      <c r="O341">
        <f t="shared" si="106"/>
        <v>0.31888784955370375</v>
      </c>
      <c r="P341">
        <f t="shared" si="107"/>
        <v>5.3279447909474396</v>
      </c>
      <c r="Q341">
        <f t="shared" si="108"/>
        <v>0.98665644276804432</v>
      </c>
      <c r="R341">
        <f t="shared" si="109"/>
        <v>5.5425099999999996E-3</v>
      </c>
    </row>
    <row r="342" spans="1:18" x14ac:dyDescent="0.3">
      <c r="A342">
        <v>1</v>
      </c>
      <c r="B342">
        <v>10</v>
      </c>
      <c r="C342">
        <v>1</v>
      </c>
      <c r="D342" s="16">
        <v>7.2</v>
      </c>
      <c r="E342" s="9">
        <v>5.1402817540000001</v>
      </c>
      <c r="F342" s="7">
        <f t="shared" si="99"/>
        <v>14.007014293325838</v>
      </c>
      <c r="G342" s="6">
        <v>5.8784999999999998</v>
      </c>
      <c r="H342" s="8">
        <v>5.5425099999999996E-3</v>
      </c>
      <c r="I342" s="17">
        <f t="shared" si="113"/>
        <v>47.824547227608051</v>
      </c>
      <c r="J342" s="16">
        <v>4.5</v>
      </c>
      <c r="K342" s="7">
        <v>6.75</v>
      </c>
      <c r="L342" s="10">
        <f t="shared" si="110"/>
        <v>0.61482901632846887</v>
      </c>
      <c r="M342" s="12"/>
      <c r="N342" s="11">
        <f t="shared" si="114"/>
        <v>-3.9478211009174307</v>
      </c>
      <c r="O342">
        <f t="shared" si="106"/>
        <v>0.48190141443749995</v>
      </c>
      <c r="P342">
        <f t="shared" si="107"/>
        <v>10.735411145938871</v>
      </c>
      <c r="Q342">
        <f t="shared" si="108"/>
        <v>1.491029325824843</v>
      </c>
      <c r="R342">
        <f t="shared" si="109"/>
        <v>5.5425099999999996E-3</v>
      </c>
    </row>
    <row r="343" spans="1:18" x14ac:dyDescent="0.3">
      <c r="A343">
        <v>1</v>
      </c>
      <c r="B343">
        <v>10</v>
      </c>
      <c r="C343">
        <v>1</v>
      </c>
      <c r="D343" s="16">
        <v>9</v>
      </c>
      <c r="E343" s="9">
        <v>5.1402817540000001</v>
      </c>
      <c r="F343" s="7">
        <f t="shared" si="99"/>
        <v>17.508767866657298</v>
      </c>
      <c r="G343" s="6">
        <v>5.8784999999999998</v>
      </c>
      <c r="H343" s="8">
        <v>5.5425099999999996E-3</v>
      </c>
      <c r="I343" s="17">
        <f t="shared" si="113"/>
        <v>59.780684034510067</v>
      </c>
      <c r="J343" s="16">
        <v>4.5</v>
      </c>
      <c r="K343" s="7">
        <v>16.3</v>
      </c>
      <c r="L343" s="10">
        <f t="shared" si="110"/>
        <v>-0.82721816671615511</v>
      </c>
      <c r="M343" s="12"/>
      <c r="N343" s="11">
        <f t="shared" si="114"/>
        <v>-23.0210499490316</v>
      </c>
      <c r="O343">
        <f t="shared" si="106"/>
        <v>0.93096213989111098</v>
      </c>
      <c r="P343">
        <f t="shared" si="107"/>
        <v>25.924029878341276</v>
      </c>
      <c r="Q343">
        <f t="shared" si="108"/>
        <v>2.8804477642601416</v>
      </c>
      <c r="R343">
        <f t="shared" si="109"/>
        <v>5.5425099999999996E-3</v>
      </c>
    </row>
    <row r="344" spans="1:18" x14ac:dyDescent="0.3">
      <c r="A344">
        <v>1</v>
      </c>
      <c r="B344">
        <v>10</v>
      </c>
      <c r="C344">
        <v>1</v>
      </c>
      <c r="D344" s="16">
        <v>10.8</v>
      </c>
      <c r="E344" s="9">
        <v>5.1402817540000001</v>
      </c>
      <c r="F344" s="7">
        <f t="shared" si="99"/>
        <v>21.010521439988754</v>
      </c>
      <c r="G344" s="6">
        <v>5.8784999999999998</v>
      </c>
      <c r="H344" s="8">
        <v>5.5425099999999996E-3</v>
      </c>
      <c r="I344" s="17">
        <f t="shared" si="113"/>
        <v>71.736820841412069</v>
      </c>
      <c r="J344" s="16">
        <v>4.5</v>
      </c>
      <c r="K344" s="7">
        <v>21.2</v>
      </c>
      <c r="L344" s="10">
        <f t="shared" si="110"/>
        <v>-1.282081146936725</v>
      </c>
      <c r="M344" s="12"/>
      <c r="N344" s="11">
        <f t="shared" si="114"/>
        <v>-38.942303771661571</v>
      </c>
      <c r="O344">
        <f t="shared" si="106"/>
        <v>1.0090182702296295</v>
      </c>
      <c r="P344">
        <f t="shared" si="107"/>
        <v>33.717143154652447</v>
      </c>
      <c r="Q344">
        <f t="shared" si="108"/>
        <v>3.1219576995048559</v>
      </c>
      <c r="R344">
        <f t="shared" si="109"/>
        <v>5.5425099999999996E-3</v>
      </c>
    </row>
    <row r="345" spans="1:18" x14ac:dyDescent="0.3">
      <c r="A345">
        <v>1</v>
      </c>
      <c r="B345">
        <v>10</v>
      </c>
      <c r="C345">
        <v>1</v>
      </c>
      <c r="D345" s="16">
        <v>12.5</v>
      </c>
      <c r="E345" s="9">
        <v>5.1402817540000001</v>
      </c>
      <c r="F345" s="7">
        <f t="shared" si="99"/>
        <v>24.317733148135133</v>
      </c>
      <c r="G345" s="6">
        <v>5.8784999999999998</v>
      </c>
      <c r="H345" s="8">
        <v>5.5425099999999996E-3</v>
      </c>
      <c r="I345" s="17">
        <f t="shared" si="113"/>
        <v>83.028727825708415</v>
      </c>
      <c r="J345" s="16">
        <v>4.5</v>
      </c>
      <c r="K345" s="7">
        <v>25.2</v>
      </c>
      <c r="L345" s="10">
        <f t="shared" si="110"/>
        <v>-1.4906253181993339</v>
      </c>
      <c r="M345" s="12"/>
      <c r="N345" s="11">
        <f t="shared" si="114"/>
        <v>-55.023853211009168</v>
      </c>
      <c r="O345">
        <f t="shared" si="106"/>
        <v>1.0362808016064</v>
      </c>
      <c r="P345">
        <f t="shared" si="107"/>
        <v>40.078868278171782</v>
      </c>
      <c r="Q345">
        <f t="shared" si="108"/>
        <v>3.2063094622537425</v>
      </c>
      <c r="R345">
        <f t="shared" si="109"/>
        <v>5.5425099999999996E-3</v>
      </c>
    </row>
    <row r="346" spans="1:18" x14ac:dyDescent="0.3">
      <c r="A346">
        <v>1</v>
      </c>
      <c r="B346">
        <v>10</v>
      </c>
      <c r="C346">
        <v>2</v>
      </c>
      <c r="D346" s="16">
        <v>1.8</v>
      </c>
      <c r="E346" s="9">
        <v>5.1402817540000001</v>
      </c>
      <c r="F346" s="7">
        <f t="shared" si="99"/>
        <v>3.5017535733314595</v>
      </c>
      <c r="G346" s="6">
        <v>5.8784999999999998</v>
      </c>
      <c r="H346" s="8">
        <v>2.7712499999999998E-3</v>
      </c>
      <c r="I346" s="17">
        <f>F346/((E346*10^-4)/(G346*10^-2)*9.81)^(1/2)</f>
        <v>11.956136806902013</v>
      </c>
      <c r="J346" s="16">
        <v>4.5</v>
      </c>
      <c r="K346" s="7">
        <v>0.49</v>
      </c>
      <c r="L346" s="10">
        <f t="shared" si="110"/>
        <v>16.120605696259002</v>
      </c>
      <c r="M346" s="12"/>
      <c r="N346" s="11">
        <f>-(1.7*K346^2)/19.62</f>
        <v>-2.0803771661569825E-2</v>
      </c>
      <c r="O346">
        <f t="shared" si="106"/>
        <v>0.13992989219222221</v>
      </c>
      <c r="P346">
        <f t="shared" si="107"/>
        <v>0.77931132763111799</v>
      </c>
      <c r="Q346">
        <f t="shared" si="108"/>
        <v>0.4329507375728433</v>
      </c>
      <c r="R346">
        <f t="shared" si="109"/>
        <v>5.5424999999999997E-3</v>
      </c>
    </row>
    <row r="347" spans="1:18" x14ac:dyDescent="0.3">
      <c r="A347">
        <v>1</v>
      </c>
      <c r="B347">
        <v>10</v>
      </c>
      <c r="C347">
        <v>2</v>
      </c>
      <c r="D347" s="16">
        <v>3.6</v>
      </c>
      <c r="E347" s="9">
        <v>5.1402817540000001</v>
      </c>
      <c r="F347" s="7">
        <f t="shared" si="99"/>
        <v>7.0035071466629191</v>
      </c>
      <c r="G347" s="6">
        <v>5.8784999999999998</v>
      </c>
      <c r="H347" s="8">
        <v>2.7712499999999998E-3</v>
      </c>
      <c r="I347" s="17">
        <f t="shared" ref="I347:I352" si="115">F347/((E347*10^-4)/(G347*10^-2)*9.81)^(1/2)</f>
        <v>23.912273613804025</v>
      </c>
      <c r="J347" s="16">
        <v>4.5</v>
      </c>
      <c r="K347" s="7">
        <v>2.61</v>
      </c>
      <c r="L347" s="10">
        <f t="shared" si="110"/>
        <v>3.8023715629428603</v>
      </c>
      <c r="M347" s="12"/>
      <c r="N347" s="11">
        <f t="shared" ref="N347:N352" si="116">-(1.7*K347^2)/19.62</f>
        <v>-0.59024311926605488</v>
      </c>
      <c r="O347">
        <f t="shared" si="106"/>
        <v>0.37267042716499993</v>
      </c>
      <c r="P347">
        <f t="shared" si="107"/>
        <v>4.1510256430963635</v>
      </c>
      <c r="Q347">
        <f t="shared" si="108"/>
        <v>1.1530626786378788</v>
      </c>
      <c r="R347">
        <f t="shared" si="109"/>
        <v>5.5424999999999997E-3</v>
      </c>
    </row>
    <row r="348" spans="1:18" x14ac:dyDescent="0.3">
      <c r="A348">
        <v>1</v>
      </c>
      <c r="B348">
        <v>10</v>
      </c>
      <c r="C348">
        <v>2</v>
      </c>
      <c r="D348" s="16">
        <v>5.4</v>
      </c>
      <c r="E348" s="9">
        <v>5.1402817540000001</v>
      </c>
      <c r="F348" s="7">
        <f t="shared" si="99"/>
        <v>10.505260719994377</v>
      </c>
      <c r="G348" s="6">
        <v>5.8784999999999998</v>
      </c>
      <c r="H348" s="8">
        <v>2.7712499999999998E-3</v>
      </c>
      <c r="I348" s="17">
        <f t="shared" si="115"/>
        <v>35.868410420706034</v>
      </c>
      <c r="J348" s="16">
        <v>4.5</v>
      </c>
      <c r="K348" s="7">
        <v>6.15</v>
      </c>
      <c r="L348" s="10">
        <f t="shared" si="110"/>
        <v>1.2122568003196199</v>
      </c>
      <c r="M348" s="12"/>
      <c r="N348" s="11">
        <f t="shared" si="116"/>
        <v>-3.277178899082569</v>
      </c>
      <c r="O348">
        <f t="shared" si="106"/>
        <v>0.58542097753888889</v>
      </c>
      <c r="P348">
        <f t="shared" si="107"/>
        <v>9.7811523774109723</v>
      </c>
      <c r="Q348">
        <f t="shared" si="108"/>
        <v>1.8113245143353651</v>
      </c>
      <c r="R348">
        <f t="shared" si="109"/>
        <v>5.5424999999999997E-3</v>
      </c>
    </row>
    <row r="349" spans="1:18" x14ac:dyDescent="0.3">
      <c r="A349">
        <v>1</v>
      </c>
      <c r="B349">
        <v>10</v>
      </c>
      <c r="C349">
        <v>2</v>
      </c>
      <c r="D349" s="16">
        <v>7.2</v>
      </c>
      <c r="E349" s="9">
        <v>5.1402817540000001</v>
      </c>
      <c r="F349" s="7">
        <f t="shared" si="99"/>
        <v>14.007014293325838</v>
      </c>
      <c r="G349" s="6">
        <v>5.8784999999999998</v>
      </c>
      <c r="H349" s="8">
        <v>2.7712499999999998E-3</v>
      </c>
      <c r="I349" s="17">
        <f t="shared" si="115"/>
        <v>47.824547227608051</v>
      </c>
      <c r="J349" s="16">
        <v>4.5</v>
      </c>
      <c r="K349" s="7">
        <v>11.51</v>
      </c>
      <c r="L349" s="10">
        <f t="shared" si="110"/>
        <v>-0.13829327738151251</v>
      </c>
      <c r="M349" s="12"/>
      <c r="N349" s="11">
        <f t="shared" si="116"/>
        <v>-11.478907747196736</v>
      </c>
      <c r="O349">
        <f t="shared" si="106"/>
        <v>0.82173115261861096</v>
      </c>
      <c r="P349">
        <f t="shared" si="107"/>
        <v>18.305864042926878</v>
      </c>
      <c r="Q349">
        <f t="shared" si="108"/>
        <v>2.5424811170731774</v>
      </c>
      <c r="R349">
        <f t="shared" si="109"/>
        <v>5.5424999999999997E-3</v>
      </c>
    </row>
    <row r="350" spans="1:18" x14ac:dyDescent="0.3">
      <c r="A350">
        <v>1</v>
      </c>
      <c r="B350">
        <v>10</v>
      </c>
      <c r="C350">
        <v>2</v>
      </c>
      <c r="D350" s="16">
        <v>9</v>
      </c>
      <c r="E350" s="9">
        <v>5.1402817540000001</v>
      </c>
      <c r="F350" s="7">
        <f t="shared" si="99"/>
        <v>17.508767866657298</v>
      </c>
      <c r="G350" s="6">
        <v>5.8784999999999998</v>
      </c>
      <c r="H350" s="8">
        <v>2.7712499999999998E-3</v>
      </c>
      <c r="I350" s="17">
        <f t="shared" si="115"/>
        <v>59.780684034510067</v>
      </c>
      <c r="J350" s="16">
        <v>4.5</v>
      </c>
      <c r="K350" s="7">
        <v>22.9</v>
      </c>
      <c r="L350" s="10">
        <f t="shared" si="110"/>
        <v>-2.2619401550169562</v>
      </c>
      <c r="M350" s="12"/>
      <c r="N350" s="11">
        <f t="shared" si="116"/>
        <v>-45.438175331294595</v>
      </c>
      <c r="O350">
        <f t="shared" si="106"/>
        <v>1.3079161351844442</v>
      </c>
      <c r="P350">
        <f t="shared" si="107"/>
        <v>36.420876332148168</v>
      </c>
      <c r="Q350">
        <f t="shared" si="108"/>
        <v>4.0467640369053521</v>
      </c>
      <c r="R350">
        <f t="shared" si="109"/>
        <v>5.5424999999999997E-3</v>
      </c>
    </row>
    <row r="351" spans="1:18" x14ac:dyDescent="0.3">
      <c r="A351">
        <v>1</v>
      </c>
      <c r="B351">
        <v>10</v>
      </c>
      <c r="C351">
        <v>2</v>
      </c>
      <c r="D351" s="16">
        <v>10.8</v>
      </c>
      <c r="E351" s="9">
        <v>5.1402817540000001</v>
      </c>
      <c r="F351" s="7">
        <f t="shared" si="99"/>
        <v>21.010521439988754</v>
      </c>
      <c r="G351" s="6">
        <v>5.8784999999999998</v>
      </c>
      <c r="H351" s="8">
        <v>2.7712499999999998E-3</v>
      </c>
      <c r="I351" s="17">
        <f t="shared" si="115"/>
        <v>71.736820841412069</v>
      </c>
      <c r="J351" s="16">
        <v>4.5</v>
      </c>
      <c r="K351" s="7">
        <v>31.6</v>
      </c>
      <c r="L351" s="10">
        <f t="shared" si="110"/>
        <v>-3.3967507442054798</v>
      </c>
      <c r="M351" s="12"/>
      <c r="N351" s="11">
        <f t="shared" si="116"/>
        <v>-86.52150866462793</v>
      </c>
      <c r="O351">
        <f t="shared" si="106"/>
        <v>1.5040083650592593</v>
      </c>
      <c r="P351">
        <f t="shared" si="107"/>
        <v>50.257628475802719</v>
      </c>
      <c r="Q351">
        <f t="shared" si="108"/>
        <v>4.6534841181298807</v>
      </c>
      <c r="R351">
        <f t="shared" si="109"/>
        <v>5.5424999999999997E-3</v>
      </c>
    </row>
    <row r="352" spans="1:18" x14ac:dyDescent="0.3">
      <c r="A352">
        <v>1</v>
      </c>
      <c r="B352">
        <v>10</v>
      </c>
      <c r="C352">
        <v>2</v>
      </c>
      <c r="D352" s="16">
        <v>12.5</v>
      </c>
      <c r="E352" s="9">
        <v>5.1402817540000001</v>
      </c>
      <c r="F352" s="7">
        <f t="shared" si="99"/>
        <v>24.317733148135133</v>
      </c>
      <c r="G352" s="6">
        <v>5.8784999999999998</v>
      </c>
      <c r="H352" s="8">
        <v>2.7712499999999998E-3</v>
      </c>
      <c r="I352" s="17">
        <f t="shared" si="115"/>
        <v>83.028727825708415</v>
      </c>
      <c r="J352" s="16">
        <v>4.5</v>
      </c>
      <c r="K352" s="7">
        <v>37.049999999999997</v>
      </c>
      <c r="L352" s="10">
        <f t="shared" si="110"/>
        <v>-3.611233587940585</v>
      </c>
      <c r="M352" s="12"/>
      <c r="N352" s="11">
        <f t="shared" si="116"/>
        <v>-118.93956422018346</v>
      </c>
      <c r="O352">
        <f t="shared" si="106"/>
        <v>1.5235795118855999</v>
      </c>
      <c r="P352">
        <f t="shared" si="107"/>
        <v>58.925478956597807</v>
      </c>
      <c r="Q352">
        <f t="shared" si="108"/>
        <v>4.7140383165278248</v>
      </c>
      <c r="R352">
        <f t="shared" si="109"/>
        <v>5.5424999999999997E-3</v>
      </c>
    </row>
    <row r="353" spans="1:18" x14ac:dyDescent="0.3">
      <c r="A353">
        <v>1</v>
      </c>
      <c r="B353">
        <v>10</v>
      </c>
      <c r="C353">
        <v>4</v>
      </c>
      <c r="D353" s="16">
        <v>1.8</v>
      </c>
      <c r="E353" s="9">
        <v>5.1402817540000001</v>
      </c>
      <c r="F353" s="7">
        <f t="shared" si="99"/>
        <v>3.5017535733314595</v>
      </c>
      <c r="G353" s="6">
        <v>5.8784999999999998</v>
      </c>
      <c r="H353" s="8">
        <v>1.3856300000000001E-3</v>
      </c>
      <c r="I353" s="17">
        <f>F353/((E353*10^-4)/(G353*10^-2)*9.81)^(1/2)</f>
        <v>11.956136806902013</v>
      </c>
      <c r="J353" s="16">
        <v>4.5</v>
      </c>
      <c r="K353" s="7">
        <v>0.6</v>
      </c>
      <c r="L353" s="10">
        <f t="shared" si="110"/>
        <v>16.103983173222776</v>
      </c>
      <c r="M353" s="12"/>
      <c r="N353" s="11">
        <f>-(1.7*K353^2)/19.62</f>
        <v>-3.1192660550458714E-2</v>
      </c>
      <c r="O353">
        <f t="shared" si="106"/>
        <v>0.17134272513333329</v>
      </c>
      <c r="P353">
        <f t="shared" si="107"/>
        <v>0.9542587685278997</v>
      </c>
      <c r="Q353">
        <f t="shared" si="108"/>
        <v>0.53014376029327759</v>
      </c>
      <c r="R353">
        <f t="shared" si="109"/>
        <v>5.5425200000000004E-3</v>
      </c>
    </row>
    <row r="354" spans="1:18" x14ac:dyDescent="0.3">
      <c r="A354">
        <v>1</v>
      </c>
      <c r="B354">
        <v>10</v>
      </c>
      <c r="C354">
        <v>4</v>
      </c>
      <c r="D354" s="16">
        <v>3.6</v>
      </c>
      <c r="E354" s="9">
        <v>5.1402817540000001</v>
      </c>
      <c r="F354" s="7">
        <f t="shared" si="99"/>
        <v>7.0035071466629191</v>
      </c>
      <c r="G354" s="6">
        <v>5.8784999999999998</v>
      </c>
      <c r="H354" s="8">
        <v>1.3856300000000001E-3</v>
      </c>
      <c r="I354" s="17">
        <f t="shared" ref="I354:I359" si="117">F354/((E354*10^-4)/(G354*10^-2)*9.81)^(1/2)</f>
        <v>23.912273613804025</v>
      </c>
      <c r="J354" s="16">
        <v>4.5</v>
      </c>
      <c r="K354" s="7">
        <v>2.73</v>
      </c>
      <c r="L354" s="10">
        <f t="shared" si="110"/>
        <v>3.7801619867093073</v>
      </c>
      <c r="M354" s="12"/>
      <c r="N354" s="11">
        <f t="shared" ref="N354:N359" si="118">-(1.7*K354^2)/19.62</f>
        <v>-0.64576605504587148</v>
      </c>
      <c r="O354">
        <f t="shared" si="106"/>
        <v>0.38980469967833326</v>
      </c>
      <c r="P354">
        <f t="shared" si="107"/>
        <v>4.3418773968019426</v>
      </c>
      <c r="Q354">
        <f t="shared" si="108"/>
        <v>1.2060770546672062</v>
      </c>
      <c r="R354">
        <f t="shared" si="109"/>
        <v>5.5425200000000004E-3</v>
      </c>
    </row>
    <row r="355" spans="1:18" x14ac:dyDescent="0.3">
      <c r="A355">
        <v>1</v>
      </c>
      <c r="B355">
        <v>10</v>
      </c>
      <c r="C355">
        <v>4</v>
      </c>
      <c r="D355" s="16">
        <v>5.4</v>
      </c>
      <c r="E355" s="9">
        <v>5.1402817540000001</v>
      </c>
      <c r="F355" s="7">
        <f t="shared" si="99"/>
        <v>10.505260719994377</v>
      </c>
      <c r="G355" s="6">
        <v>5.8784999999999998</v>
      </c>
      <c r="H355" s="8">
        <v>1.3856300000000001E-3</v>
      </c>
      <c r="I355" s="17">
        <f t="shared" si="117"/>
        <v>35.868410420706034</v>
      </c>
      <c r="J355" s="16">
        <v>4.5</v>
      </c>
      <c r="K355" s="7">
        <v>8.09</v>
      </c>
      <c r="L355" s="10">
        <f t="shared" si="110"/>
        <v>0.78671035199278661</v>
      </c>
      <c r="M355" s="12"/>
      <c r="N355" s="11">
        <f t="shared" si="118"/>
        <v>-5.6708343527013243</v>
      </c>
      <c r="O355">
        <f t="shared" si="106"/>
        <v>0.77009035907148149</v>
      </c>
      <c r="P355">
        <f t="shared" si="107"/>
        <v>12.866589062317848</v>
      </c>
      <c r="Q355">
        <f t="shared" si="108"/>
        <v>2.3827016782070087</v>
      </c>
      <c r="R355">
        <f t="shared" si="109"/>
        <v>5.5425200000000004E-3</v>
      </c>
    </row>
    <row r="356" spans="1:18" x14ac:dyDescent="0.3">
      <c r="A356">
        <v>1</v>
      </c>
      <c r="B356">
        <v>10</v>
      </c>
      <c r="C356">
        <v>4</v>
      </c>
      <c r="D356" s="16">
        <v>7.2</v>
      </c>
      <c r="E356" s="9">
        <v>5.1402817540000001</v>
      </c>
      <c r="F356" s="7">
        <f t="shared" si="99"/>
        <v>14.007014293325838</v>
      </c>
      <c r="G356" s="6">
        <v>5.8784999999999998</v>
      </c>
      <c r="H356" s="8">
        <v>1.3856300000000001E-3</v>
      </c>
      <c r="I356" s="17">
        <f t="shared" si="117"/>
        <v>47.824547227608051</v>
      </c>
      <c r="J356" s="16">
        <v>4.5</v>
      </c>
      <c r="K356" s="7">
        <v>15.31</v>
      </c>
      <c r="L356" s="10">
        <f t="shared" si="110"/>
        <v>-1.0213734784656026</v>
      </c>
      <c r="M356" s="12"/>
      <c r="N356" s="11">
        <f t="shared" si="118"/>
        <v>-20.309549949031602</v>
      </c>
      <c r="O356">
        <f t="shared" si="106"/>
        <v>1.0930238007463888</v>
      </c>
      <c r="P356">
        <f t="shared" si="107"/>
        <v>24.349502910270239</v>
      </c>
      <c r="Q356">
        <f t="shared" si="108"/>
        <v>3.3818754042041999</v>
      </c>
      <c r="R356">
        <f t="shared" si="109"/>
        <v>5.5425200000000004E-3</v>
      </c>
    </row>
    <row r="357" spans="1:18" x14ac:dyDescent="0.3">
      <c r="A357">
        <v>1</v>
      </c>
      <c r="B357">
        <v>10</v>
      </c>
      <c r="C357">
        <v>4</v>
      </c>
      <c r="D357" s="16">
        <v>9</v>
      </c>
      <c r="E357" s="9">
        <v>5.1402817540000001</v>
      </c>
      <c r="F357" s="7">
        <f t="shared" ref="F357:F420" si="119">(D357*10^-3)/(E357*10^-4)</f>
        <v>17.508767866657298</v>
      </c>
      <c r="G357" s="6">
        <v>5.8784999999999998</v>
      </c>
      <c r="H357" s="8">
        <v>1.3856300000000001E-3</v>
      </c>
      <c r="I357" s="17">
        <f t="shared" si="117"/>
        <v>59.780684034510067</v>
      </c>
      <c r="J357" s="16">
        <v>4.5</v>
      </c>
      <c r="K357" s="7">
        <v>22.58</v>
      </c>
      <c r="L357" s="10">
        <f t="shared" si="110"/>
        <v>-2.1812337158976978</v>
      </c>
      <c r="M357" s="12"/>
      <c r="N357" s="11">
        <f t="shared" si="118"/>
        <v>-44.177160040774716</v>
      </c>
      <c r="O357">
        <f t="shared" si="106"/>
        <v>1.2896395778368885</v>
      </c>
      <c r="P357">
        <f t="shared" si="107"/>
        <v>35.911938322266622</v>
      </c>
      <c r="Q357">
        <f t="shared" si="108"/>
        <v>3.9902153691407358</v>
      </c>
      <c r="R357">
        <f t="shared" si="109"/>
        <v>5.5425200000000004E-3</v>
      </c>
    </row>
    <row r="358" spans="1:18" x14ac:dyDescent="0.3">
      <c r="A358">
        <v>1</v>
      </c>
      <c r="B358">
        <v>10</v>
      </c>
      <c r="C358">
        <v>4</v>
      </c>
      <c r="D358" s="16">
        <v>10.8</v>
      </c>
      <c r="E358" s="9">
        <v>5.1402817540000001</v>
      </c>
      <c r="F358" s="7">
        <f t="shared" si="119"/>
        <v>21.010521439988754</v>
      </c>
      <c r="G358" s="6">
        <v>5.8784999999999998</v>
      </c>
      <c r="H358" s="8">
        <v>1.3856300000000001E-3</v>
      </c>
      <c r="I358" s="17">
        <f t="shared" si="117"/>
        <v>71.736820841412069</v>
      </c>
      <c r="J358" s="16">
        <v>4.5</v>
      </c>
      <c r="K358" s="7">
        <v>30.58</v>
      </c>
      <c r="L358" s="10">
        <f t="shared" si="110"/>
        <v>-3.1525054814772329</v>
      </c>
      <c r="M358" s="12"/>
      <c r="N358" s="11">
        <f t="shared" si="118"/>
        <v>-81.026089704383267</v>
      </c>
      <c r="O358">
        <f t="shared" si="106"/>
        <v>1.4554612596048149</v>
      </c>
      <c r="P358">
        <f t="shared" si="107"/>
        <v>48.635388569305285</v>
      </c>
      <c r="Q358">
        <f t="shared" si="108"/>
        <v>4.5032767193801186</v>
      </c>
      <c r="R358">
        <f t="shared" si="109"/>
        <v>5.5425200000000004E-3</v>
      </c>
    </row>
    <row r="359" spans="1:18" x14ac:dyDescent="0.3">
      <c r="A359">
        <v>1</v>
      </c>
      <c r="B359">
        <v>10</v>
      </c>
      <c r="C359">
        <v>4</v>
      </c>
      <c r="D359" s="16">
        <v>12.4</v>
      </c>
      <c r="E359" s="9">
        <v>5.1402817540000001</v>
      </c>
      <c r="F359" s="7">
        <f t="shared" si="119"/>
        <v>24.123191282950053</v>
      </c>
      <c r="G359" s="6">
        <v>5.8784999999999998</v>
      </c>
      <c r="H359" s="8">
        <v>1.3856300000000001E-3</v>
      </c>
      <c r="I359" s="17">
        <f t="shared" si="117"/>
        <v>82.364498003102753</v>
      </c>
      <c r="J359" s="16">
        <v>4.5</v>
      </c>
      <c r="K359" s="7">
        <v>36.17</v>
      </c>
      <c r="L359" s="10">
        <f t="shared" si="110"/>
        <v>-3.481482872047402</v>
      </c>
      <c r="M359" s="12"/>
      <c r="N359" s="11">
        <f t="shared" si="118"/>
        <v>-113.35663251783895</v>
      </c>
      <c r="O359">
        <f t="shared" si="106"/>
        <v>1.4993870245337095</v>
      </c>
      <c r="P359">
        <f t="shared" si="107"/>
        <v>57.525899429423553</v>
      </c>
      <c r="Q359">
        <f t="shared" si="108"/>
        <v>4.6391854378567379</v>
      </c>
      <c r="R359">
        <f t="shared" si="109"/>
        <v>5.5425200000000004E-3</v>
      </c>
    </row>
    <row r="360" spans="1:18" x14ac:dyDescent="0.3">
      <c r="A360">
        <v>1</v>
      </c>
      <c r="B360">
        <v>10</v>
      </c>
      <c r="C360">
        <v>6</v>
      </c>
      <c r="D360" s="16">
        <v>1.8</v>
      </c>
      <c r="E360" s="9">
        <v>5.1402817540000001</v>
      </c>
      <c r="F360" s="7">
        <f t="shared" si="119"/>
        <v>3.5017535733314595</v>
      </c>
      <c r="G360" s="6">
        <v>5.8784999999999998</v>
      </c>
      <c r="H360" s="8">
        <v>9.2374999999999998E-4</v>
      </c>
      <c r="I360" s="17">
        <f>F360/((E360*10^-4)/(G360*10^-2)*9.81)^(1/2)</f>
        <v>11.956136806902013</v>
      </c>
      <c r="J360" s="16">
        <v>4.5</v>
      </c>
      <c r="K360" s="7">
        <v>0.74</v>
      </c>
      <c r="L360" s="10">
        <f t="shared" si="110"/>
        <v>16.077974955361263</v>
      </c>
      <c r="M360" s="12"/>
      <c r="N360" s="11">
        <f>-(1.7*K360^2)/19.62</f>
        <v>-4.7447502548419979E-2</v>
      </c>
      <c r="O360">
        <f t="shared" si="106"/>
        <v>0.21132269433111109</v>
      </c>
      <c r="P360">
        <f t="shared" si="107"/>
        <v>1.1769191478510763</v>
      </c>
      <c r="Q360">
        <f t="shared" si="108"/>
        <v>0.65384397102837577</v>
      </c>
      <c r="R360">
        <f t="shared" si="109"/>
        <v>5.5424999999999997E-3</v>
      </c>
    </row>
    <row r="361" spans="1:18" x14ac:dyDescent="0.3">
      <c r="A361">
        <v>1</v>
      </c>
      <c r="B361">
        <v>10</v>
      </c>
      <c r="C361">
        <v>6</v>
      </c>
      <c r="D361" s="16">
        <v>3.6</v>
      </c>
      <c r="E361" s="9">
        <v>5.1402817540000001</v>
      </c>
      <c r="F361" s="7">
        <f t="shared" si="119"/>
        <v>7.0035071466629191</v>
      </c>
      <c r="G361" s="6">
        <v>5.8784999999999998</v>
      </c>
      <c r="H361" s="8">
        <v>9.2374999999999998E-4</v>
      </c>
      <c r="I361" s="17">
        <f t="shared" ref="I361:I366" si="120">F361/((E361*10^-4)/(G361*10^-2)*9.81)^(1/2)</f>
        <v>23.912273613804025</v>
      </c>
      <c r="J361" s="16">
        <v>4.5</v>
      </c>
      <c r="K361" s="7">
        <v>3.08</v>
      </c>
      <c r="L361" s="10">
        <f t="shared" si="110"/>
        <v>3.7096826276722776</v>
      </c>
      <c r="M361" s="12"/>
      <c r="N361" s="11">
        <f t="shared" ref="N361:N366" si="121">-(1.7*K361^2)/19.62</f>
        <v>-0.82196126401630987</v>
      </c>
      <c r="O361">
        <f t="shared" si="106"/>
        <v>0.4397796611755555</v>
      </c>
      <c r="P361">
        <f t="shared" si="107"/>
        <v>4.8985283451098853</v>
      </c>
      <c r="Q361">
        <f t="shared" si="108"/>
        <v>1.3607023180860793</v>
      </c>
      <c r="R361">
        <f t="shared" si="109"/>
        <v>5.5424999999999997E-3</v>
      </c>
    </row>
    <row r="362" spans="1:18" x14ac:dyDescent="0.3">
      <c r="A362">
        <v>1</v>
      </c>
      <c r="B362">
        <v>10</v>
      </c>
      <c r="C362">
        <v>6</v>
      </c>
      <c r="D362" s="16">
        <v>5.4</v>
      </c>
      <c r="E362" s="9">
        <v>5.1402817540000001</v>
      </c>
      <c r="F362" s="7">
        <f t="shared" si="119"/>
        <v>10.505260719994377</v>
      </c>
      <c r="G362" s="6">
        <v>5.8784999999999998</v>
      </c>
      <c r="H362" s="8">
        <v>9.2374999999999998E-4</v>
      </c>
      <c r="I362" s="17">
        <f t="shared" si="120"/>
        <v>35.868410420706034</v>
      </c>
      <c r="J362" s="16">
        <v>4.5</v>
      </c>
      <c r="K362" s="7">
        <v>8.02</v>
      </c>
      <c r="L362" s="10">
        <f t="shared" si="110"/>
        <v>0.80408151243014081</v>
      </c>
      <c r="M362" s="12"/>
      <c r="N362" s="11">
        <f t="shared" si="121"/>
        <v>-5.573123343527012</v>
      </c>
      <c r="O362">
        <f t="shared" si="106"/>
        <v>0.76342703087185182</v>
      </c>
      <c r="P362">
        <f t="shared" si="107"/>
        <v>12.75525887265626</v>
      </c>
      <c r="Q362">
        <f t="shared" si="108"/>
        <v>2.3620849764178256</v>
      </c>
      <c r="R362">
        <f t="shared" si="109"/>
        <v>5.5424999999999997E-3</v>
      </c>
    </row>
    <row r="363" spans="1:18" x14ac:dyDescent="0.3">
      <c r="A363">
        <v>1</v>
      </c>
      <c r="B363">
        <v>10</v>
      </c>
      <c r="C363">
        <v>6</v>
      </c>
      <c r="D363" s="16">
        <v>7.2</v>
      </c>
      <c r="E363" s="9">
        <v>5.1402817540000001</v>
      </c>
      <c r="F363" s="7">
        <f t="shared" si="119"/>
        <v>14.007014293325838</v>
      </c>
      <c r="G363" s="6">
        <v>5.8784999999999998</v>
      </c>
      <c r="H363" s="8">
        <v>9.2374999999999998E-4</v>
      </c>
      <c r="I363" s="17">
        <f t="shared" si="120"/>
        <v>47.824547227608051</v>
      </c>
      <c r="J363" s="16">
        <v>4.5</v>
      </c>
      <c r="K363" s="7">
        <v>15.77</v>
      </c>
      <c r="L363" s="10">
        <f t="shared" si="110"/>
        <v>-1.1452521728694152</v>
      </c>
      <c r="M363" s="12"/>
      <c r="N363" s="11">
        <f t="shared" si="121"/>
        <v>-21.548314475025482</v>
      </c>
      <c r="O363">
        <f t="shared" si="106"/>
        <v>1.1258644897302776</v>
      </c>
      <c r="P363">
        <f t="shared" si="107"/>
        <v>25.081101299474962</v>
      </c>
      <c r="Q363">
        <f t="shared" si="108"/>
        <v>3.4834862915937448</v>
      </c>
      <c r="R363">
        <f t="shared" si="109"/>
        <v>5.5424999999999997E-3</v>
      </c>
    </row>
    <row r="364" spans="1:18" x14ac:dyDescent="0.3">
      <c r="A364">
        <v>1</v>
      </c>
      <c r="B364">
        <v>10</v>
      </c>
      <c r="C364">
        <v>6</v>
      </c>
      <c r="D364" s="16">
        <v>9</v>
      </c>
      <c r="E364" s="9">
        <v>5.1402817540000001</v>
      </c>
      <c r="F364" s="7">
        <f t="shared" si="119"/>
        <v>17.508767866657298</v>
      </c>
      <c r="G364" s="6">
        <v>5.8784999999999998</v>
      </c>
      <c r="H364" s="8">
        <v>9.2374999999999998E-4</v>
      </c>
      <c r="I364" s="17">
        <f t="shared" si="120"/>
        <v>59.780684034510067</v>
      </c>
      <c r="J364" s="16">
        <v>4.5</v>
      </c>
      <c r="K364" s="7">
        <v>23.29</v>
      </c>
      <c r="L364" s="10">
        <f t="shared" si="110"/>
        <v>-2.3618366661852055</v>
      </c>
      <c r="M364" s="12"/>
      <c r="N364" s="11">
        <f t="shared" si="121"/>
        <v>-46.999030071355755</v>
      </c>
      <c r="O364">
        <f t="shared" si="106"/>
        <v>1.3301906894517777</v>
      </c>
      <c r="P364">
        <f t="shared" si="107"/>
        <v>37.041144531691302</v>
      </c>
      <c r="Q364">
        <f t="shared" si="108"/>
        <v>4.1156827257434783</v>
      </c>
      <c r="R364">
        <f t="shared" si="109"/>
        <v>5.5424999999999997E-3</v>
      </c>
    </row>
    <row r="365" spans="1:18" x14ac:dyDescent="0.3">
      <c r="A365">
        <v>1</v>
      </c>
      <c r="B365">
        <v>10</v>
      </c>
      <c r="C365">
        <v>6</v>
      </c>
      <c r="D365" s="16">
        <v>10.8</v>
      </c>
      <c r="E365" s="9">
        <v>5.1402817540000001</v>
      </c>
      <c r="F365" s="7">
        <f t="shared" si="119"/>
        <v>21.010521439988754</v>
      </c>
      <c r="G365" s="6">
        <v>5.8784999999999998</v>
      </c>
      <c r="H365" s="8">
        <v>9.2374999999999998E-4</v>
      </c>
      <c r="I365" s="17">
        <f t="shared" si="120"/>
        <v>71.736820841412069</v>
      </c>
      <c r="J365" s="16">
        <v>4.5</v>
      </c>
      <c r="K365" s="7">
        <v>30.53</v>
      </c>
      <c r="L365" s="10">
        <f t="shared" si="110"/>
        <v>-3.1407387038066794</v>
      </c>
      <c r="M365" s="12"/>
      <c r="N365" s="11">
        <f t="shared" si="121"/>
        <v>-80.761341997961267</v>
      </c>
      <c r="O365">
        <f t="shared" si="106"/>
        <v>1.4530814995335186</v>
      </c>
      <c r="P365">
        <f t="shared" si="107"/>
        <v>48.555867005261298</v>
      </c>
      <c r="Q365">
        <f t="shared" si="108"/>
        <v>4.4959136115982679</v>
      </c>
      <c r="R365">
        <f t="shared" si="109"/>
        <v>5.5424999999999997E-3</v>
      </c>
    </row>
    <row r="366" spans="1:18" x14ac:dyDescent="0.3">
      <c r="A366">
        <v>1</v>
      </c>
      <c r="B366">
        <v>10</v>
      </c>
      <c r="C366">
        <v>6</v>
      </c>
      <c r="D366" s="16">
        <v>12.4</v>
      </c>
      <c r="E366" s="9">
        <v>5.1402817540000001</v>
      </c>
      <c r="F366" s="7">
        <f t="shared" si="119"/>
        <v>24.123191282950053</v>
      </c>
      <c r="G366" s="6">
        <v>5.8784999999999998</v>
      </c>
      <c r="H366" s="8">
        <v>9.2374999999999998E-4</v>
      </c>
      <c r="I366" s="17">
        <f t="shared" si="120"/>
        <v>82.364498003102753</v>
      </c>
      <c r="J366" s="16">
        <v>4.5</v>
      </c>
      <c r="K366" s="7">
        <v>32.479999999999997</v>
      </c>
      <c r="L366" s="10">
        <f t="shared" si="110"/>
        <v>-2.7414580144834084</v>
      </c>
      <c r="M366" s="12"/>
      <c r="N366" s="11">
        <f t="shared" si="121"/>
        <v>-91.407527013251752</v>
      </c>
      <c r="O366">
        <f t="shared" si="106"/>
        <v>1.3464221884670966</v>
      </c>
      <c r="P366">
        <f t="shared" si="107"/>
        <v>51.657208002976958</v>
      </c>
      <c r="Q366">
        <f t="shared" si="108"/>
        <v>4.1659038712078189</v>
      </c>
      <c r="R366">
        <f t="shared" si="109"/>
        <v>5.5424999999999997E-3</v>
      </c>
    </row>
    <row r="367" spans="1:18" x14ac:dyDescent="0.3">
      <c r="A367">
        <v>1</v>
      </c>
      <c r="B367">
        <v>15</v>
      </c>
      <c r="C367">
        <v>1</v>
      </c>
      <c r="D367" s="16">
        <v>2.5</v>
      </c>
      <c r="E367" s="9">
        <v>7.7104226310000001</v>
      </c>
      <c r="F367" s="7">
        <f t="shared" si="119"/>
        <v>3.2423644197513508</v>
      </c>
      <c r="G367" s="6">
        <v>6.5609999999999999</v>
      </c>
      <c r="H367" s="8">
        <v>6.6530699999999996E-3</v>
      </c>
      <c r="I367" s="17">
        <f>F367/((E367*10^-4)/(G367*10^-2)*9.81)^(1/2)</f>
        <v>9.5493376227768945</v>
      </c>
      <c r="J367" s="16">
        <v>4.5</v>
      </c>
      <c r="K367" s="7">
        <v>0</v>
      </c>
      <c r="L367" s="10">
        <f t="shared" si="110"/>
        <v>18.841900017558999</v>
      </c>
      <c r="M367" s="12"/>
      <c r="N367" s="11">
        <f>-(1.7*K367^2)/19.62</f>
        <v>0</v>
      </c>
      <c r="O367">
        <f t="shared" si="106"/>
        <v>0</v>
      </c>
      <c r="P367">
        <f t="shared" si="107"/>
        <v>0</v>
      </c>
      <c r="Q367">
        <f t="shared" si="108"/>
        <v>0</v>
      </c>
      <c r="R367">
        <f t="shared" si="109"/>
        <v>6.6530699999999996E-3</v>
      </c>
    </row>
    <row r="368" spans="1:18" x14ac:dyDescent="0.3">
      <c r="A368">
        <v>1</v>
      </c>
      <c r="B368">
        <v>15</v>
      </c>
      <c r="C368">
        <v>1</v>
      </c>
      <c r="D368" s="16">
        <v>5</v>
      </c>
      <c r="E368" s="9">
        <v>7.7104226310000001</v>
      </c>
      <c r="F368" s="7">
        <f t="shared" si="119"/>
        <v>6.4847288395027016</v>
      </c>
      <c r="G368" s="6">
        <v>6.5609999999999999</v>
      </c>
      <c r="H368" s="8">
        <v>6.6530699999999996E-3</v>
      </c>
      <c r="I368" s="17">
        <f t="shared" ref="I368:I373" si="122">F368/((E368*10^-4)/(G368*10^-2)*9.81)^(1/2)</f>
        <v>19.098675245553789</v>
      </c>
      <c r="J368" s="16">
        <v>4.5</v>
      </c>
      <c r="K368" s="7">
        <v>1.57</v>
      </c>
      <c r="L368" s="10">
        <f t="shared" si="110"/>
        <v>4.6108279225671698</v>
      </c>
      <c r="M368" s="12"/>
      <c r="N368" s="11">
        <f t="shared" ref="N368:N373" si="123">-(1.7*K368^2)/19.62</f>
        <v>-0.2135744138634047</v>
      </c>
      <c r="O368">
        <f t="shared" si="106"/>
        <v>0.24210727061340001</v>
      </c>
      <c r="P368">
        <f t="shared" si="107"/>
        <v>2.4969771109813377</v>
      </c>
      <c r="Q368">
        <f t="shared" si="108"/>
        <v>0.49939542219626754</v>
      </c>
      <c r="R368">
        <f t="shared" si="109"/>
        <v>6.6530699999999996E-3</v>
      </c>
    </row>
    <row r="369" spans="1:18" x14ac:dyDescent="0.3">
      <c r="A369">
        <v>1</v>
      </c>
      <c r="B369">
        <v>15</v>
      </c>
      <c r="C369">
        <v>1</v>
      </c>
      <c r="D369" s="16">
        <v>7.5</v>
      </c>
      <c r="E369" s="9">
        <v>7.7104226310000001</v>
      </c>
      <c r="F369" s="7">
        <f t="shared" si="119"/>
        <v>9.7270932592540529</v>
      </c>
      <c r="G369" s="6">
        <v>6.5609999999999999</v>
      </c>
      <c r="H369" s="8">
        <v>6.6530699999999996E-3</v>
      </c>
      <c r="I369" s="17">
        <f t="shared" si="122"/>
        <v>28.648012868330682</v>
      </c>
      <c r="J369" s="16">
        <v>4.5</v>
      </c>
      <c r="K369" s="7">
        <v>3.5</v>
      </c>
      <c r="L369" s="10">
        <f t="shared" si="110"/>
        <v>1.873445050462935</v>
      </c>
      <c r="M369" s="12"/>
      <c r="N369" s="11">
        <f t="shared" si="123"/>
        <v>-1.0614169215086646</v>
      </c>
      <c r="O369">
        <f t="shared" si="106"/>
        <v>0.35981972278000002</v>
      </c>
      <c r="P369">
        <f t="shared" si="107"/>
        <v>5.5665094830794146</v>
      </c>
      <c r="Q369">
        <f t="shared" si="108"/>
        <v>0.74220126441058865</v>
      </c>
      <c r="R369">
        <f t="shared" si="109"/>
        <v>6.6530699999999996E-3</v>
      </c>
    </row>
    <row r="370" spans="1:18" x14ac:dyDescent="0.3">
      <c r="A370">
        <v>1</v>
      </c>
      <c r="B370">
        <v>15</v>
      </c>
      <c r="C370">
        <v>1</v>
      </c>
      <c r="D370" s="16">
        <v>10</v>
      </c>
      <c r="E370" s="9">
        <v>7.7104226310000001</v>
      </c>
      <c r="F370" s="7">
        <f t="shared" si="119"/>
        <v>12.969457679005403</v>
      </c>
      <c r="G370" s="6">
        <v>6.5609999999999999</v>
      </c>
      <c r="H370" s="8">
        <v>6.6530699999999996E-3</v>
      </c>
      <c r="I370" s="17">
        <f t="shared" si="122"/>
        <v>38.197350491107578</v>
      </c>
      <c r="J370" s="16">
        <v>4.5</v>
      </c>
      <c r="K370" s="7">
        <v>7.27</v>
      </c>
      <c r="L370" s="10">
        <f t="shared" si="110"/>
        <v>0.64345537217125437</v>
      </c>
      <c r="M370" s="12"/>
      <c r="N370" s="11">
        <f t="shared" si="123"/>
        <v>-4.579507135575942</v>
      </c>
      <c r="O370">
        <f t="shared" si="106"/>
        <v>0.5605477252737</v>
      </c>
      <c r="P370">
        <f t="shared" si="107"/>
        <v>11.562435411996383</v>
      </c>
      <c r="Q370">
        <f t="shared" si="108"/>
        <v>1.1562435411996383</v>
      </c>
      <c r="R370">
        <f t="shared" si="109"/>
        <v>6.6530699999999996E-3</v>
      </c>
    </row>
    <row r="371" spans="1:18" x14ac:dyDescent="0.3">
      <c r="A371">
        <v>1</v>
      </c>
      <c r="B371">
        <v>15</v>
      </c>
      <c r="C371">
        <v>1</v>
      </c>
      <c r="D371" s="16">
        <v>12.5</v>
      </c>
      <c r="E371" s="9">
        <v>7.7104226310000001</v>
      </c>
      <c r="F371" s="7">
        <f t="shared" si="119"/>
        <v>16.211822098756755</v>
      </c>
      <c r="G371" s="6">
        <v>6.5609999999999999</v>
      </c>
      <c r="H371" s="8">
        <v>6.6530699999999996E-3</v>
      </c>
      <c r="I371" s="17">
        <f t="shared" si="122"/>
        <v>47.746688113884474</v>
      </c>
      <c r="J371" s="16">
        <v>4.5</v>
      </c>
      <c r="K371" s="7">
        <v>9.9499999999999993</v>
      </c>
      <c r="L371" s="10">
        <f t="shared" si="110"/>
        <v>0.11330534270309718</v>
      </c>
      <c r="M371" s="12"/>
      <c r="N371" s="11">
        <f t="shared" si="123"/>
        <v>-8.578198267074411</v>
      </c>
      <c r="O371">
        <f t="shared" si="106"/>
        <v>0.61374964142759991</v>
      </c>
      <c r="P371">
        <f t="shared" si="107"/>
        <v>15.824791244754334</v>
      </c>
      <c r="Q371">
        <f t="shared" si="108"/>
        <v>1.2659832995803466</v>
      </c>
      <c r="R371">
        <f t="shared" si="109"/>
        <v>6.6530699999999996E-3</v>
      </c>
    </row>
    <row r="372" spans="1:18" x14ac:dyDescent="0.3">
      <c r="A372">
        <v>1</v>
      </c>
      <c r="B372">
        <v>15</v>
      </c>
      <c r="C372">
        <v>1</v>
      </c>
      <c r="D372" s="16">
        <v>15</v>
      </c>
      <c r="E372" s="9">
        <v>7.7104226310000001</v>
      </c>
      <c r="F372" s="7">
        <f t="shared" si="119"/>
        <v>19.454186518508106</v>
      </c>
      <c r="G372" s="6">
        <v>6.5609999999999999</v>
      </c>
      <c r="H372" s="8">
        <v>6.6530699999999996E-3</v>
      </c>
      <c r="I372" s="17">
        <f t="shared" si="122"/>
        <v>57.296025736661363</v>
      </c>
      <c r="J372" s="16">
        <v>4.5</v>
      </c>
      <c r="K372" s="7">
        <v>14.8</v>
      </c>
      <c r="L372" s="10">
        <f t="shared" si="110"/>
        <v>-0.46050310646352338</v>
      </c>
      <c r="M372" s="12"/>
      <c r="N372" s="11">
        <f t="shared" si="123"/>
        <v>-18.979001019367992</v>
      </c>
      <c r="O372">
        <f t="shared" si="106"/>
        <v>0.76076169959200002</v>
      </c>
      <c r="P372">
        <f t="shared" si="107"/>
        <v>23.538382957021525</v>
      </c>
      <c r="Q372">
        <f t="shared" si="108"/>
        <v>1.5692255304681018</v>
      </c>
      <c r="R372">
        <f t="shared" si="109"/>
        <v>6.6530699999999996E-3</v>
      </c>
    </row>
    <row r="373" spans="1:18" x14ac:dyDescent="0.3">
      <c r="A373">
        <v>1</v>
      </c>
      <c r="B373">
        <v>15</v>
      </c>
      <c r="C373">
        <v>1</v>
      </c>
      <c r="D373" s="16">
        <v>17.7</v>
      </c>
      <c r="E373" s="9">
        <v>7.7104226310000001</v>
      </c>
      <c r="F373" s="7">
        <f t="shared" si="119"/>
        <v>22.955940091839565</v>
      </c>
      <c r="G373" s="6">
        <v>6.5609999999999999</v>
      </c>
      <c r="H373" s="8">
        <v>6.6530699999999996E-3</v>
      </c>
      <c r="I373" s="17">
        <f t="shared" si="122"/>
        <v>67.609310369260413</v>
      </c>
      <c r="J373" s="16">
        <v>4.5</v>
      </c>
      <c r="K373" s="7">
        <v>20.21</v>
      </c>
      <c r="L373" s="10">
        <f t="shared" si="110"/>
        <v>-0.94173589887161868</v>
      </c>
      <c r="M373" s="12"/>
      <c r="N373" s="11">
        <f t="shared" si="123"/>
        <v>-35.390161569826709</v>
      </c>
      <c r="O373">
        <f t="shared" si="106"/>
        <v>0.88038215464694913</v>
      </c>
      <c r="P373">
        <f t="shared" si="107"/>
        <v>32.142616186581421</v>
      </c>
      <c r="Q373">
        <f t="shared" si="108"/>
        <v>1.8159670161910408</v>
      </c>
      <c r="R373">
        <f t="shared" si="109"/>
        <v>6.6530699999999996E-3</v>
      </c>
    </row>
    <row r="374" spans="1:18" x14ac:dyDescent="0.3">
      <c r="A374">
        <v>1</v>
      </c>
      <c r="B374">
        <v>15</v>
      </c>
      <c r="C374">
        <v>2</v>
      </c>
      <c r="D374" s="16">
        <v>2.5</v>
      </c>
      <c r="E374" s="9">
        <v>7.7104226310000001</v>
      </c>
      <c r="F374" s="7">
        <f t="shared" si="119"/>
        <v>3.2423644197513508</v>
      </c>
      <c r="G374" s="6">
        <v>6.5609999999999999</v>
      </c>
      <c r="H374" s="8">
        <v>3.3265399999999998E-3</v>
      </c>
      <c r="I374" s="17">
        <f>F374/((E374*10^-4)/(G374*10^-2)*9.81)^(1/2)</f>
        <v>9.5493376227768945</v>
      </c>
      <c r="J374" s="16">
        <v>4.5</v>
      </c>
      <c r="K374" s="7">
        <v>0.43</v>
      </c>
      <c r="L374" s="10">
        <f t="shared" si="110"/>
        <v>18.812000637577668</v>
      </c>
      <c r="M374" s="12"/>
      <c r="N374" s="11">
        <f>-(1.7*K374^2)/19.62</f>
        <v>-1.6020897043832819E-2</v>
      </c>
      <c r="O374">
        <f t="shared" si="106"/>
        <v>0.1326192692532</v>
      </c>
      <c r="P374">
        <f t="shared" si="107"/>
        <v>0.68388545077832807</v>
      </c>
      <c r="Q374">
        <f t="shared" si="108"/>
        <v>0.27355418031133122</v>
      </c>
      <c r="R374">
        <f t="shared" si="109"/>
        <v>6.6530799999999996E-3</v>
      </c>
    </row>
    <row r="375" spans="1:18" x14ac:dyDescent="0.3">
      <c r="A375">
        <v>1</v>
      </c>
      <c r="B375">
        <v>15</v>
      </c>
      <c r="C375">
        <v>2</v>
      </c>
      <c r="D375" s="16">
        <v>5</v>
      </c>
      <c r="E375" s="9">
        <v>7.7104226310000001</v>
      </c>
      <c r="F375" s="7">
        <f t="shared" si="119"/>
        <v>6.4847288395027016</v>
      </c>
      <c r="G375" s="6">
        <v>6.5609999999999999</v>
      </c>
      <c r="H375" s="8">
        <v>3.3265399999999998E-3</v>
      </c>
      <c r="I375" s="17">
        <f t="shared" ref="I375:I380" si="124">F375/((E375*10^-4)/(G375*10^-2)*9.81)^(1/2)</f>
        <v>19.098675245553789</v>
      </c>
      <c r="J375" s="16">
        <v>4.5</v>
      </c>
      <c r="K375" s="7">
        <v>4.1500000000000004</v>
      </c>
      <c r="L375" s="10">
        <f t="shared" si="110"/>
        <v>4.014230991776917</v>
      </c>
      <c r="M375" s="12"/>
      <c r="N375" s="11">
        <f t="shared" ref="N375:N380" si="125">-(1.7*K375^2)/19.62</f>
        <v>-1.4922655453618758</v>
      </c>
      <c r="O375">
        <f t="shared" si="106"/>
        <v>0.6399650783730001</v>
      </c>
      <c r="P375">
        <f t="shared" si="107"/>
        <v>6.6002898156513066</v>
      </c>
      <c r="Q375">
        <f t="shared" si="108"/>
        <v>1.3200579631302614</v>
      </c>
      <c r="R375">
        <f t="shared" si="109"/>
        <v>6.6530799999999996E-3</v>
      </c>
    </row>
    <row r="376" spans="1:18" x14ac:dyDescent="0.3">
      <c r="A376">
        <v>1</v>
      </c>
      <c r="B376">
        <v>15</v>
      </c>
      <c r="C376">
        <v>2</v>
      </c>
      <c r="D376" s="16">
        <v>7.5</v>
      </c>
      <c r="E376" s="9">
        <v>7.7104226310000001</v>
      </c>
      <c r="F376" s="7">
        <f t="shared" si="119"/>
        <v>9.7270932592540529</v>
      </c>
      <c r="G376" s="6">
        <v>6.5609999999999999</v>
      </c>
      <c r="H376" s="8">
        <v>3.3265399999999998E-3</v>
      </c>
      <c r="I376" s="17">
        <f t="shared" si="124"/>
        <v>28.648012868330682</v>
      </c>
      <c r="J376" s="16">
        <v>4.5</v>
      </c>
      <c r="K376" s="7">
        <v>11.26</v>
      </c>
      <c r="L376" s="10">
        <f t="shared" si="110"/>
        <v>-0.1844860982357896</v>
      </c>
      <c r="M376" s="12"/>
      <c r="N376" s="11">
        <f t="shared" si="125"/>
        <v>-10.985673802242609</v>
      </c>
      <c r="O376">
        <f t="shared" si="106"/>
        <v>1.1575914510008001</v>
      </c>
      <c r="P376">
        <f t="shared" si="107"/>
        <v>17.908256222706918</v>
      </c>
      <c r="Q376">
        <f t="shared" si="108"/>
        <v>2.3877674963609223</v>
      </c>
      <c r="R376">
        <f t="shared" si="109"/>
        <v>6.6530799999999996E-3</v>
      </c>
    </row>
    <row r="377" spans="1:18" x14ac:dyDescent="0.3">
      <c r="A377">
        <v>1</v>
      </c>
      <c r="B377">
        <v>15</v>
      </c>
      <c r="C377">
        <v>2</v>
      </c>
      <c r="D377" s="16">
        <v>10</v>
      </c>
      <c r="E377" s="9">
        <v>7.7104226310000001</v>
      </c>
      <c r="F377" s="7">
        <f t="shared" si="119"/>
        <v>12.969457679005403</v>
      </c>
      <c r="G377" s="6">
        <v>6.5609999999999999</v>
      </c>
      <c r="H377" s="8">
        <v>3.3265399999999998E-3</v>
      </c>
      <c r="I377" s="17">
        <f t="shared" si="124"/>
        <v>38.197350491107578</v>
      </c>
      <c r="J377" s="16">
        <v>4.5</v>
      </c>
      <c r="K377" s="7">
        <v>17.73</v>
      </c>
      <c r="L377" s="10">
        <f t="shared" si="110"/>
        <v>-1.9994218131714023</v>
      </c>
      <c r="M377" s="12"/>
      <c r="N377" s="11">
        <f t="shared" si="125"/>
        <v>-27.237509174311928</v>
      </c>
      <c r="O377">
        <f t="shared" si="106"/>
        <v>1.3670579324763001</v>
      </c>
      <c r="P377">
        <f t="shared" si="107"/>
        <v>28.198346609999437</v>
      </c>
      <c r="Q377">
        <f t="shared" si="108"/>
        <v>2.8198346609999438</v>
      </c>
      <c r="R377">
        <f t="shared" si="109"/>
        <v>6.6530799999999996E-3</v>
      </c>
    </row>
    <row r="378" spans="1:18" x14ac:dyDescent="0.3">
      <c r="A378">
        <v>1</v>
      </c>
      <c r="B378">
        <v>15</v>
      </c>
      <c r="C378">
        <v>2</v>
      </c>
      <c r="D378" s="16">
        <v>12.5</v>
      </c>
      <c r="E378" s="9">
        <v>7.7104226310000001</v>
      </c>
      <c r="F378" s="7">
        <f t="shared" si="119"/>
        <v>16.211822098756755</v>
      </c>
      <c r="G378" s="6">
        <v>6.5609999999999999</v>
      </c>
      <c r="H378" s="8">
        <v>3.3265399999999998E-3</v>
      </c>
      <c r="I378" s="17">
        <f t="shared" si="124"/>
        <v>47.746688113884474</v>
      </c>
      <c r="J378" s="16">
        <v>4.5</v>
      </c>
      <c r="K378" s="7">
        <v>21.76</v>
      </c>
      <c r="L378" s="10">
        <f t="shared" si="110"/>
        <v>-2.3090140290753913</v>
      </c>
      <c r="M378" s="12"/>
      <c r="N378" s="11">
        <f t="shared" si="125"/>
        <v>-41.026805300713562</v>
      </c>
      <c r="O378">
        <f t="shared" si="106"/>
        <v>1.3422303716044801</v>
      </c>
      <c r="P378">
        <f t="shared" si="107"/>
        <v>34.607784671945168</v>
      </c>
      <c r="Q378">
        <f t="shared" si="108"/>
        <v>2.7686227737556135</v>
      </c>
      <c r="R378">
        <f t="shared" si="109"/>
        <v>6.6530799999999996E-3</v>
      </c>
    </row>
    <row r="379" spans="1:18" x14ac:dyDescent="0.3">
      <c r="A379">
        <v>1</v>
      </c>
      <c r="B379">
        <v>15</v>
      </c>
      <c r="C379">
        <v>2</v>
      </c>
      <c r="D379" s="16">
        <v>15</v>
      </c>
      <c r="E379" s="9">
        <v>7.7104226310000001</v>
      </c>
      <c r="F379" s="7">
        <f t="shared" si="119"/>
        <v>19.454186518508106</v>
      </c>
      <c r="G379" s="6">
        <v>6.5609999999999999</v>
      </c>
      <c r="H379" s="8">
        <v>3.3265399999999998E-3</v>
      </c>
      <c r="I379" s="17">
        <f t="shared" si="124"/>
        <v>57.296025736661363</v>
      </c>
      <c r="J379" s="16">
        <v>4.5</v>
      </c>
      <c r="K379" s="7">
        <v>26.36</v>
      </c>
      <c r="L379" s="10">
        <f t="shared" si="110"/>
        <v>-2.597756280726562</v>
      </c>
      <c r="M379" s="12"/>
      <c r="N379" s="11">
        <f t="shared" si="125"/>
        <v>-60.206132517838938</v>
      </c>
      <c r="O379">
        <f t="shared" si="106"/>
        <v>1.3549782703544</v>
      </c>
      <c r="P379">
        <f t="shared" si="107"/>
        <v>41.92376856399239</v>
      </c>
      <c r="Q379">
        <f t="shared" si="108"/>
        <v>2.7949179042661592</v>
      </c>
      <c r="R379">
        <f t="shared" si="109"/>
        <v>6.6530799999999996E-3</v>
      </c>
    </row>
    <row r="380" spans="1:18" x14ac:dyDescent="0.3">
      <c r="A380">
        <v>1</v>
      </c>
      <c r="B380">
        <v>15</v>
      </c>
      <c r="C380">
        <v>2</v>
      </c>
      <c r="D380" s="16">
        <v>17.7</v>
      </c>
      <c r="E380" s="9">
        <v>7.7104226310000001</v>
      </c>
      <c r="F380" s="7">
        <f t="shared" si="119"/>
        <v>22.955940091839565</v>
      </c>
      <c r="G380" s="6">
        <v>6.5609999999999999</v>
      </c>
      <c r="H380" s="8">
        <v>3.3265399999999998E-3</v>
      </c>
      <c r="I380" s="17">
        <f t="shared" si="124"/>
        <v>67.609310369260413</v>
      </c>
      <c r="J380" s="16">
        <v>4.5</v>
      </c>
      <c r="K380" s="7">
        <v>33.229999999999997</v>
      </c>
      <c r="L380" s="10">
        <f t="shared" si="110"/>
        <v>-3.1863215881909763</v>
      </c>
      <c r="M380" s="12"/>
      <c r="N380" s="11">
        <f t="shared" si="125"/>
        <v>-95.677672273190581</v>
      </c>
      <c r="O380">
        <f t="shared" si="106"/>
        <v>1.4475556159781355</v>
      </c>
      <c r="P380">
        <f t="shared" si="107"/>
        <v>52.850031463636832</v>
      </c>
      <c r="Q380">
        <f t="shared" si="108"/>
        <v>2.98587748382129</v>
      </c>
      <c r="R380">
        <f t="shared" si="109"/>
        <v>6.6530799999999996E-3</v>
      </c>
    </row>
    <row r="381" spans="1:18" x14ac:dyDescent="0.3">
      <c r="A381">
        <v>1</v>
      </c>
      <c r="B381">
        <v>15</v>
      </c>
      <c r="C381">
        <v>4</v>
      </c>
      <c r="D381" s="16">
        <v>2.5</v>
      </c>
      <c r="E381" s="9">
        <v>7.7104226310000001</v>
      </c>
      <c r="F381" s="7">
        <f t="shared" si="119"/>
        <v>3.2423644197513508</v>
      </c>
      <c r="G381" s="6">
        <v>6.5609999999999999</v>
      </c>
      <c r="H381" s="8">
        <v>1.6632699999999999E-3</v>
      </c>
      <c r="I381" s="17">
        <f>F381/((E381*10^-4)/(G381*10^-2)*9.81)^(1/2)</f>
        <v>9.5493376227768945</v>
      </c>
      <c r="J381" s="16">
        <v>4.5</v>
      </c>
      <c r="K381" s="7">
        <v>0.71</v>
      </c>
      <c r="L381" s="10">
        <f t="shared" si="110"/>
        <v>18.760384184954408</v>
      </c>
      <c r="M381" s="12"/>
      <c r="N381" s="11">
        <f>-(1.7*K381^2)/19.62</f>
        <v>-4.3678389398572881E-2</v>
      </c>
      <c r="O381">
        <f t="shared" si="106"/>
        <v>0.21897600272039999</v>
      </c>
      <c r="P381">
        <f t="shared" si="107"/>
        <v>1.1292062094246813</v>
      </c>
      <c r="Q381">
        <f t="shared" si="108"/>
        <v>0.45168248376987252</v>
      </c>
      <c r="R381">
        <f t="shared" si="109"/>
        <v>6.6530799999999996E-3</v>
      </c>
    </row>
    <row r="382" spans="1:18" x14ac:dyDescent="0.3">
      <c r="A382">
        <v>1</v>
      </c>
      <c r="B382">
        <v>15</v>
      </c>
      <c r="C382">
        <v>4</v>
      </c>
      <c r="D382" s="16">
        <v>5</v>
      </c>
      <c r="E382" s="9">
        <v>7.7104226310000001</v>
      </c>
      <c r="F382" s="7">
        <f t="shared" si="119"/>
        <v>6.4847288395027016</v>
      </c>
      <c r="G382" s="6">
        <v>6.5609999999999999</v>
      </c>
      <c r="H382" s="8">
        <v>1.6632699999999999E-3</v>
      </c>
      <c r="I382" s="17">
        <f t="shared" ref="I382:I387" si="126">F382/((E382*10^-4)/(G382*10^-2)*9.81)^(1/2)</f>
        <v>19.098675245553789</v>
      </c>
      <c r="J382" s="16">
        <v>4.5</v>
      </c>
      <c r="K382" s="7">
        <v>4.3499999999999996</v>
      </c>
      <c r="L382" s="10">
        <f t="shared" si="110"/>
        <v>3.9455060783530933</v>
      </c>
      <c r="M382" s="12"/>
      <c r="N382" s="11">
        <f t="shared" ref="N382:N387" si="127">-(1.7*K382^2)/19.62</f>
        <v>-1.6395642201834859</v>
      </c>
      <c r="O382">
        <f t="shared" si="106"/>
        <v>0.67080676889699997</v>
      </c>
      <c r="P382">
        <f t="shared" si="107"/>
        <v>6.9183760718272724</v>
      </c>
      <c r="Q382">
        <f t="shared" si="108"/>
        <v>1.3836752143654545</v>
      </c>
      <c r="R382">
        <f t="shared" si="109"/>
        <v>6.6530799999999996E-3</v>
      </c>
    </row>
    <row r="383" spans="1:18" x14ac:dyDescent="0.3">
      <c r="A383">
        <v>1</v>
      </c>
      <c r="B383">
        <v>15</v>
      </c>
      <c r="C383">
        <v>4</v>
      </c>
      <c r="D383" s="16">
        <v>7.5</v>
      </c>
      <c r="E383" s="9">
        <v>7.7104226310000001</v>
      </c>
      <c r="F383" s="7">
        <f t="shared" si="119"/>
        <v>9.7270932592540529</v>
      </c>
      <c r="G383" s="6">
        <v>6.5609999999999999</v>
      </c>
      <c r="H383" s="8">
        <v>1.6632699999999999E-3</v>
      </c>
      <c r="I383" s="17">
        <f t="shared" si="126"/>
        <v>28.648012868330682</v>
      </c>
      <c r="J383" s="16">
        <v>4.5</v>
      </c>
      <c r="K383" s="7">
        <v>11.52</v>
      </c>
      <c r="L383" s="10">
        <f t="shared" si="110"/>
        <v>-0.29090280862183587</v>
      </c>
      <c r="M383" s="12"/>
      <c r="N383" s="11">
        <f t="shared" si="127"/>
        <v>-11.4988623853211</v>
      </c>
      <c r="O383">
        <f t="shared" si="106"/>
        <v>1.1843209161216</v>
      </c>
      <c r="P383">
        <f t="shared" si="107"/>
        <v>18.321768355735674</v>
      </c>
      <c r="Q383">
        <f t="shared" si="108"/>
        <v>2.4429024474314232</v>
      </c>
      <c r="R383">
        <f t="shared" si="109"/>
        <v>6.6530799999999996E-3</v>
      </c>
    </row>
    <row r="384" spans="1:18" x14ac:dyDescent="0.3">
      <c r="A384">
        <v>1</v>
      </c>
      <c r="B384">
        <v>15</v>
      </c>
      <c r="C384">
        <v>4</v>
      </c>
      <c r="D384" s="16">
        <v>10</v>
      </c>
      <c r="E384" s="9">
        <v>7.7104226310000001</v>
      </c>
      <c r="F384" s="7">
        <f t="shared" si="119"/>
        <v>12.969457679005403</v>
      </c>
      <c r="G384" s="6">
        <v>6.5609999999999999</v>
      </c>
      <c r="H384" s="8">
        <v>1.6632699999999999E-3</v>
      </c>
      <c r="I384" s="17">
        <f t="shared" si="126"/>
        <v>38.197350491107578</v>
      </c>
      <c r="J384" s="16">
        <v>4.5</v>
      </c>
      <c r="K384" s="7">
        <v>16.3</v>
      </c>
      <c r="L384" s="10">
        <f t="shared" si="110"/>
        <v>-1.5076051088401929</v>
      </c>
      <c r="M384" s="12"/>
      <c r="N384" s="11">
        <f t="shared" si="127"/>
        <v>-23.0210499490316</v>
      </c>
      <c r="O384">
        <f t="shared" si="106"/>
        <v>1.2567988888530002</v>
      </c>
      <c r="P384">
        <f t="shared" si="107"/>
        <v>25.924029878341276</v>
      </c>
      <c r="Q384">
        <f t="shared" si="108"/>
        <v>2.5924029878341277</v>
      </c>
      <c r="R384">
        <f t="shared" si="109"/>
        <v>6.6530799999999996E-3</v>
      </c>
    </row>
    <row r="385" spans="1:18" x14ac:dyDescent="0.3">
      <c r="A385">
        <v>1</v>
      </c>
      <c r="B385">
        <v>15</v>
      </c>
      <c r="C385">
        <v>4</v>
      </c>
      <c r="D385" s="16">
        <v>12.5</v>
      </c>
      <c r="E385" s="9">
        <v>7.7104226310000001</v>
      </c>
      <c r="F385" s="7">
        <f t="shared" si="119"/>
        <v>16.211822098756755</v>
      </c>
      <c r="G385" s="6">
        <v>6.5609999999999999</v>
      </c>
      <c r="H385" s="8">
        <v>1.6632699999999999E-3</v>
      </c>
      <c r="I385" s="17">
        <f t="shared" si="126"/>
        <v>47.746688113884474</v>
      </c>
      <c r="J385" s="16">
        <v>4.5</v>
      </c>
      <c r="K385" s="7">
        <v>22.25</v>
      </c>
      <c r="L385" s="10">
        <f t="shared" si="110"/>
        <v>-2.4485007006512429</v>
      </c>
      <c r="M385" s="12"/>
      <c r="N385" s="11">
        <f t="shared" si="127"/>
        <v>-42.895323649337406</v>
      </c>
      <c r="O385">
        <f t="shared" si="106"/>
        <v>1.372455228318</v>
      </c>
      <c r="P385">
        <f t="shared" si="107"/>
        <v>35.387095999576282</v>
      </c>
      <c r="Q385">
        <f t="shared" si="108"/>
        <v>2.8309676799661023</v>
      </c>
      <c r="R385">
        <f t="shared" si="109"/>
        <v>6.6530799999999996E-3</v>
      </c>
    </row>
    <row r="386" spans="1:18" x14ac:dyDescent="0.3">
      <c r="A386">
        <v>1</v>
      </c>
      <c r="B386">
        <v>15</v>
      </c>
      <c r="C386">
        <v>4</v>
      </c>
      <c r="D386" s="16">
        <v>15</v>
      </c>
      <c r="E386" s="9">
        <v>7.7104226310000001</v>
      </c>
      <c r="F386" s="7">
        <f t="shared" si="119"/>
        <v>19.454186518508106</v>
      </c>
      <c r="G386" s="6">
        <v>6.5609999999999999</v>
      </c>
      <c r="H386" s="8">
        <v>1.6632699999999999E-3</v>
      </c>
      <c r="I386" s="17">
        <f t="shared" si="126"/>
        <v>57.296025736661363</v>
      </c>
      <c r="J386" s="16">
        <v>4.5</v>
      </c>
      <c r="K386" s="7">
        <v>26.86</v>
      </c>
      <c r="L386" s="10">
        <f t="shared" si="110"/>
        <v>-2.7172837281911346</v>
      </c>
      <c r="M386" s="12"/>
      <c r="N386" s="11">
        <f t="shared" si="127"/>
        <v>-62.511790010193678</v>
      </c>
      <c r="O386">
        <f t="shared" si="106"/>
        <v>1.3806796791244</v>
      </c>
      <c r="P386">
        <f t="shared" si="107"/>
        <v>42.71898420443231</v>
      </c>
      <c r="Q386">
        <f t="shared" si="108"/>
        <v>2.8479322802954874</v>
      </c>
      <c r="R386">
        <f t="shared" si="109"/>
        <v>6.6530799999999996E-3</v>
      </c>
    </row>
    <row r="387" spans="1:18" x14ac:dyDescent="0.3">
      <c r="A387">
        <v>1</v>
      </c>
      <c r="B387">
        <v>15</v>
      </c>
      <c r="C387">
        <v>4</v>
      </c>
      <c r="D387" s="16">
        <v>17.7</v>
      </c>
      <c r="E387" s="9">
        <v>7.7104226310000001</v>
      </c>
      <c r="F387" s="7">
        <f t="shared" si="119"/>
        <v>22.955940091839565</v>
      </c>
      <c r="G387" s="6">
        <v>6.5609999999999999</v>
      </c>
      <c r="H387" s="8">
        <v>1.6632699999999999E-3</v>
      </c>
      <c r="I387" s="17">
        <f t="shared" si="126"/>
        <v>67.609310369260413</v>
      </c>
      <c r="J387" s="16">
        <v>4.5</v>
      </c>
      <c r="K387" s="7">
        <v>33.119999999999997</v>
      </c>
      <c r="L387" s="10">
        <f t="shared" si="110"/>
        <v>-3.1627769311722136</v>
      </c>
      <c r="M387" s="12"/>
      <c r="N387" s="11">
        <f t="shared" si="127"/>
        <v>-95.045284403669712</v>
      </c>
      <c r="O387">
        <f t="shared" si="106"/>
        <v>1.4427638279023727</v>
      </c>
      <c r="P387">
        <f t="shared" si="107"/>
        <v>52.675084022740052</v>
      </c>
      <c r="Q387">
        <f t="shared" si="108"/>
        <v>2.9759934476124323</v>
      </c>
      <c r="R387">
        <f t="shared" si="109"/>
        <v>6.6530799999999996E-3</v>
      </c>
    </row>
    <row r="388" spans="1:18" x14ac:dyDescent="0.3">
      <c r="A388">
        <v>1</v>
      </c>
      <c r="B388">
        <v>15</v>
      </c>
      <c r="C388">
        <v>6</v>
      </c>
      <c r="D388" s="16">
        <v>2.5</v>
      </c>
      <c r="E388" s="9">
        <v>7.7104226310000001</v>
      </c>
      <c r="F388" s="7">
        <f t="shared" si="119"/>
        <v>3.2423644197513508</v>
      </c>
      <c r="G388" s="6">
        <v>6.5609999999999999</v>
      </c>
      <c r="H388" s="8">
        <v>1.10885E-3</v>
      </c>
      <c r="I388" s="17">
        <f>F388/((E388*10^-4)/(G388*10^-2)*9.81)^(1/2)</f>
        <v>9.5493376227768945</v>
      </c>
      <c r="J388" s="16">
        <v>4.5</v>
      </c>
      <c r="K388" s="7">
        <v>0.8</v>
      </c>
      <c r="L388" s="10">
        <f t="shared" si="110"/>
        <v>18.738408383226652</v>
      </c>
      <c r="M388" s="12"/>
      <c r="N388" s="11">
        <f>-(1.7*K388^2)/19.62</f>
        <v>-5.5453618756371052E-2</v>
      </c>
      <c r="O388">
        <f t="shared" ref="O388:O451" si="128">K388/F388</f>
        <v>0.24673352419200004</v>
      </c>
      <c r="P388">
        <f t="shared" ref="P388:P451" si="129">K388*PI()*(J388^2)/40</f>
        <v>1.2723450247038663</v>
      </c>
      <c r="Q388">
        <f t="shared" ref="Q388:Q451" si="130">P388/D388</f>
        <v>0.50893800988154658</v>
      </c>
      <c r="R388">
        <f t="shared" ref="R388:R451" si="131">C388*H388</f>
        <v>6.6531000000000003E-3</v>
      </c>
    </row>
    <row r="389" spans="1:18" x14ac:dyDescent="0.3">
      <c r="A389">
        <v>1</v>
      </c>
      <c r="B389">
        <v>15</v>
      </c>
      <c r="C389">
        <v>6</v>
      </c>
      <c r="D389" s="16">
        <v>5</v>
      </c>
      <c r="E389" s="9">
        <v>7.7104226310000001</v>
      </c>
      <c r="F389" s="7">
        <f t="shared" si="119"/>
        <v>6.4847288395027016</v>
      </c>
      <c r="G389" s="6">
        <v>6.5609999999999999</v>
      </c>
      <c r="H389" s="8">
        <v>1.10885E-3</v>
      </c>
      <c r="I389" s="17">
        <f t="shared" ref="I389:I394" si="132">F389/((E389*10^-4)/(G389*10^-2)*9.81)^(1/2)</f>
        <v>19.098675245553789</v>
      </c>
      <c r="J389" s="16">
        <v>4.5</v>
      </c>
      <c r="K389" s="7">
        <v>3.68</v>
      </c>
      <c r="L389" s="10">
        <f t="shared" ref="L389:L452" si="133">(10.33+N389-0.234)/((F389^2)/19.62)</f>
        <v>4.1630042587716325</v>
      </c>
      <c r="M389" s="12"/>
      <c r="N389" s="11">
        <f t="shared" ref="N389:N394" si="134">-(1.7*K389^2)/19.62</f>
        <v>-1.1733985728848113</v>
      </c>
      <c r="O389">
        <f t="shared" si="128"/>
        <v>0.5674871056416001</v>
      </c>
      <c r="P389">
        <f t="shared" si="129"/>
        <v>5.8527871136377847</v>
      </c>
      <c r="Q389">
        <f t="shared" si="130"/>
        <v>1.170557422727557</v>
      </c>
      <c r="R389">
        <f t="shared" si="131"/>
        <v>6.6531000000000003E-3</v>
      </c>
    </row>
    <row r="390" spans="1:18" x14ac:dyDescent="0.3">
      <c r="A390">
        <v>1</v>
      </c>
      <c r="B390">
        <v>15</v>
      </c>
      <c r="C390">
        <v>6</v>
      </c>
      <c r="D390" s="16">
        <v>7.5</v>
      </c>
      <c r="E390" s="9">
        <v>7.7104226310000001</v>
      </c>
      <c r="F390" s="7">
        <f t="shared" si="119"/>
        <v>9.7270932592540529</v>
      </c>
      <c r="G390" s="6">
        <v>6.5609999999999999</v>
      </c>
      <c r="H390" s="8">
        <v>1.10885E-3</v>
      </c>
      <c r="I390" s="17">
        <f t="shared" si="132"/>
        <v>28.648012868330682</v>
      </c>
      <c r="J390" s="16">
        <v>4.5</v>
      </c>
      <c r="K390" s="7">
        <v>10.66</v>
      </c>
      <c r="L390" s="10">
        <f t="shared" si="133"/>
        <v>5.1819800156402966E-2</v>
      </c>
      <c r="M390" s="12"/>
      <c r="N390" s="11">
        <f t="shared" si="134"/>
        <v>-9.8461019367991849</v>
      </c>
      <c r="O390">
        <f t="shared" si="128"/>
        <v>1.0959080699528001</v>
      </c>
      <c r="P390">
        <f t="shared" si="129"/>
        <v>16.953997454179017</v>
      </c>
      <c r="Q390">
        <f t="shared" si="130"/>
        <v>2.2605329938905356</v>
      </c>
      <c r="R390">
        <f t="shared" si="131"/>
        <v>6.6531000000000003E-3</v>
      </c>
    </row>
    <row r="391" spans="1:18" x14ac:dyDescent="0.3">
      <c r="A391">
        <v>1</v>
      </c>
      <c r="B391">
        <v>15</v>
      </c>
      <c r="C391">
        <v>6</v>
      </c>
      <c r="D391" s="16">
        <v>10</v>
      </c>
      <c r="E391" s="9">
        <v>7.7104226310000001</v>
      </c>
      <c r="F391" s="7">
        <f t="shared" si="119"/>
        <v>12.969457679005403</v>
      </c>
      <c r="G391" s="6">
        <v>6.5609999999999999</v>
      </c>
      <c r="H391" s="8">
        <v>1.10885E-3</v>
      </c>
      <c r="I391" s="17">
        <f t="shared" si="132"/>
        <v>38.197350491107578</v>
      </c>
      <c r="J391" s="16">
        <v>4.5</v>
      </c>
      <c r="K391" s="7">
        <v>14.89</v>
      </c>
      <c r="L391" s="10">
        <f t="shared" si="133"/>
        <v>-1.0631378485370158</v>
      </c>
      <c r="M391" s="12"/>
      <c r="N391" s="11">
        <f t="shared" si="134"/>
        <v>-19.21052854230377</v>
      </c>
      <c r="O391">
        <f t="shared" si="128"/>
        <v>1.1480819297559002</v>
      </c>
      <c r="P391">
        <f t="shared" si="129"/>
        <v>23.681521772300709</v>
      </c>
      <c r="Q391">
        <f t="shared" si="130"/>
        <v>2.3681521772300709</v>
      </c>
      <c r="R391">
        <f t="shared" si="131"/>
        <v>6.6531000000000003E-3</v>
      </c>
    </row>
    <row r="392" spans="1:18" x14ac:dyDescent="0.3">
      <c r="A392">
        <v>1</v>
      </c>
      <c r="B392">
        <v>15</v>
      </c>
      <c r="C392">
        <v>6</v>
      </c>
      <c r="D392" s="16">
        <v>12.5</v>
      </c>
      <c r="E392" s="9">
        <v>7.7104226310000001</v>
      </c>
      <c r="F392" s="7">
        <f t="shared" si="119"/>
        <v>16.211822098756755</v>
      </c>
      <c r="G392" s="6">
        <v>6.5609999999999999</v>
      </c>
      <c r="H392" s="8">
        <v>1.10885E-3</v>
      </c>
      <c r="I392" s="17">
        <f t="shared" si="132"/>
        <v>47.746688113884474</v>
      </c>
      <c r="J392" s="16">
        <v>4.5</v>
      </c>
      <c r="K392" s="7">
        <v>20.350000000000001</v>
      </c>
      <c r="L392" s="10">
        <f t="shared" si="133"/>
        <v>-1.9249623954724819</v>
      </c>
      <c r="M392" s="12"/>
      <c r="N392" s="11">
        <f t="shared" si="134"/>
        <v>-35.882173802242612</v>
      </c>
      <c r="O392">
        <f t="shared" si="128"/>
        <v>1.2552568043268</v>
      </c>
      <c r="P392">
        <f t="shared" si="129"/>
        <v>32.365276565904601</v>
      </c>
      <c r="Q392">
        <f t="shared" si="130"/>
        <v>2.5892221252723679</v>
      </c>
      <c r="R392">
        <f t="shared" si="131"/>
        <v>6.6531000000000003E-3</v>
      </c>
    </row>
    <row r="393" spans="1:18" x14ac:dyDescent="0.3">
      <c r="A393">
        <v>1</v>
      </c>
      <c r="B393">
        <v>15</v>
      </c>
      <c r="C393">
        <v>6</v>
      </c>
      <c r="D393" s="16">
        <v>15</v>
      </c>
      <c r="E393" s="9">
        <v>7.7104226310000001</v>
      </c>
      <c r="F393" s="7">
        <f t="shared" si="119"/>
        <v>19.454186518508106</v>
      </c>
      <c r="G393" s="6">
        <v>6.5609999999999999</v>
      </c>
      <c r="H393" s="8">
        <v>1.10885E-3</v>
      </c>
      <c r="I393" s="17">
        <f t="shared" si="132"/>
        <v>57.296025736661363</v>
      </c>
      <c r="J393" s="16">
        <v>4.5</v>
      </c>
      <c r="K393" s="7">
        <v>24.12</v>
      </c>
      <c r="L393" s="10">
        <f t="shared" si="133"/>
        <v>-2.0898423375643644</v>
      </c>
      <c r="M393" s="12"/>
      <c r="N393" s="11">
        <f t="shared" si="134"/>
        <v>-50.408587155963303</v>
      </c>
      <c r="O393">
        <f t="shared" si="128"/>
        <v>1.2398359590648</v>
      </c>
      <c r="P393">
        <f t="shared" si="129"/>
        <v>38.361202494821569</v>
      </c>
      <c r="Q393">
        <f t="shared" si="130"/>
        <v>2.5574134996547713</v>
      </c>
      <c r="R393">
        <f t="shared" si="131"/>
        <v>6.6531000000000003E-3</v>
      </c>
    </row>
    <row r="394" spans="1:18" x14ac:dyDescent="0.3">
      <c r="A394">
        <v>1</v>
      </c>
      <c r="B394">
        <v>15</v>
      </c>
      <c r="C394">
        <v>6</v>
      </c>
      <c r="D394" s="16">
        <v>17.600000000000001</v>
      </c>
      <c r="E394" s="9">
        <v>7.7104226310000001</v>
      </c>
      <c r="F394" s="7">
        <f t="shared" si="119"/>
        <v>22.826245515049511</v>
      </c>
      <c r="G394" s="6">
        <v>6.5609999999999999</v>
      </c>
      <c r="H394" s="8">
        <v>1.10885E-3</v>
      </c>
      <c r="I394" s="17">
        <f t="shared" si="132"/>
        <v>67.22733686434934</v>
      </c>
      <c r="J394" s="16">
        <v>4.5</v>
      </c>
      <c r="K394" s="7">
        <v>28.68</v>
      </c>
      <c r="L394" s="10">
        <f t="shared" si="133"/>
        <v>-2.3035551109759598</v>
      </c>
      <c r="M394" s="12"/>
      <c r="N394" s="11">
        <f t="shared" si="134"/>
        <v>-71.270238532110085</v>
      </c>
      <c r="O394">
        <f t="shared" si="128"/>
        <v>1.2564484150970454</v>
      </c>
      <c r="P394">
        <f t="shared" si="129"/>
        <v>45.613569135633597</v>
      </c>
      <c r="Q394">
        <f t="shared" si="130"/>
        <v>2.5916800645246361</v>
      </c>
      <c r="R394">
        <f t="shared" si="131"/>
        <v>6.6531000000000003E-3</v>
      </c>
    </row>
    <row r="395" spans="1:18" x14ac:dyDescent="0.3">
      <c r="A395">
        <v>1</v>
      </c>
      <c r="B395">
        <v>20</v>
      </c>
      <c r="C395">
        <v>1</v>
      </c>
      <c r="D395" s="16">
        <v>2.8</v>
      </c>
      <c r="E395" s="9">
        <v>10.28056351</v>
      </c>
      <c r="F395" s="7">
        <f t="shared" si="119"/>
        <v>2.723586112061283</v>
      </c>
      <c r="G395" s="6">
        <v>7.0444000000000004</v>
      </c>
      <c r="H395" s="8">
        <v>7.5770400000000002E-3</v>
      </c>
      <c r="I395" s="17">
        <f>F395/((E395*10^-4)/(G395*10^-2)*9.81)^(1/2)</f>
        <v>7.1981377147805405</v>
      </c>
      <c r="J395" s="16">
        <v>4.5</v>
      </c>
      <c r="K395" s="7">
        <v>0</v>
      </c>
      <c r="L395" s="10">
        <f t="shared" si="133"/>
        <v>26.70337305114807</v>
      </c>
      <c r="M395" s="12"/>
      <c r="N395" s="11">
        <f>-(1.7*K395^2)/19.62</f>
        <v>0</v>
      </c>
      <c r="O395">
        <f t="shared" si="128"/>
        <v>0</v>
      </c>
      <c r="P395">
        <f t="shared" si="129"/>
        <v>0</v>
      </c>
      <c r="Q395">
        <f t="shared" si="130"/>
        <v>0</v>
      </c>
      <c r="R395">
        <f t="shared" si="131"/>
        <v>7.5770400000000002E-3</v>
      </c>
    </row>
    <row r="396" spans="1:18" x14ac:dyDescent="0.3">
      <c r="A396">
        <v>1</v>
      </c>
      <c r="B396">
        <v>20</v>
      </c>
      <c r="C396">
        <v>1</v>
      </c>
      <c r="D396" s="16">
        <v>5.6</v>
      </c>
      <c r="E396" s="9">
        <v>10.28056351</v>
      </c>
      <c r="F396" s="7">
        <f t="shared" si="119"/>
        <v>5.447172224122566</v>
      </c>
      <c r="G396" s="6">
        <v>7.0444000000000004</v>
      </c>
      <c r="H396" s="8">
        <v>7.5770400000000002E-3</v>
      </c>
      <c r="I396" s="17">
        <f t="shared" ref="I396:I401" si="135">F396/((E396*10^-4)/(G396*10^-2)*9.81)^(1/2)</f>
        <v>14.396275429561081</v>
      </c>
      <c r="J396" s="16">
        <v>4.5</v>
      </c>
      <c r="K396" s="7">
        <v>1.37</v>
      </c>
      <c r="L396" s="10">
        <f t="shared" si="133"/>
        <v>6.5683087572720078</v>
      </c>
      <c r="M396" s="12"/>
      <c r="N396" s="11">
        <f t="shared" ref="N396:N401" si="136">-(1.7*K396^2)/19.62</f>
        <v>-0.16262640163098879</v>
      </c>
      <c r="O396">
        <f t="shared" si="128"/>
        <v>0.25150664301250003</v>
      </c>
      <c r="P396">
        <f t="shared" si="129"/>
        <v>2.1788908548053714</v>
      </c>
      <c r="Q396">
        <f t="shared" si="130"/>
        <v>0.38908765264381634</v>
      </c>
      <c r="R396">
        <f t="shared" si="131"/>
        <v>7.5770400000000002E-3</v>
      </c>
    </row>
    <row r="397" spans="1:18" x14ac:dyDescent="0.3">
      <c r="A397">
        <v>1</v>
      </c>
      <c r="B397">
        <v>20</v>
      </c>
      <c r="C397">
        <v>1</v>
      </c>
      <c r="D397" s="16">
        <v>8.4</v>
      </c>
      <c r="E397" s="9">
        <v>10.28056351</v>
      </c>
      <c r="F397" s="7">
        <f t="shared" si="119"/>
        <v>8.1707583361838498</v>
      </c>
      <c r="G397" s="6">
        <v>7.0444000000000004</v>
      </c>
      <c r="H397" s="8">
        <v>7.5770400000000002E-3</v>
      </c>
      <c r="I397" s="17">
        <f t="shared" si="135"/>
        <v>21.594413144341623</v>
      </c>
      <c r="J397" s="16">
        <v>4.5</v>
      </c>
      <c r="K397" s="7">
        <v>3.29</v>
      </c>
      <c r="L397" s="10">
        <f t="shared" si="133"/>
        <v>2.6914181135039312</v>
      </c>
      <c r="M397" s="12"/>
      <c r="N397" s="11">
        <f t="shared" si="136"/>
        <v>-0.93786799184505587</v>
      </c>
      <c r="O397">
        <f t="shared" si="128"/>
        <v>0.40265540414166667</v>
      </c>
      <c r="P397">
        <f t="shared" si="129"/>
        <v>5.2325189140946495</v>
      </c>
      <c r="Q397">
        <f t="shared" si="130"/>
        <v>0.62291891834460111</v>
      </c>
      <c r="R397">
        <f t="shared" si="131"/>
        <v>7.5770400000000002E-3</v>
      </c>
    </row>
    <row r="398" spans="1:18" x14ac:dyDescent="0.3">
      <c r="A398">
        <v>1</v>
      </c>
      <c r="B398">
        <v>20</v>
      </c>
      <c r="C398">
        <v>1</v>
      </c>
      <c r="D398" s="16">
        <v>11.2</v>
      </c>
      <c r="E398" s="9">
        <v>10.28056351</v>
      </c>
      <c r="F398" s="7">
        <f t="shared" si="119"/>
        <v>10.894344448245132</v>
      </c>
      <c r="G398" s="6">
        <v>7.0444000000000004</v>
      </c>
      <c r="H398" s="8">
        <v>7.5770400000000002E-3</v>
      </c>
      <c r="I398" s="17">
        <f t="shared" si="135"/>
        <v>28.792550859122162</v>
      </c>
      <c r="J398" s="16">
        <v>4.5</v>
      </c>
      <c r="K398" s="7">
        <v>6.4</v>
      </c>
      <c r="L398" s="10">
        <f t="shared" si="133"/>
        <v>1.0822735460107329</v>
      </c>
      <c r="M398" s="12"/>
      <c r="N398" s="11">
        <f t="shared" si="136"/>
        <v>-3.5490316004077473</v>
      </c>
      <c r="O398">
        <f t="shared" si="128"/>
        <v>0.58746077200000013</v>
      </c>
      <c r="P398">
        <f t="shared" si="129"/>
        <v>10.178760197630931</v>
      </c>
      <c r="Q398">
        <f t="shared" si="130"/>
        <v>0.90881787478847598</v>
      </c>
      <c r="R398">
        <f t="shared" si="131"/>
        <v>7.5770400000000002E-3</v>
      </c>
    </row>
    <row r="399" spans="1:18" x14ac:dyDescent="0.3">
      <c r="A399">
        <v>1</v>
      </c>
      <c r="B399">
        <v>20</v>
      </c>
      <c r="C399">
        <v>1</v>
      </c>
      <c r="D399" s="16">
        <v>14</v>
      </c>
      <c r="E399" s="9">
        <v>10.28056351</v>
      </c>
      <c r="F399" s="7">
        <f t="shared" si="119"/>
        <v>13.617930560306414</v>
      </c>
      <c r="G399" s="6">
        <v>7.0444000000000004</v>
      </c>
      <c r="H399" s="8">
        <v>7.5770400000000002E-3</v>
      </c>
      <c r="I399" s="17">
        <f t="shared" si="135"/>
        <v>35.990688573902702</v>
      </c>
      <c r="J399" s="16">
        <v>4.5</v>
      </c>
      <c r="K399" s="7">
        <v>10.43</v>
      </c>
      <c r="L399" s="10">
        <f t="shared" si="133"/>
        <v>7.0904985107378152E-2</v>
      </c>
      <c r="M399" s="12"/>
      <c r="N399" s="11">
        <f t="shared" si="136"/>
        <v>-9.4258068297655448</v>
      </c>
      <c r="O399">
        <f t="shared" si="128"/>
        <v>0.76590198149500011</v>
      </c>
      <c r="P399">
        <f t="shared" si="129"/>
        <v>16.588198259576654</v>
      </c>
      <c r="Q399">
        <f t="shared" si="130"/>
        <v>1.1848713042554753</v>
      </c>
      <c r="R399">
        <f t="shared" si="131"/>
        <v>7.5770400000000002E-3</v>
      </c>
    </row>
    <row r="400" spans="1:18" x14ac:dyDescent="0.3">
      <c r="A400">
        <v>1</v>
      </c>
      <c r="B400">
        <v>20</v>
      </c>
      <c r="C400">
        <v>1</v>
      </c>
      <c r="D400" s="16">
        <v>16.8</v>
      </c>
      <c r="E400" s="9">
        <v>10.28056351</v>
      </c>
      <c r="F400" s="7">
        <f t="shared" si="119"/>
        <v>16.3415166723677</v>
      </c>
      <c r="G400" s="6">
        <v>7.0444000000000004</v>
      </c>
      <c r="H400" s="8">
        <v>7.5770400000000002E-3</v>
      </c>
      <c r="I400" s="17">
        <f t="shared" si="135"/>
        <v>43.188826288683245</v>
      </c>
      <c r="J400" s="16">
        <v>4.5</v>
      </c>
      <c r="K400" s="7">
        <v>15.13</v>
      </c>
      <c r="L400" s="10">
        <f t="shared" si="133"/>
        <v>-0.71551645003308284</v>
      </c>
      <c r="M400" s="12"/>
      <c r="N400" s="11">
        <f t="shared" si="136"/>
        <v>-19.83479765545362</v>
      </c>
      <c r="O400">
        <f t="shared" si="128"/>
        <v>0.92586265420416669</v>
      </c>
      <c r="P400">
        <f t="shared" si="129"/>
        <v>24.063225279711872</v>
      </c>
      <c r="Q400">
        <f t="shared" si="130"/>
        <v>1.4323348380780876</v>
      </c>
      <c r="R400">
        <f t="shared" si="131"/>
        <v>7.5770400000000002E-3</v>
      </c>
    </row>
    <row r="401" spans="1:18" x14ac:dyDescent="0.3">
      <c r="A401">
        <v>1</v>
      </c>
      <c r="B401">
        <v>20</v>
      </c>
      <c r="C401">
        <v>1</v>
      </c>
      <c r="D401" s="16">
        <v>20.100000000000001</v>
      </c>
      <c r="E401" s="9">
        <v>10.28056351</v>
      </c>
      <c r="F401" s="7">
        <f t="shared" si="119"/>
        <v>19.551457447297068</v>
      </c>
      <c r="G401" s="6">
        <v>7.0444000000000004</v>
      </c>
      <c r="H401" s="8">
        <v>7.5770400000000002E-3</v>
      </c>
      <c r="I401" s="17">
        <f t="shared" si="135"/>
        <v>51.672345738246023</v>
      </c>
      <c r="J401" s="16">
        <v>4.5</v>
      </c>
      <c r="K401" s="7">
        <v>21.2</v>
      </c>
      <c r="L401" s="10">
        <f t="shared" si="133"/>
        <v>-1.480576669259513</v>
      </c>
      <c r="M401" s="12"/>
      <c r="N401" s="11">
        <f t="shared" si="136"/>
        <v>-38.942303771661571</v>
      </c>
      <c r="O401">
        <f t="shared" si="128"/>
        <v>1.0843181413532339</v>
      </c>
      <c r="P401">
        <f t="shared" si="129"/>
        <v>33.717143154652447</v>
      </c>
      <c r="Q401">
        <f t="shared" si="130"/>
        <v>1.6774698086891764</v>
      </c>
      <c r="R401">
        <f t="shared" si="131"/>
        <v>7.5770400000000002E-3</v>
      </c>
    </row>
    <row r="402" spans="1:18" x14ac:dyDescent="0.3">
      <c r="A402">
        <v>1</v>
      </c>
      <c r="B402">
        <v>20</v>
      </c>
      <c r="C402">
        <v>2</v>
      </c>
      <c r="D402" s="16">
        <v>2.8</v>
      </c>
      <c r="E402" s="9">
        <v>10.28056351</v>
      </c>
      <c r="F402" s="7">
        <f t="shared" si="119"/>
        <v>2.723586112061283</v>
      </c>
      <c r="G402" s="6">
        <v>7.0444000000000004</v>
      </c>
      <c r="H402" s="8">
        <v>3.7885200000000001E-3</v>
      </c>
      <c r="I402" s="17">
        <f>F402/((E402*10^-4)/(G402*10^-2)*9.81)^(1/2)</f>
        <v>7.1981377147805405</v>
      </c>
      <c r="J402" s="16">
        <v>4.5</v>
      </c>
      <c r="K402" s="7">
        <v>0.56999999999999995</v>
      </c>
      <c r="L402" s="10">
        <f t="shared" si="133"/>
        <v>26.628914186335184</v>
      </c>
      <c r="M402" s="12"/>
      <c r="N402" s="11">
        <f>-(1.7*K402^2)/19.62</f>
        <v>-2.8151376146788983E-2</v>
      </c>
      <c r="O402">
        <f t="shared" si="128"/>
        <v>0.209282900025</v>
      </c>
      <c r="P402">
        <f t="shared" si="129"/>
        <v>0.90654583010150458</v>
      </c>
      <c r="Q402">
        <f t="shared" si="130"/>
        <v>0.32376636789339452</v>
      </c>
      <c r="R402">
        <f t="shared" si="131"/>
        <v>7.5770400000000002E-3</v>
      </c>
    </row>
    <row r="403" spans="1:18" x14ac:dyDescent="0.3">
      <c r="A403">
        <v>1</v>
      </c>
      <c r="B403">
        <v>20</v>
      </c>
      <c r="C403">
        <v>2</v>
      </c>
      <c r="D403" s="16">
        <v>5.6</v>
      </c>
      <c r="E403" s="9">
        <v>10.28056351</v>
      </c>
      <c r="F403" s="7">
        <f t="shared" si="119"/>
        <v>5.447172224122566</v>
      </c>
      <c r="G403" s="6">
        <v>7.0444000000000004</v>
      </c>
      <c r="H403" s="8">
        <v>3.7885200000000001E-3</v>
      </c>
      <c r="I403" s="17">
        <f t="shared" ref="I403:I408" si="137">F403/((E403*10^-4)/(G403*10^-2)*9.81)^(1/2)</f>
        <v>14.396275429561081</v>
      </c>
      <c r="J403" s="16">
        <v>4.5</v>
      </c>
      <c r="K403" s="7">
        <v>2.5299999999999998</v>
      </c>
      <c r="L403" s="10">
        <f t="shared" si="133"/>
        <v>6.3091121549224418</v>
      </c>
      <c r="M403" s="12"/>
      <c r="N403" s="11">
        <f t="shared" ref="N403:N408" si="138">-(1.7*K403^2)/19.62</f>
        <v>-0.55461416921508655</v>
      </c>
      <c r="O403">
        <f t="shared" si="128"/>
        <v>0.46446117286249999</v>
      </c>
      <c r="P403">
        <f t="shared" si="129"/>
        <v>4.0237911406259768</v>
      </c>
      <c r="Q403">
        <f t="shared" si="130"/>
        <v>0.7185341322546388</v>
      </c>
      <c r="R403">
        <f t="shared" si="131"/>
        <v>7.5770400000000002E-3</v>
      </c>
    </row>
    <row r="404" spans="1:18" x14ac:dyDescent="0.3">
      <c r="A404">
        <v>1</v>
      </c>
      <c r="B404">
        <v>20</v>
      </c>
      <c r="C404">
        <v>2</v>
      </c>
      <c r="D404" s="16">
        <v>8.4</v>
      </c>
      <c r="E404" s="9">
        <v>10.28056351</v>
      </c>
      <c r="F404" s="7">
        <f t="shared" si="119"/>
        <v>8.1707583361838498</v>
      </c>
      <c r="G404" s="6">
        <v>7.0444000000000004</v>
      </c>
      <c r="H404" s="8">
        <v>3.7885200000000001E-3</v>
      </c>
      <c r="I404" s="17">
        <f t="shared" si="137"/>
        <v>21.594413144341623</v>
      </c>
      <c r="J404" s="16">
        <v>4.5</v>
      </c>
      <c r="K404" s="7">
        <v>5.5</v>
      </c>
      <c r="L404" s="10">
        <f t="shared" si="133"/>
        <v>2.1967597700927475</v>
      </c>
      <c r="M404" s="12"/>
      <c r="N404" s="11">
        <f t="shared" si="138"/>
        <v>-2.6210499490316002</v>
      </c>
      <c r="O404">
        <f t="shared" si="128"/>
        <v>0.67313213458333332</v>
      </c>
      <c r="P404">
        <f t="shared" si="129"/>
        <v>8.7473720448390786</v>
      </c>
      <c r="Q404">
        <f t="shared" si="130"/>
        <v>1.0413538148617951</v>
      </c>
      <c r="R404">
        <f t="shared" si="131"/>
        <v>7.5770400000000002E-3</v>
      </c>
    </row>
    <row r="405" spans="1:18" x14ac:dyDescent="0.3">
      <c r="A405">
        <v>1</v>
      </c>
      <c r="B405">
        <v>20</v>
      </c>
      <c r="C405">
        <v>2</v>
      </c>
      <c r="D405" s="16">
        <v>11.2</v>
      </c>
      <c r="E405" s="9">
        <v>10.28056351</v>
      </c>
      <c r="F405" s="7">
        <f t="shared" si="119"/>
        <v>10.894344448245132</v>
      </c>
      <c r="G405" s="6">
        <v>7.0444000000000004</v>
      </c>
      <c r="H405" s="8">
        <v>3.7885200000000001E-3</v>
      </c>
      <c r="I405" s="17">
        <f t="shared" si="137"/>
        <v>28.792550859122162</v>
      </c>
      <c r="J405" s="16">
        <v>4.5</v>
      </c>
      <c r="K405" s="7">
        <v>9.43</v>
      </c>
      <c r="L405" s="10">
        <f t="shared" si="133"/>
        <v>0.3952521538778464</v>
      </c>
      <c r="M405" s="12"/>
      <c r="N405" s="11">
        <f t="shared" si="138"/>
        <v>-7.7050117227319053</v>
      </c>
      <c r="O405">
        <f t="shared" si="128"/>
        <v>0.86558673124375007</v>
      </c>
      <c r="P405">
        <f t="shared" si="129"/>
        <v>14.997766978696822</v>
      </c>
      <c r="Q405">
        <f t="shared" si="130"/>
        <v>1.3390863373836448</v>
      </c>
      <c r="R405">
        <f t="shared" si="131"/>
        <v>7.5770400000000002E-3</v>
      </c>
    </row>
    <row r="406" spans="1:18" x14ac:dyDescent="0.3">
      <c r="A406">
        <v>1</v>
      </c>
      <c r="B406">
        <v>20</v>
      </c>
      <c r="C406">
        <v>2</v>
      </c>
      <c r="D406" s="16">
        <v>14</v>
      </c>
      <c r="E406" s="9">
        <v>10.28056351</v>
      </c>
      <c r="F406" s="7">
        <f t="shared" si="119"/>
        <v>13.617930560306414</v>
      </c>
      <c r="G406" s="6">
        <v>7.0444000000000004</v>
      </c>
      <c r="H406" s="8">
        <v>3.7885200000000001E-3</v>
      </c>
      <c r="I406" s="17">
        <f t="shared" si="137"/>
        <v>35.990688573902702</v>
      </c>
      <c r="J406" s="16">
        <v>4.5</v>
      </c>
      <c r="K406" s="7">
        <v>15.79</v>
      </c>
      <c r="L406" s="10">
        <f t="shared" si="133"/>
        <v>-1.2174162575778982</v>
      </c>
      <c r="M406" s="12"/>
      <c r="N406" s="11">
        <f t="shared" si="138"/>
        <v>-21.603005606523951</v>
      </c>
      <c r="O406">
        <f t="shared" si="128"/>
        <v>1.1595006987350001</v>
      </c>
      <c r="P406">
        <f t="shared" si="129"/>
        <v>25.112909925092559</v>
      </c>
      <c r="Q406">
        <f t="shared" si="130"/>
        <v>1.7937792803637542</v>
      </c>
      <c r="R406">
        <f t="shared" si="131"/>
        <v>7.5770400000000002E-3</v>
      </c>
    </row>
    <row r="407" spans="1:18" x14ac:dyDescent="0.3">
      <c r="A407">
        <v>1</v>
      </c>
      <c r="B407">
        <v>20</v>
      </c>
      <c r="C407">
        <v>2</v>
      </c>
      <c r="D407" s="16">
        <v>16.8</v>
      </c>
      <c r="E407" s="9">
        <v>10.28056351</v>
      </c>
      <c r="F407" s="7">
        <f t="shared" si="119"/>
        <v>16.3415166723677</v>
      </c>
      <c r="G407" s="6">
        <v>7.0444000000000004</v>
      </c>
      <c r="H407" s="8">
        <v>3.7885200000000001E-3</v>
      </c>
      <c r="I407" s="17">
        <f t="shared" si="137"/>
        <v>43.188826288683245</v>
      </c>
      <c r="J407" s="16">
        <v>4.5</v>
      </c>
      <c r="K407" s="7">
        <v>23.62</v>
      </c>
      <c r="L407" s="10">
        <f t="shared" si="133"/>
        <v>-2.8098391294583198</v>
      </c>
      <c r="M407" s="12"/>
      <c r="N407" s="11">
        <f t="shared" si="138"/>
        <v>-48.340340468909268</v>
      </c>
      <c r="O407">
        <f t="shared" si="128"/>
        <v>1.4453982744416667</v>
      </c>
      <c r="P407">
        <f t="shared" si="129"/>
        <v>37.565986854381649</v>
      </c>
      <c r="Q407">
        <f t="shared" si="130"/>
        <v>2.2360706460941455</v>
      </c>
      <c r="R407">
        <f t="shared" si="131"/>
        <v>7.5770400000000002E-3</v>
      </c>
    </row>
    <row r="408" spans="1:18" x14ac:dyDescent="0.3">
      <c r="A408">
        <v>1</v>
      </c>
      <c r="B408">
        <v>20</v>
      </c>
      <c r="C408">
        <v>2</v>
      </c>
      <c r="D408" s="16">
        <v>20</v>
      </c>
      <c r="E408" s="9">
        <v>10.28056351</v>
      </c>
      <c r="F408" s="7">
        <f t="shared" si="119"/>
        <v>19.45418651472345</v>
      </c>
      <c r="G408" s="6">
        <v>7.0444000000000004</v>
      </c>
      <c r="H408" s="8">
        <v>3.7885200000000001E-3</v>
      </c>
      <c r="I408" s="17">
        <f t="shared" si="137"/>
        <v>51.41526939128957</v>
      </c>
      <c r="J408" s="16">
        <v>4.5</v>
      </c>
      <c r="K408" s="7">
        <v>30.27</v>
      </c>
      <c r="L408" s="10">
        <f t="shared" si="133"/>
        <v>-3.5923508652953644</v>
      </c>
      <c r="M408" s="12"/>
      <c r="N408" s="11">
        <f t="shared" si="138"/>
        <v>-79.391637614678885</v>
      </c>
      <c r="O408">
        <f t="shared" si="128"/>
        <v>1.5559632872385001</v>
      </c>
      <c r="P408">
        <f t="shared" si="129"/>
        <v>48.142354872232531</v>
      </c>
      <c r="Q408">
        <f t="shared" si="130"/>
        <v>2.4071177436116264</v>
      </c>
      <c r="R408">
        <f t="shared" si="131"/>
        <v>7.5770400000000002E-3</v>
      </c>
    </row>
    <row r="409" spans="1:18" x14ac:dyDescent="0.3">
      <c r="A409">
        <v>1</v>
      </c>
      <c r="B409">
        <v>20</v>
      </c>
      <c r="C409">
        <v>4</v>
      </c>
      <c r="D409" s="16">
        <v>2.8</v>
      </c>
      <c r="E409" s="9">
        <v>10.28056351</v>
      </c>
      <c r="F409" s="7">
        <f t="shared" si="119"/>
        <v>2.723586112061283</v>
      </c>
      <c r="G409" s="6">
        <v>7.0444000000000004</v>
      </c>
      <c r="H409" s="8">
        <v>1.89426E-3</v>
      </c>
      <c r="I409" s="17">
        <f>F409/((E409*10^-4)/(G409*10^-2)*9.81)^(1/2)</f>
        <v>7.1981377147805405</v>
      </c>
      <c r="J409" s="16">
        <v>4.5</v>
      </c>
      <c r="K409" s="7">
        <v>0.65</v>
      </c>
      <c r="L409" s="10">
        <f t="shared" si="133"/>
        <v>26.606546734178405</v>
      </c>
      <c r="M409" s="12"/>
      <c r="N409" s="11">
        <f>-(1.7*K409^2)/19.62</f>
        <v>-3.6608053007135578E-2</v>
      </c>
      <c r="O409">
        <f t="shared" si="128"/>
        <v>0.23865593862500004</v>
      </c>
      <c r="P409">
        <f t="shared" si="129"/>
        <v>1.0337803325718913</v>
      </c>
      <c r="Q409">
        <f t="shared" si="130"/>
        <v>0.36920726163281836</v>
      </c>
      <c r="R409">
        <f t="shared" si="131"/>
        <v>7.5770400000000002E-3</v>
      </c>
    </row>
    <row r="410" spans="1:18" x14ac:dyDescent="0.3">
      <c r="A410">
        <v>1</v>
      </c>
      <c r="B410">
        <v>20</v>
      </c>
      <c r="C410">
        <v>4</v>
      </c>
      <c r="D410" s="16">
        <v>5.6</v>
      </c>
      <c r="E410" s="9">
        <v>10.28056351</v>
      </c>
      <c r="F410" s="7">
        <f t="shared" si="119"/>
        <v>5.447172224122566</v>
      </c>
      <c r="G410" s="6">
        <v>7.0444000000000004</v>
      </c>
      <c r="H410" s="8">
        <v>1.89426E-3</v>
      </c>
      <c r="I410" s="17">
        <f t="shared" ref="I410:I415" si="139">F410/((E410*10^-4)/(G410*10^-2)*9.81)^(1/2)</f>
        <v>14.396275429561081</v>
      </c>
      <c r="J410" s="16">
        <v>4.5</v>
      </c>
      <c r="K410" s="7">
        <v>2.66</v>
      </c>
      <c r="L410" s="10">
        <f t="shared" si="133"/>
        <v>6.2704561099168599</v>
      </c>
      <c r="M410" s="12"/>
      <c r="N410" s="11">
        <f t="shared" ref="N410:N415" si="140">-(1.7*K410^2)/19.62</f>
        <v>-0.61307441386340467</v>
      </c>
      <c r="O410">
        <f t="shared" si="128"/>
        <v>0.48832676672500008</v>
      </c>
      <c r="P410">
        <f t="shared" si="129"/>
        <v>4.230547207140356</v>
      </c>
      <c r="Q410">
        <f t="shared" si="130"/>
        <v>0.75545485841792082</v>
      </c>
      <c r="R410">
        <f t="shared" si="131"/>
        <v>7.5770400000000002E-3</v>
      </c>
    </row>
    <row r="411" spans="1:18" x14ac:dyDescent="0.3">
      <c r="A411">
        <v>1</v>
      </c>
      <c r="B411">
        <v>20</v>
      </c>
      <c r="C411">
        <v>4</v>
      </c>
      <c r="D411" s="16">
        <v>8.4</v>
      </c>
      <c r="E411" s="9">
        <v>10.28056351</v>
      </c>
      <c r="F411" s="7">
        <f t="shared" si="119"/>
        <v>8.1707583361838498</v>
      </c>
      <c r="G411" s="6">
        <v>7.0444000000000004</v>
      </c>
      <c r="H411" s="8">
        <v>1.89426E-3</v>
      </c>
      <c r="I411" s="17">
        <f t="shared" si="139"/>
        <v>21.594413144341623</v>
      </c>
      <c r="J411" s="16">
        <v>4.5</v>
      </c>
      <c r="K411" s="7">
        <v>5.55</v>
      </c>
      <c r="L411" s="10">
        <f t="shared" si="133"/>
        <v>2.1826909889945907</v>
      </c>
      <c r="M411" s="12"/>
      <c r="N411" s="11">
        <f t="shared" si="140"/>
        <v>-2.6689220183486237</v>
      </c>
      <c r="O411">
        <f t="shared" si="128"/>
        <v>0.67925151762500002</v>
      </c>
      <c r="P411">
        <f t="shared" si="129"/>
        <v>8.8268936088830721</v>
      </c>
      <c r="Q411">
        <f t="shared" si="130"/>
        <v>1.0508206677241752</v>
      </c>
      <c r="R411">
        <f t="shared" si="131"/>
        <v>7.5770400000000002E-3</v>
      </c>
    </row>
    <row r="412" spans="1:18" x14ac:dyDescent="0.3">
      <c r="A412">
        <v>1</v>
      </c>
      <c r="B412">
        <v>20</v>
      </c>
      <c r="C412">
        <v>4</v>
      </c>
      <c r="D412" s="16">
        <v>11.2</v>
      </c>
      <c r="E412" s="9">
        <v>10.28056351</v>
      </c>
      <c r="F412" s="7">
        <f t="shared" si="119"/>
        <v>10.894344448245132</v>
      </c>
      <c r="G412" s="6">
        <v>7.0444000000000004</v>
      </c>
      <c r="H412" s="8">
        <v>1.89426E-3</v>
      </c>
      <c r="I412" s="17">
        <f t="shared" si="139"/>
        <v>28.792550859122162</v>
      </c>
      <c r="J412" s="16">
        <v>4.5</v>
      </c>
      <c r="K412" s="7">
        <v>10.31</v>
      </c>
      <c r="L412" s="10">
        <f t="shared" si="133"/>
        <v>0.14643716610514562</v>
      </c>
      <c r="M412" s="12"/>
      <c r="N412" s="11">
        <f t="shared" si="140"/>
        <v>-9.2101615698267079</v>
      </c>
      <c r="O412">
        <f t="shared" si="128"/>
        <v>0.94636258739375012</v>
      </c>
      <c r="P412">
        <f t="shared" si="129"/>
        <v>16.397346505871077</v>
      </c>
      <c r="Q412">
        <f t="shared" si="130"/>
        <v>1.4640487951670607</v>
      </c>
      <c r="R412">
        <f t="shared" si="131"/>
        <v>7.5770400000000002E-3</v>
      </c>
    </row>
    <row r="413" spans="1:18" x14ac:dyDescent="0.3">
      <c r="A413">
        <v>1</v>
      </c>
      <c r="B413">
        <v>20</v>
      </c>
      <c r="C413">
        <v>4</v>
      </c>
      <c r="D413" s="16">
        <v>14</v>
      </c>
      <c r="E413" s="9">
        <v>10.28056351</v>
      </c>
      <c r="F413" s="7">
        <f t="shared" si="119"/>
        <v>13.617930560306414</v>
      </c>
      <c r="G413" s="6">
        <v>7.0444000000000004</v>
      </c>
      <c r="H413" s="8">
        <v>1.89426E-3</v>
      </c>
      <c r="I413" s="17">
        <f t="shared" si="139"/>
        <v>35.990688573902702</v>
      </c>
      <c r="J413" s="16">
        <v>4.5</v>
      </c>
      <c r="K413" s="7">
        <v>15.99</v>
      </c>
      <c r="L413" s="10">
        <f t="shared" si="133"/>
        <v>-1.2756816370485917</v>
      </c>
      <c r="M413" s="12"/>
      <c r="N413" s="11">
        <f t="shared" si="140"/>
        <v>-22.153729357798166</v>
      </c>
      <c r="O413">
        <f t="shared" si="128"/>
        <v>1.1741872180350001</v>
      </c>
      <c r="P413">
        <f t="shared" si="129"/>
        <v>25.430996181268526</v>
      </c>
      <c r="Q413">
        <f t="shared" si="130"/>
        <v>1.8164997272334662</v>
      </c>
      <c r="R413">
        <f t="shared" si="131"/>
        <v>7.5770400000000002E-3</v>
      </c>
    </row>
    <row r="414" spans="1:18" x14ac:dyDescent="0.3">
      <c r="A414">
        <v>1</v>
      </c>
      <c r="B414">
        <v>20</v>
      </c>
      <c r="C414">
        <v>4</v>
      </c>
      <c r="D414" s="16">
        <v>16.8</v>
      </c>
      <c r="E414" s="9">
        <v>10.28056351</v>
      </c>
      <c r="F414" s="7">
        <f t="shared" si="119"/>
        <v>16.3415166723677</v>
      </c>
      <c r="G414" s="6">
        <v>7.0444000000000004</v>
      </c>
      <c r="H414" s="8">
        <v>1.89426E-3</v>
      </c>
      <c r="I414" s="17">
        <f t="shared" si="139"/>
        <v>43.188826288683245</v>
      </c>
      <c r="J414" s="16">
        <v>4.5</v>
      </c>
      <c r="K414" s="7">
        <v>19.77</v>
      </c>
      <c r="L414" s="10">
        <f t="shared" si="133"/>
        <v>-1.7463952445629822</v>
      </c>
      <c r="M414" s="12"/>
      <c r="N414" s="11">
        <f t="shared" si="140"/>
        <v>-33.865949541284401</v>
      </c>
      <c r="O414">
        <f t="shared" si="128"/>
        <v>1.2098020273375001</v>
      </c>
      <c r="P414">
        <f t="shared" si="129"/>
        <v>31.442826422994294</v>
      </c>
      <c r="Q414">
        <f t="shared" si="130"/>
        <v>1.8715968108925174</v>
      </c>
      <c r="R414">
        <f t="shared" si="131"/>
        <v>7.5770400000000002E-3</v>
      </c>
    </row>
    <row r="415" spans="1:18" x14ac:dyDescent="0.3">
      <c r="A415">
        <v>1</v>
      </c>
      <c r="B415">
        <v>20</v>
      </c>
      <c r="C415">
        <v>4</v>
      </c>
      <c r="D415" s="16">
        <v>20</v>
      </c>
      <c r="E415" s="9">
        <v>10.28056351</v>
      </c>
      <c r="F415" s="7">
        <f t="shared" si="119"/>
        <v>19.45418651472345</v>
      </c>
      <c r="G415" s="6">
        <v>7.0444000000000004</v>
      </c>
      <c r="H415" s="8">
        <v>1.89426E-3</v>
      </c>
      <c r="I415" s="17">
        <f t="shared" si="139"/>
        <v>51.41526939128957</v>
      </c>
      <c r="J415" s="16">
        <v>4.5</v>
      </c>
      <c r="K415" s="7">
        <v>28.62</v>
      </c>
      <c r="L415" s="10">
        <f t="shared" si="133"/>
        <v>-3.1558870252547679</v>
      </c>
      <c r="M415" s="12"/>
      <c r="N415" s="11">
        <f t="shared" si="140"/>
        <v>-70.972348623853208</v>
      </c>
      <c r="O415">
        <f t="shared" si="128"/>
        <v>1.4711486382810002</v>
      </c>
      <c r="P415">
        <f t="shared" si="129"/>
        <v>45.518143258780817</v>
      </c>
      <c r="Q415">
        <f t="shared" si="130"/>
        <v>2.2759071629390411</v>
      </c>
      <c r="R415">
        <f t="shared" si="131"/>
        <v>7.5770400000000002E-3</v>
      </c>
    </row>
    <row r="416" spans="1:18" x14ac:dyDescent="0.3">
      <c r="A416">
        <v>1</v>
      </c>
      <c r="B416">
        <v>20</v>
      </c>
      <c r="C416">
        <v>6</v>
      </c>
      <c r="D416" s="16">
        <v>2.8</v>
      </c>
      <c r="E416" s="9">
        <v>10.28056351</v>
      </c>
      <c r="F416" s="7">
        <f t="shared" si="119"/>
        <v>2.723586112061283</v>
      </c>
      <c r="G416" s="6">
        <v>7.0444000000000004</v>
      </c>
      <c r="H416" s="8">
        <v>1.2628400000000001E-3</v>
      </c>
      <c r="I416" s="17">
        <f>F416/((E416*10^-4)/(G416*10^-2)*9.81)^(1/2)</f>
        <v>7.1981377147805405</v>
      </c>
      <c r="J416" s="16">
        <v>4.5</v>
      </c>
      <c r="K416" s="7">
        <v>0.72</v>
      </c>
      <c r="L416" s="10">
        <f t="shared" si="133"/>
        <v>26.584568879036652</v>
      </c>
      <c r="M416" s="12"/>
      <c r="N416" s="11">
        <f>-(1.7*K416^2)/19.62</f>
        <v>-4.4917431192660548E-2</v>
      </c>
      <c r="O416">
        <f t="shared" si="128"/>
        <v>0.2643573474</v>
      </c>
      <c r="P416">
        <f t="shared" si="129"/>
        <v>1.1451105222334796</v>
      </c>
      <c r="Q416">
        <f t="shared" si="130"/>
        <v>0.40896804365481421</v>
      </c>
      <c r="R416">
        <f t="shared" si="131"/>
        <v>7.5770400000000002E-3</v>
      </c>
    </row>
    <row r="417" spans="1:18" x14ac:dyDescent="0.3">
      <c r="A417">
        <v>1</v>
      </c>
      <c r="B417">
        <v>20</v>
      </c>
      <c r="C417">
        <v>6</v>
      </c>
      <c r="D417" s="16">
        <v>5.6</v>
      </c>
      <c r="E417" s="9">
        <v>10.28056351</v>
      </c>
      <c r="F417" s="7">
        <f t="shared" si="119"/>
        <v>5.447172224122566</v>
      </c>
      <c r="G417" s="6">
        <v>7.0444000000000004</v>
      </c>
      <c r="H417" s="8">
        <v>1.2628400000000001E-3</v>
      </c>
      <c r="I417" s="17">
        <f t="shared" ref="I417:I422" si="141">F417/((E417*10^-4)/(G417*10^-2)*9.81)^(1/2)</f>
        <v>14.396275429561081</v>
      </c>
      <c r="J417" s="16">
        <v>4.5</v>
      </c>
      <c r="K417" s="7">
        <v>2.4500000000000002</v>
      </c>
      <c r="L417" s="10">
        <f t="shared" si="133"/>
        <v>6.3319379565086633</v>
      </c>
      <c r="M417" s="12"/>
      <c r="N417" s="11">
        <f t="shared" ref="N417:N422" si="142">-(1.7*K417^2)/19.62</f>
        <v>-0.52009429153924569</v>
      </c>
      <c r="O417">
        <f t="shared" si="128"/>
        <v>0.44977465356250007</v>
      </c>
      <c r="P417">
        <f t="shared" si="129"/>
        <v>3.8965566381555909</v>
      </c>
      <c r="Q417">
        <f t="shared" si="130"/>
        <v>0.69581368538492705</v>
      </c>
      <c r="R417">
        <f t="shared" si="131"/>
        <v>7.5770400000000002E-3</v>
      </c>
    </row>
    <row r="418" spans="1:18" x14ac:dyDescent="0.3">
      <c r="A418">
        <v>1</v>
      </c>
      <c r="B418">
        <v>20</v>
      </c>
      <c r="C418">
        <v>6</v>
      </c>
      <c r="D418" s="16">
        <v>8.4</v>
      </c>
      <c r="E418" s="9">
        <v>10.28056351</v>
      </c>
      <c r="F418" s="7">
        <f t="shared" si="119"/>
        <v>8.1707583361838498</v>
      </c>
      <c r="G418" s="6">
        <v>7.0444000000000004</v>
      </c>
      <c r="H418" s="8">
        <v>1.2628400000000001E-3</v>
      </c>
      <c r="I418" s="17">
        <f t="shared" si="141"/>
        <v>21.594413144341623</v>
      </c>
      <c r="J418" s="16">
        <v>4.5</v>
      </c>
      <c r="K418" s="7">
        <v>5.89</v>
      </c>
      <c r="L418" s="10">
        <f t="shared" si="133"/>
        <v>2.0836467700635688</v>
      </c>
      <c r="M418" s="12"/>
      <c r="N418" s="11">
        <f t="shared" si="142"/>
        <v>-3.0059413863404685</v>
      </c>
      <c r="O418">
        <f t="shared" si="128"/>
        <v>0.72086332230833328</v>
      </c>
      <c r="P418">
        <f t="shared" si="129"/>
        <v>9.3676402443822155</v>
      </c>
      <c r="Q418">
        <f t="shared" si="130"/>
        <v>1.1151952671883589</v>
      </c>
      <c r="R418">
        <f t="shared" si="131"/>
        <v>7.5770400000000002E-3</v>
      </c>
    </row>
    <row r="419" spans="1:18" x14ac:dyDescent="0.3">
      <c r="A419">
        <v>1</v>
      </c>
      <c r="B419">
        <v>20</v>
      </c>
      <c r="C419">
        <v>6</v>
      </c>
      <c r="D419" s="16">
        <v>11.2</v>
      </c>
      <c r="E419" s="9">
        <v>10.28056351</v>
      </c>
      <c r="F419" s="7">
        <f t="shared" si="119"/>
        <v>10.894344448245132</v>
      </c>
      <c r="G419" s="6">
        <v>7.0444000000000004</v>
      </c>
      <c r="H419" s="8">
        <v>1.2628400000000001E-3</v>
      </c>
      <c r="I419" s="17">
        <f t="shared" si="141"/>
        <v>28.792550859122162</v>
      </c>
      <c r="J419" s="16">
        <v>4.5</v>
      </c>
      <c r="K419" s="7">
        <v>10.08</v>
      </c>
      <c r="L419" s="10">
        <f t="shared" si="133"/>
        <v>0.21360970733186765</v>
      </c>
      <c r="M419" s="12"/>
      <c r="N419" s="11">
        <f t="shared" si="142"/>
        <v>-8.8038165137614683</v>
      </c>
      <c r="O419">
        <f t="shared" si="128"/>
        <v>0.92525071590000008</v>
      </c>
      <c r="P419">
        <f t="shared" si="129"/>
        <v>16.031547311268714</v>
      </c>
      <c r="Q419">
        <f t="shared" si="130"/>
        <v>1.4313881527918495</v>
      </c>
      <c r="R419">
        <f t="shared" si="131"/>
        <v>7.5770400000000002E-3</v>
      </c>
    </row>
    <row r="420" spans="1:18" x14ac:dyDescent="0.3">
      <c r="A420">
        <v>1</v>
      </c>
      <c r="B420">
        <v>20</v>
      </c>
      <c r="C420">
        <v>6</v>
      </c>
      <c r="D420" s="16">
        <v>14</v>
      </c>
      <c r="E420" s="9">
        <v>10.28056351</v>
      </c>
      <c r="F420" s="7">
        <f t="shared" si="119"/>
        <v>13.617930560306414</v>
      </c>
      <c r="G420" s="6">
        <v>7.0444000000000004</v>
      </c>
      <c r="H420" s="8">
        <v>1.2628400000000001E-3</v>
      </c>
      <c r="I420" s="17">
        <f t="shared" si="141"/>
        <v>35.990688573902702</v>
      </c>
      <c r="J420" s="16">
        <v>4.5</v>
      </c>
      <c r="K420" s="7">
        <v>12.09</v>
      </c>
      <c r="L420" s="10">
        <f t="shared" si="133"/>
        <v>-0.27178638270709798</v>
      </c>
      <c r="M420" s="12"/>
      <c r="N420" s="11">
        <f t="shared" si="142"/>
        <v>-12.664922018348623</v>
      </c>
      <c r="O420">
        <f t="shared" si="128"/>
        <v>0.88780009168500018</v>
      </c>
      <c r="P420">
        <f t="shared" si="129"/>
        <v>19.228314185837178</v>
      </c>
      <c r="Q420">
        <f t="shared" si="130"/>
        <v>1.373451013274084</v>
      </c>
      <c r="R420">
        <f t="shared" si="131"/>
        <v>7.5770400000000002E-3</v>
      </c>
    </row>
    <row r="421" spans="1:18" x14ac:dyDescent="0.3">
      <c r="A421">
        <v>1</v>
      </c>
      <c r="B421">
        <v>20</v>
      </c>
      <c r="C421">
        <v>6</v>
      </c>
      <c r="D421" s="16">
        <v>16.8</v>
      </c>
      <c r="E421" s="9">
        <v>10.28056351</v>
      </c>
      <c r="F421" s="7">
        <f t="shared" ref="F421:F484" si="143">(D421*10^-3)/(E421*10^-4)</f>
        <v>16.3415166723677</v>
      </c>
      <c r="G421" s="6">
        <v>7.0444000000000004</v>
      </c>
      <c r="H421" s="8">
        <v>1.2628400000000001E-3</v>
      </c>
      <c r="I421" s="17">
        <f t="shared" si="141"/>
        <v>43.188826288683245</v>
      </c>
      <c r="J421" s="16">
        <v>4.5</v>
      </c>
      <c r="K421" s="7">
        <v>16.46</v>
      </c>
      <c r="L421" s="10">
        <f t="shared" si="133"/>
        <v>-0.98298053021621268</v>
      </c>
      <c r="M421" s="12"/>
      <c r="N421" s="11">
        <f t="shared" si="142"/>
        <v>-23.475215086646276</v>
      </c>
      <c r="O421">
        <f t="shared" si="128"/>
        <v>1.0072504486583334</v>
      </c>
      <c r="P421">
        <f t="shared" si="129"/>
        <v>26.17849888328205</v>
      </c>
      <c r="Q421">
        <f t="shared" si="130"/>
        <v>1.5582439811477409</v>
      </c>
      <c r="R421">
        <f t="shared" si="131"/>
        <v>7.5770400000000002E-3</v>
      </c>
    </row>
    <row r="422" spans="1:18" x14ac:dyDescent="0.3">
      <c r="A422">
        <v>1</v>
      </c>
      <c r="B422">
        <v>20</v>
      </c>
      <c r="C422">
        <v>6</v>
      </c>
      <c r="D422" s="16">
        <v>20.100000000000001</v>
      </c>
      <c r="E422" s="9">
        <v>10.28056351</v>
      </c>
      <c r="F422" s="7">
        <f t="shared" si="143"/>
        <v>19.551457447297068</v>
      </c>
      <c r="G422" s="6">
        <v>7.0444000000000004</v>
      </c>
      <c r="H422" s="8">
        <v>1.2628400000000001E-3</v>
      </c>
      <c r="I422" s="17">
        <f t="shared" si="141"/>
        <v>51.672345738246023</v>
      </c>
      <c r="J422" s="16">
        <v>4.5</v>
      </c>
      <c r="K422" s="7">
        <v>22.51</v>
      </c>
      <c r="L422" s="10">
        <f t="shared" si="133"/>
        <v>-1.7352261232978536</v>
      </c>
      <c r="M422" s="12"/>
      <c r="N422" s="11">
        <f t="shared" si="142"/>
        <v>-43.903678389398578</v>
      </c>
      <c r="O422">
        <f t="shared" si="128"/>
        <v>1.1513208189557216</v>
      </c>
      <c r="P422">
        <f t="shared" si="129"/>
        <v>35.800608132605035</v>
      </c>
      <c r="Q422">
        <f t="shared" si="130"/>
        <v>1.7811247827166683</v>
      </c>
      <c r="R422">
        <f t="shared" si="131"/>
        <v>7.5770400000000002E-3</v>
      </c>
    </row>
    <row r="423" spans="1:18" x14ac:dyDescent="0.3">
      <c r="A423">
        <v>1</v>
      </c>
      <c r="B423">
        <v>30</v>
      </c>
      <c r="C423">
        <v>1</v>
      </c>
      <c r="D423" s="16">
        <v>3.6</v>
      </c>
      <c r="E423" s="9">
        <v>15.42084526</v>
      </c>
      <c r="F423" s="6">
        <f t="shared" si="143"/>
        <v>2.3345023825237452</v>
      </c>
      <c r="G423" s="6">
        <v>7.6656000000000004</v>
      </c>
      <c r="H423" s="8">
        <v>9.1083599999999994E-3</v>
      </c>
      <c r="I423" s="17">
        <f>F423/((E423*10^-4)/(G423*10^-2)*9.81)^(1/2)</f>
        <v>5.255073624228574</v>
      </c>
      <c r="J423" s="16">
        <v>4.5</v>
      </c>
      <c r="K423" s="7">
        <v>0</v>
      </c>
      <c r="L423" s="10">
        <f t="shared" si="133"/>
        <v>36.346257740493073</v>
      </c>
      <c r="M423" s="12"/>
      <c r="N423" s="11">
        <f>-(1.7*K423^2)/19.62</f>
        <v>0</v>
      </c>
      <c r="O423">
        <f t="shared" si="128"/>
        <v>0</v>
      </c>
      <c r="P423">
        <f t="shared" si="129"/>
        <v>0</v>
      </c>
      <c r="Q423">
        <f t="shared" si="130"/>
        <v>0</v>
      </c>
      <c r="R423">
        <f t="shared" si="131"/>
        <v>9.1083599999999994E-3</v>
      </c>
    </row>
    <row r="424" spans="1:18" x14ac:dyDescent="0.3">
      <c r="A424">
        <v>1</v>
      </c>
      <c r="B424">
        <v>30</v>
      </c>
      <c r="C424">
        <v>1</v>
      </c>
      <c r="D424" s="16">
        <v>7.2</v>
      </c>
      <c r="E424" s="9">
        <v>15.42084526</v>
      </c>
      <c r="F424" s="6">
        <f t="shared" si="143"/>
        <v>4.6690047650474904</v>
      </c>
      <c r="G424" s="6">
        <v>7.6656000000000004</v>
      </c>
      <c r="H424" s="8">
        <v>9.1083599999999994E-3</v>
      </c>
      <c r="I424" s="17">
        <f t="shared" ref="I424:I429" si="144">F424/((E424*10^-4)/(G424*10^-2)*9.81)^(1/2)</f>
        <v>10.510147248457148</v>
      </c>
      <c r="J424" s="16">
        <v>4.5</v>
      </c>
      <c r="K424" s="7">
        <v>1.39</v>
      </c>
      <c r="L424" s="10">
        <f t="shared" si="133"/>
        <v>8.9358933598784773</v>
      </c>
      <c r="M424" s="12"/>
      <c r="N424" s="11">
        <f t="shared" ref="N424:N429" si="145">-(1.7*K424^2)/19.62</f>
        <v>-0.16740927624872576</v>
      </c>
      <c r="O424">
        <f t="shared" si="128"/>
        <v>0.2977079848805555</v>
      </c>
      <c r="P424">
        <f t="shared" si="129"/>
        <v>2.2106994804229672</v>
      </c>
      <c r="Q424">
        <f t="shared" si="130"/>
        <v>0.30704159450318985</v>
      </c>
      <c r="R424">
        <f t="shared" si="131"/>
        <v>9.1083599999999994E-3</v>
      </c>
    </row>
    <row r="425" spans="1:18" x14ac:dyDescent="0.3">
      <c r="A425">
        <v>1</v>
      </c>
      <c r="B425">
        <v>30</v>
      </c>
      <c r="C425">
        <v>1</v>
      </c>
      <c r="D425" s="16">
        <v>10.8</v>
      </c>
      <c r="E425" s="9">
        <v>15.42084526</v>
      </c>
      <c r="F425" s="6">
        <f t="shared" si="143"/>
        <v>7.0035071475712352</v>
      </c>
      <c r="G425" s="6">
        <v>7.6656000000000004</v>
      </c>
      <c r="H425" s="8">
        <v>9.1083599999999994E-3</v>
      </c>
      <c r="I425" s="17">
        <f t="shared" si="144"/>
        <v>15.765220872685722</v>
      </c>
      <c r="J425" s="16">
        <v>4.5</v>
      </c>
      <c r="K425" s="7">
        <v>3.34</v>
      </c>
      <c r="L425" s="10">
        <f t="shared" si="133"/>
        <v>3.6518295920042991</v>
      </c>
      <c r="M425" s="12"/>
      <c r="N425" s="11">
        <f t="shared" si="145"/>
        <v>-0.96659123343527009</v>
      </c>
      <c r="O425">
        <f t="shared" si="128"/>
        <v>0.47690391822592587</v>
      </c>
      <c r="P425">
        <f t="shared" si="129"/>
        <v>5.3120404781386412</v>
      </c>
      <c r="Q425">
        <f t="shared" si="130"/>
        <v>0.49185559982765192</v>
      </c>
      <c r="R425">
        <f t="shared" si="131"/>
        <v>9.1083599999999994E-3</v>
      </c>
    </row>
    <row r="426" spans="1:18" x14ac:dyDescent="0.3">
      <c r="A426">
        <v>1</v>
      </c>
      <c r="B426">
        <v>30</v>
      </c>
      <c r="C426">
        <v>1</v>
      </c>
      <c r="D426" s="16">
        <v>14.4</v>
      </c>
      <c r="E426" s="9">
        <v>15.42084526</v>
      </c>
      <c r="F426" s="6">
        <f t="shared" si="143"/>
        <v>9.3380095300949808</v>
      </c>
      <c r="G426" s="6">
        <v>7.6656000000000004</v>
      </c>
      <c r="H426" s="8">
        <v>9.1083599999999994E-3</v>
      </c>
      <c r="I426" s="17">
        <f t="shared" si="144"/>
        <v>21.020294496914296</v>
      </c>
      <c r="J426" s="16">
        <v>4.5</v>
      </c>
      <c r="K426" s="7">
        <v>6.22</v>
      </c>
      <c r="L426" s="10">
        <f t="shared" si="133"/>
        <v>1.517381129030736</v>
      </c>
      <c r="M426" s="12"/>
      <c r="N426" s="11">
        <f t="shared" si="145"/>
        <v>-3.3522059123343517</v>
      </c>
      <c r="O426">
        <f t="shared" si="128"/>
        <v>0.6660948438694444</v>
      </c>
      <c r="P426">
        <f t="shared" si="129"/>
        <v>9.8924825670725589</v>
      </c>
      <c r="Q426">
        <f t="shared" si="130"/>
        <v>0.68697795604670542</v>
      </c>
      <c r="R426">
        <f t="shared" si="131"/>
        <v>9.1083599999999994E-3</v>
      </c>
    </row>
    <row r="427" spans="1:18" x14ac:dyDescent="0.3">
      <c r="A427">
        <v>1</v>
      </c>
      <c r="B427">
        <v>30</v>
      </c>
      <c r="C427">
        <v>1</v>
      </c>
      <c r="D427" s="16">
        <v>18</v>
      </c>
      <c r="E427" s="9">
        <v>15.42084526</v>
      </c>
      <c r="F427" s="6">
        <f t="shared" si="143"/>
        <v>11.672511912618726</v>
      </c>
      <c r="G427" s="6">
        <v>7.6656000000000004</v>
      </c>
      <c r="H427" s="8">
        <v>9.1083599999999994E-3</v>
      </c>
      <c r="I427" s="17">
        <f t="shared" si="144"/>
        <v>26.275368121142872</v>
      </c>
      <c r="J427" s="16">
        <v>4.5</v>
      </c>
      <c r="K427" s="7">
        <v>10.039999999999999</v>
      </c>
      <c r="L427" s="10">
        <f t="shared" si="133"/>
        <v>0.19611951238188197</v>
      </c>
      <c r="M427" s="12"/>
      <c r="N427" s="11">
        <f t="shared" si="145"/>
        <v>-8.7340835881753289</v>
      </c>
      <c r="O427">
        <f t="shared" si="128"/>
        <v>0.86014048005777766</v>
      </c>
      <c r="P427">
        <f t="shared" si="129"/>
        <v>15.967930060033519</v>
      </c>
      <c r="Q427">
        <f t="shared" si="130"/>
        <v>0.88710722555741772</v>
      </c>
      <c r="R427">
        <f t="shared" si="131"/>
        <v>9.1083599999999994E-3</v>
      </c>
    </row>
    <row r="428" spans="1:18" x14ac:dyDescent="0.3">
      <c r="A428">
        <v>1</v>
      </c>
      <c r="B428">
        <v>30</v>
      </c>
      <c r="C428">
        <v>1</v>
      </c>
      <c r="D428" s="16">
        <v>21.6</v>
      </c>
      <c r="E428" s="9">
        <v>15.42084526</v>
      </c>
      <c r="F428" s="6">
        <f t="shared" si="143"/>
        <v>14.00701429514247</v>
      </c>
      <c r="G428" s="6">
        <v>7.6656000000000004</v>
      </c>
      <c r="H428" s="8">
        <v>9.1083599999999994E-3</v>
      </c>
      <c r="I428" s="17">
        <f t="shared" si="144"/>
        <v>31.530441745371444</v>
      </c>
      <c r="J428" s="16">
        <v>4.5</v>
      </c>
      <c r="K428" s="7">
        <v>14.66</v>
      </c>
      <c r="L428" s="10">
        <f t="shared" si="133"/>
        <v>-0.85257913920820116</v>
      </c>
      <c r="M428" s="12"/>
      <c r="N428" s="11">
        <f t="shared" si="145"/>
        <v>-18.621637104994903</v>
      </c>
      <c r="O428">
        <f t="shared" si="128"/>
        <v>1.0466184792203703</v>
      </c>
      <c r="P428">
        <f t="shared" si="129"/>
        <v>23.315722577698345</v>
      </c>
      <c r="Q428">
        <f t="shared" si="130"/>
        <v>1.0794316008193678</v>
      </c>
      <c r="R428">
        <f t="shared" si="131"/>
        <v>9.1083599999999994E-3</v>
      </c>
    </row>
    <row r="429" spans="1:18" x14ac:dyDescent="0.3">
      <c r="A429">
        <v>1</v>
      </c>
      <c r="B429">
        <v>30</v>
      </c>
      <c r="C429">
        <v>1</v>
      </c>
      <c r="D429" s="16">
        <v>25.6</v>
      </c>
      <c r="E429" s="9">
        <v>15.42084526</v>
      </c>
      <c r="F429" s="6">
        <f t="shared" si="143"/>
        <v>16.600905831279963</v>
      </c>
      <c r="G429" s="6">
        <v>7.6656000000000004</v>
      </c>
      <c r="H429" s="8">
        <v>9.1083599999999994E-3</v>
      </c>
      <c r="I429" s="17">
        <f t="shared" si="144"/>
        <v>37.369412438958747</v>
      </c>
      <c r="J429" s="16">
        <v>4.5</v>
      </c>
      <c r="K429" s="7">
        <v>20.54</v>
      </c>
      <c r="L429" s="10">
        <f t="shared" si="133"/>
        <v>-1.8837115273269152</v>
      </c>
      <c r="M429" s="12"/>
      <c r="N429" s="11">
        <f t="shared" si="145"/>
        <v>-36.555337410805294</v>
      </c>
      <c r="O429">
        <f t="shared" si="128"/>
        <v>1.2372818814078126</v>
      </c>
      <c r="P429">
        <f t="shared" si="129"/>
        <v>32.667458509271768</v>
      </c>
      <c r="Q429">
        <f t="shared" si="130"/>
        <v>1.2760725980184284</v>
      </c>
      <c r="R429">
        <f t="shared" si="131"/>
        <v>9.1083599999999994E-3</v>
      </c>
    </row>
    <row r="430" spans="1:18" x14ac:dyDescent="0.3">
      <c r="A430">
        <v>1</v>
      </c>
      <c r="B430">
        <v>30</v>
      </c>
      <c r="C430">
        <v>2</v>
      </c>
      <c r="D430" s="16">
        <v>3.6</v>
      </c>
      <c r="E430" s="9">
        <v>15.42084526</v>
      </c>
      <c r="F430" s="6">
        <f t="shared" si="143"/>
        <v>2.3345023825237452</v>
      </c>
      <c r="G430" s="6">
        <v>7.6656000000000004</v>
      </c>
      <c r="H430" s="8">
        <v>4.5541799999999997E-3</v>
      </c>
      <c r="I430" s="17">
        <f>F430/((E430*10^-4)/(G430*10^-2)*9.81)^(1/2)</f>
        <v>5.255073624228574</v>
      </c>
      <c r="J430" s="16">
        <v>4.5</v>
      </c>
      <c r="K430" s="7">
        <v>0.54</v>
      </c>
      <c r="L430" s="10">
        <f t="shared" si="133"/>
        <v>36.25529829627925</v>
      </c>
      <c r="M430" s="12"/>
      <c r="N430" s="11">
        <f>-(1.7*K430^2)/19.62</f>
        <v>-2.5266055045871563E-2</v>
      </c>
      <c r="O430">
        <f t="shared" si="128"/>
        <v>0.23131267889999998</v>
      </c>
      <c r="P430">
        <f t="shared" si="129"/>
        <v>0.85883289167510968</v>
      </c>
      <c r="Q430">
        <f t="shared" si="130"/>
        <v>0.2385646921319749</v>
      </c>
      <c r="R430">
        <f t="shared" si="131"/>
        <v>9.1083599999999994E-3</v>
      </c>
    </row>
    <row r="431" spans="1:18" x14ac:dyDescent="0.3">
      <c r="A431">
        <v>1</v>
      </c>
      <c r="B431">
        <v>30</v>
      </c>
      <c r="C431">
        <v>2</v>
      </c>
      <c r="D431" s="16">
        <v>7.2</v>
      </c>
      <c r="E431" s="9">
        <v>15.42084526</v>
      </c>
      <c r="F431" s="6">
        <f t="shared" si="143"/>
        <v>4.6690047650474904</v>
      </c>
      <c r="G431" s="6">
        <v>7.6656000000000004</v>
      </c>
      <c r="H431" s="8">
        <v>4.5541799999999997E-3</v>
      </c>
      <c r="I431" s="17">
        <f t="shared" ref="I431:I436" si="146">F431/((E431*10^-4)/(G431*10^-2)*9.81)^(1/2)</f>
        <v>10.510147248457148</v>
      </c>
      <c r="J431" s="16">
        <v>4.5</v>
      </c>
      <c r="K431" s="7">
        <v>2.02</v>
      </c>
      <c r="L431" s="10">
        <f t="shared" si="133"/>
        <v>8.7683623465000906</v>
      </c>
      <c r="M431" s="12"/>
      <c r="N431" s="11">
        <f t="shared" ref="N431:N436" si="147">-(1.7*K431^2)/19.62</f>
        <v>-0.35355147808358817</v>
      </c>
      <c r="O431">
        <f t="shared" si="128"/>
        <v>0.43264038090555551</v>
      </c>
      <c r="P431">
        <f t="shared" si="129"/>
        <v>3.212671187377262</v>
      </c>
      <c r="Q431">
        <f t="shared" si="130"/>
        <v>0.44620433158017525</v>
      </c>
      <c r="R431">
        <f t="shared" si="131"/>
        <v>9.1083599999999994E-3</v>
      </c>
    </row>
    <row r="432" spans="1:18" x14ac:dyDescent="0.3">
      <c r="A432">
        <v>1</v>
      </c>
      <c r="B432">
        <v>30</v>
      </c>
      <c r="C432">
        <v>2</v>
      </c>
      <c r="D432" s="16">
        <v>10.8</v>
      </c>
      <c r="E432" s="9">
        <v>15.42084526</v>
      </c>
      <c r="F432" s="6">
        <f t="shared" si="143"/>
        <v>7.0035071475712352</v>
      </c>
      <c r="G432" s="6">
        <v>7.6656000000000004</v>
      </c>
      <c r="H432" s="8">
        <v>4.5541799999999997E-3</v>
      </c>
      <c r="I432" s="17">
        <f t="shared" si="146"/>
        <v>15.765220872685722</v>
      </c>
      <c r="J432" s="16">
        <v>4.5</v>
      </c>
      <c r="K432" s="7">
        <v>4.88</v>
      </c>
      <c r="L432" s="10">
        <f t="shared" si="133"/>
        <v>3.2130864840886186</v>
      </c>
      <c r="M432" s="12"/>
      <c r="N432" s="11">
        <f t="shared" si="147"/>
        <v>-2.0634291539245666</v>
      </c>
      <c r="O432">
        <f t="shared" si="128"/>
        <v>0.69679374878518519</v>
      </c>
      <c r="P432">
        <f t="shared" si="129"/>
        <v>7.7613046506935843</v>
      </c>
      <c r="Q432">
        <f t="shared" si="130"/>
        <v>0.71863931950866522</v>
      </c>
      <c r="R432">
        <f t="shared" si="131"/>
        <v>9.1083599999999994E-3</v>
      </c>
    </row>
    <row r="433" spans="1:18" x14ac:dyDescent="0.3">
      <c r="A433">
        <v>1</v>
      </c>
      <c r="B433">
        <v>30</v>
      </c>
      <c r="C433">
        <v>2</v>
      </c>
      <c r="D433" s="16">
        <v>14.4</v>
      </c>
      <c r="E433" s="9">
        <v>15.42084526</v>
      </c>
      <c r="F433" s="6">
        <f t="shared" si="143"/>
        <v>9.3380095300949808</v>
      </c>
      <c r="G433" s="6">
        <v>7.6656000000000004</v>
      </c>
      <c r="H433" s="8">
        <v>4.5541799999999997E-3</v>
      </c>
      <c r="I433" s="17">
        <f t="shared" si="146"/>
        <v>21.020294496914296</v>
      </c>
      <c r="J433" s="16">
        <v>4.5</v>
      </c>
      <c r="K433" s="7">
        <v>7.53</v>
      </c>
      <c r="L433" s="10">
        <f t="shared" si="133"/>
        <v>1.1662136502709954</v>
      </c>
      <c r="M433" s="12"/>
      <c r="N433" s="11">
        <f t="shared" si="147"/>
        <v>-4.912922018348624</v>
      </c>
      <c r="O433">
        <f t="shared" si="128"/>
        <v>0.80638170005416665</v>
      </c>
      <c r="P433">
        <f t="shared" si="129"/>
        <v>11.975947545025139</v>
      </c>
      <c r="Q433">
        <f t="shared" si="130"/>
        <v>0.83166302396007907</v>
      </c>
      <c r="R433">
        <f t="shared" si="131"/>
        <v>9.1083599999999994E-3</v>
      </c>
    </row>
    <row r="434" spans="1:18" x14ac:dyDescent="0.3">
      <c r="A434">
        <v>1</v>
      </c>
      <c r="B434">
        <v>30</v>
      </c>
      <c r="C434">
        <v>2</v>
      </c>
      <c r="D434" s="16">
        <v>18</v>
      </c>
      <c r="E434" s="9">
        <v>15.42084526</v>
      </c>
      <c r="F434" s="6">
        <f t="shared" si="143"/>
        <v>11.672511912618726</v>
      </c>
      <c r="G434" s="6">
        <v>7.6656000000000004</v>
      </c>
      <c r="H434" s="8">
        <v>4.5541799999999997E-3</v>
      </c>
      <c r="I434" s="17">
        <f t="shared" si="146"/>
        <v>26.275368121142872</v>
      </c>
      <c r="J434" s="16">
        <v>4.5</v>
      </c>
      <c r="K434" s="7">
        <v>12.25</v>
      </c>
      <c r="L434" s="10">
        <f t="shared" si="133"/>
        <v>-0.41852302334824143</v>
      </c>
      <c r="M434" s="12"/>
      <c r="N434" s="11">
        <f t="shared" si="147"/>
        <v>-13.002357288481141</v>
      </c>
      <c r="O434">
        <f t="shared" si="128"/>
        <v>1.0494741913055554</v>
      </c>
      <c r="P434">
        <f t="shared" si="129"/>
        <v>19.482783190777951</v>
      </c>
      <c r="Q434">
        <f t="shared" si="130"/>
        <v>1.0823768439321084</v>
      </c>
      <c r="R434">
        <f t="shared" si="131"/>
        <v>9.1083599999999994E-3</v>
      </c>
    </row>
    <row r="435" spans="1:18" x14ac:dyDescent="0.3">
      <c r="A435">
        <v>1</v>
      </c>
      <c r="B435">
        <v>30</v>
      </c>
      <c r="C435">
        <v>2</v>
      </c>
      <c r="D435" s="16">
        <v>21.6</v>
      </c>
      <c r="E435" s="9">
        <v>15.42084526</v>
      </c>
      <c r="F435" s="6">
        <f t="shared" si="143"/>
        <v>14.00701429514247</v>
      </c>
      <c r="G435" s="6">
        <v>7.6656000000000004</v>
      </c>
      <c r="H435" s="8">
        <v>4.5541799999999997E-3</v>
      </c>
      <c r="I435" s="17">
        <f t="shared" si="146"/>
        <v>31.530441745371444</v>
      </c>
      <c r="J435" s="16">
        <v>4.5</v>
      </c>
      <c r="K435" s="7">
        <v>16.510000000000002</v>
      </c>
      <c r="L435" s="10">
        <f t="shared" si="133"/>
        <v>-1.3522296184480147</v>
      </c>
      <c r="M435" s="12"/>
      <c r="N435" s="11">
        <f t="shared" si="147"/>
        <v>-23.618051478083594</v>
      </c>
      <c r="O435">
        <f t="shared" si="128"/>
        <v>1.1786951631601852</v>
      </c>
      <c r="P435">
        <f t="shared" si="129"/>
        <v>26.258020447326039</v>
      </c>
      <c r="Q435">
        <f t="shared" si="130"/>
        <v>1.2156490947836129</v>
      </c>
      <c r="R435">
        <f t="shared" si="131"/>
        <v>9.1083599999999994E-3</v>
      </c>
    </row>
    <row r="436" spans="1:18" x14ac:dyDescent="0.3">
      <c r="A436">
        <v>1</v>
      </c>
      <c r="B436">
        <v>30</v>
      </c>
      <c r="C436">
        <v>2</v>
      </c>
      <c r="D436" s="16">
        <v>25.7</v>
      </c>
      <c r="E436" s="9">
        <v>15.42084526</v>
      </c>
      <c r="F436" s="6">
        <f t="shared" si="143"/>
        <v>16.665753119683401</v>
      </c>
      <c r="G436" s="6">
        <v>7.6656000000000004</v>
      </c>
      <c r="H436" s="8">
        <v>4.5541799999999997E-3</v>
      </c>
      <c r="I436" s="17">
        <f t="shared" si="146"/>
        <v>37.515386706298429</v>
      </c>
      <c r="J436" s="16">
        <v>4.5</v>
      </c>
      <c r="K436" s="7">
        <v>22.84</v>
      </c>
      <c r="L436" s="10">
        <f t="shared" si="133"/>
        <v>-2.4797646383302299</v>
      </c>
      <c r="M436" s="12"/>
      <c r="N436" s="11">
        <f t="shared" si="147"/>
        <v>-45.200383282364932</v>
      </c>
      <c r="O436">
        <f t="shared" si="128"/>
        <v>1.3704751196046694</v>
      </c>
      <c r="P436">
        <f t="shared" si="129"/>
        <v>36.325450455295382</v>
      </c>
      <c r="Q436">
        <f t="shared" si="130"/>
        <v>1.4134416519570188</v>
      </c>
      <c r="R436">
        <f t="shared" si="131"/>
        <v>9.1083599999999994E-3</v>
      </c>
    </row>
    <row r="437" spans="1:18" x14ac:dyDescent="0.3">
      <c r="A437">
        <v>1</v>
      </c>
      <c r="B437">
        <v>30</v>
      </c>
      <c r="C437">
        <v>4</v>
      </c>
      <c r="D437" s="16">
        <v>3.6</v>
      </c>
      <c r="E437" s="9">
        <v>15.42084526</v>
      </c>
      <c r="F437" s="6">
        <f t="shared" si="143"/>
        <v>2.3345023825237452</v>
      </c>
      <c r="G437" s="6">
        <v>7.6656000000000004</v>
      </c>
      <c r="H437" s="8">
        <v>2.2770899999999998E-3</v>
      </c>
      <c r="I437" s="17">
        <f>F437/((E437*10^-4)/(G437*10^-2)*9.81)^(1/2)</f>
        <v>5.255073624228574</v>
      </c>
      <c r="J437" s="16">
        <v>4.5</v>
      </c>
      <c r="K437" s="7">
        <v>0.62</v>
      </c>
      <c r="L437" s="10">
        <f t="shared" si="133"/>
        <v>36.226350983443027</v>
      </c>
      <c r="M437" s="12"/>
      <c r="N437" s="11">
        <f>-(1.7*K437^2)/19.62</f>
        <v>-3.3306829765545366E-2</v>
      </c>
      <c r="O437">
        <f t="shared" si="128"/>
        <v>0.26558122392222222</v>
      </c>
      <c r="P437">
        <f t="shared" si="129"/>
        <v>0.98606739414549638</v>
      </c>
      <c r="Q437">
        <f t="shared" si="130"/>
        <v>0.27390760948486009</v>
      </c>
      <c r="R437">
        <f t="shared" si="131"/>
        <v>9.1083599999999994E-3</v>
      </c>
    </row>
    <row r="438" spans="1:18" x14ac:dyDescent="0.3">
      <c r="A438">
        <v>1</v>
      </c>
      <c r="B438">
        <v>30</v>
      </c>
      <c r="C438">
        <v>4</v>
      </c>
      <c r="D438" s="16">
        <v>7.2</v>
      </c>
      <c r="E438" s="9">
        <v>15.42084526</v>
      </c>
      <c r="F438" s="6">
        <f t="shared" si="143"/>
        <v>4.6690047650474904</v>
      </c>
      <c r="G438" s="6">
        <v>7.6656000000000004</v>
      </c>
      <c r="H438" s="8">
        <v>2.2770899999999998E-3</v>
      </c>
      <c r="I438" s="17">
        <f t="shared" ref="I438:I443" si="148">F438/((E438*10^-4)/(G438*10^-2)*9.81)^(1/2)</f>
        <v>10.510147248457148</v>
      </c>
      <c r="J438" s="16">
        <v>4.5</v>
      </c>
      <c r="K438" s="7">
        <v>2.5099999999999998</v>
      </c>
      <c r="L438" s="10">
        <f t="shared" si="133"/>
        <v>8.5952633424522347</v>
      </c>
      <c r="M438" s="12"/>
      <c r="N438" s="11">
        <f t="shared" ref="N438:N443" si="149">-(1.7*K438^2)/19.62</f>
        <v>-0.54588022426095806</v>
      </c>
      <c r="O438">
        <f t="shared" si="128"/>
        <v>0.53758780003611106</v>
      </c>
      <c r="P438">
        <f t="shared" si="129"/>
        <v>3.9919825150083796</v>
      </c>
      <c r="Q438">
        <f t="shared" si="130"/>
        <v>0.55444201597338605</v>
      </c>
      <c r="R438">
        <f t="shared" si="131"/>
        <v>9.1083599999999994E-3</v>
      </c>
    </row>
    <row r="439" spans="1:18" x14ac:dyDescent="0.3">
      <c r="A439">
        <v>1</v>
      </c>
      <c r="B439">
        <v>30</v>
      </c>
      <c r="C439">
        <v>4</v>
      </c>
      <c r="D439" s="16">
        <v>10.8</v>
      </c>
      <c r="E439" s="9">
        <v>15.42084526</v>
      </c>
      <c r="F439" s="6">
        <f t="shared" si="143"/>
        <v>7.0035071475712352</v>
      </c>
      <c r="G439" s="6">
        <v>7.6656000000000004</v>
      </c>
      <c r="H439" s="8">
        <v>2.2770899999999998E-3</v>
      </c>
      <c r="I439" s="17">
        <f t="shared" si="148"/>
        <v>15.765220872685722</v>
      </c>
      <c r="J439" s="16">
        <v>4.5</v>
      </c>
      <c r="K439" s="7">
        <v>5.92</v>
      </c>
      <c r="L439" s="10">
        <f t="shared" si="133"/>
        <v>2.8237950356014849</v>
      </c>
      <c r="M439" s="12"/>
      <c r="N439" s="11">
        <f t="shared" si="149"/>
        <v>-3.0366401630988786</v>
      </c>
      <c r="O439">
        <f t="shared" si="128"/>
        <v>0.84529077721481483</v>
      </c>
      <c r="P439">
        <f t="shared" si="129"/>
        <v>9.4153531828086106</v>
      </c>
      <c r="Q439">
        <f t="shared" si="130"/>
        <v>0.87179196137116755</v>
      </c>
      <c r="R439">
        <f t="shared" si="131"/>
        <v>9.1083599999999994E-3</v>
      </c>
    </row>
    <row r="440" spans="1:18" x14ac:dyDescent="0.3">
      <c r="A440">
        <v>1</v>
      </c>
      <c r="B440">
        <v>30</v>
      </c>
      <c r="C440">
        <v>4</v>
      </c>
      <c r="D440" s="16">
        <v>14.4</v>
      </c>
      <c r="E440" s="9">
        <v>15.42084526</v>
      </c>
      <c r="F440" s="6">
        <f t="shared" si="143"/>
        <v>9.3380095300949808</v>
      </c>
      <c r="G440" s="6">
        <v>7.6656000000000004</v>
      </c>
      <c r="H440" s="8">
        <v>2.2770899999999998E-3</v>
      </c>
      <c r="I440" s="17">
        <f t="shared" si="148"/>
        <v>21.020294496914296</v>
      </c>
      <c r="J440" s="16">
        <v>4.5</v>
      </c>
      <c r="K440" s="7">
        <v>9.7899999999999991</v>
      </c>
      <c r="L440" s="10">
        <f t="shared" si="133"/>
        <v>0.40308699630356981</v>
      </c>
      <c r="M440" s="12"/>
      <c r="N440" s="11">
        <f t="shared" si="149"/>
        <v>-8.3045346585117201</v>
      </c>
      <c r="O440">
        <f t="shared" si="128"/>
        <v>1.048403299273611</v>
      </c>
      <c r="P440">
        <f t="shared" si="129"/>
        <v>15.57032223981356</v>
      </c>
      <c r="Q440">
        <f t="shared" si="130"/>
        <v>1.0812723777648305</v>
      </c>
      <c r="R440">
        <f t="shared" si="131"/>
        <v>9.1083599999999994E-3</v>
      </c>
    </row>
    <row r="441" spans="1:18" x14ac:dyDescent="0.3">
      <c r="A441">
        <v>1</v>
      </c>
      <c r="B441">
        <v>30</v>
      </c>
      <c r="C441">
        <v>4</v>
      </c>
      <c r="D441" s="16">
        <v>18</v>
      </c>
      <c r="E441" s="9">
        <v>15.42084526</v>
      </c>
      <c r="F441" s="6">
        <f t="shared" si="143"/>
        <v>11.672511912618726</v>
      </c>
      <c r="G441" s="6">
        <v>7.6656000000000004</v>
      </c>
      <c r="H441" s="8">
        <v>2.2770899999999998E-3</v>
      </c>
      <c r="I441" s="17">
        <f t="shared" si="148"/>
        <v>26.275368121142872</v>
      </c>
      <c r="J441" s="16">
        <v>4.5</v>
      </c>
      <c r="K441" s="7">
        <v>12.78</v>
      </c>
      <c r="L441" s="10">
        <f t="shared" si="133"/>
        <v>-0.5840455049663652</v>
      </c>
      <c r="M441" s="12"/>
      <c r="N441" s="11">
        <f t="shared" si="149"/>
        <v>-14.151798165137613</v>
      </c>
      <c r="O441">
        <f t="shared" si="128"/>
        <v>1.0948800134599999</v>
      </c>
      <c r="P441">
        <f t="shared" si="129"/>
        <v>20.325711769644261</v>
      </c>
      <c r="Q441">
        <f t="shared" si="130"/>
        <v>1.1292062094246811</v>
      </c>
      <c r="R441">
        <f t="shared" si="131"/>
        <v>9.1083599999999994E-3</v>
      </c>
    </row>
    <row r="442" spans="1:18" x14ac:dyDescent="0.3">
      <c r="A442">
        <v>1</v>
      </c>
      <c r="B442">
        <v>30</v>
      </c>
      <c r="C442">
        <v>4</v>
      </c>
      <c r="D442" s="16">
        <v>21.6</v>
      </c>
      <c r="E442" s="9">
        <v>15.42084526</v>
      </c>
      <c r="F442" s="6">
        <f t="shared" si="143"/>
        <v>14.00701429514247</v>
      </c>
      <c r="G442" s="6">
        <v>7.6656000000000004</v>
      </c>
      <c r="H442" s="8">
        <v>2.2770899999999998E-3</v>
      </c>
      <c r="I442" s="17">
        <f t="shared" si="148"/>
        <v>31.530441745371444</v>
      </c>
      <c r="J442" s="16">
        <v>4.5</v>
      </c>
      <c r="K442" s="7">
        <v>14.98</v>
      </c>
      <c r="L442" s="10">
        <f t="shared" si="133"/>
        <v>-0.9347628894443738</v>
      </c>
      <c r="M442" s="12"/>
      <c r="N442" s="11">
        <f t="shared" si="149"/>
        <v>-19.443459734964321</v>
      </c>
      <c r="O442">
        <f t="shared" si="128"/>
        <v>1.0694641759018519</v>
      </c>
      <c r="P442">
        <f t="shared" si="129"/>
        <v>23.824660587579896</v>
      </c>
      <c r="Q442">
        <f t="shared" si="130"/>
        <v>1.1029935457212914</v>
      </c>
      <c r="R442">
        <f t="shared" si="131"/>
        <v>9.1083599999999994E-3</v>
      </c>
    </row>
    <row r="443" spans="1:18" x14ac:dyDescent="0.3">
      <c r="A443">
        <v>1</v>
      </c>
      <c r="B443">
        <v>30</v>
      </c>
      <c r="C443">
        <v>4</v>
      </c>
      <c r="D443" s="16">
        <v>25.5</v>
      </c>
      <c r="E443" s="9">
        <v>15.42084526</v>
      </c>
      <c r="F443" s="6">
        <f t="shared" si="143"/>
        <v>16.536058542876528</v>
      </c>
      <c r="G443" s="6">
        <v>7.6656000000000004</v>
      </c>
      <c r="H443" s="8">
        <v>2.2770899999999998E-3</v>
      </c>
      <c r="I443" s="17">
        <f t="shared" si="148"/>
        <v>37.223438171619065</v>
      </c>
      <c r="J443" s="16">
        <v>4.5</v>
      </c>
      <c r="K443" s="7">
        <v>19.39</v>
      </c>
      <c r="L443" s="10">
        <f t="shared" si="133"/>
        <v>-1.6130305095493331</v>
      </c>
      <c r="M443" s="12"/>
      <c r="N443" s="11">
        <f t="shared" si="149"/>
        <v>-32.576583588175325</v>
      </c>
      <c r="O443">
        <f t="shared" si="128"/>
        <v>1.1725889787898038</v>
      </c>
      <c r="P443">
        <f t="shared" si="129"/>
        <v>30.838462536259961</v>
      </c>
      <c r="Q443">
        <f t="shared" si="130"/>
        <v>1.2093514720101946</v>
      </c>
      <c r="R443">
        <f t="shared" si="131"/>
        <v>9.1083599999999994E-3</v>
      </c>
    </row>
    <row r="444" spans="1:18" x14ac:dyDescent="0.3">
      <c r="A444">
        <v>1</v>
      </c>
      <c r="B444">
        <v>30</v>
      </c>
      <c r="C444">
        <v>6</v>
      </c>
      <c r="D444" s="16">
        <v>3.6</v>
      </c>
      <c r="E444" s="9">
        <v>15.42084526</v>
      </c>
      <c r="F444" s="6">
        <f t="shared" si="143"/>
        <v>2.3345023825237452</v>
      </c>
      <c r="G444" s="6">
        <v>7.6656000000000004</v>
      </c>
      <c r="H444" s="8">
        <v>1.5180599999999999E-3</v>
      </c>
      <c r="I444" s="17">
        <f>F444/((E444*10^-4)/(G444*10^-2)*9.81)^(1/2)</f>
        <v>5.255073624228574</v>
      </c>
      <c r="J444" s="16">
        <v>4.5</v>
      </c>
      <c r="K444" s="7">
        <v>0.4</v>
      </c>
      <c r="L444" s="10">
        <f t="shared" si="133"/>
        <v>36.296348580430617</v>
      </c>
      <c r="M444" s="12"/>
      <c r="N444" s="11">
        <f>-(1.7*K444^2)/19.62</f>
        <v>-1.3863404689092763E-2</v>
      </c>
      <c r="O444">
        <f t="shared" si="128"/>
        <v>0.17134272511111109</v>
      </c>
      <c r="P444">
        <f t="shared" si="129"/>
        <v>0.63617251235193317</v>
      </c>
      <c r="Q444">
        <f t="shared" si="130"/>
        <v>0.17671458676442589</v>
      </c>
      <c r="R444">
        <f t="shared" si="131"/>
        <v>9.1083599999999994E-3</v>
      </c>
    </row>
    <row r="445" spans="1:18" x14ac:dyDescent="0.3">
      <c r="A445">
        <v>1</v>
      </c>
      <c r="B445">
        <v>30</v>
      </c>
      <c r="C445">
        <v>6</v>
      </c>
      <c r="D445" s="16">
        <v>7.2</v>
      </c>
      <c r="E445" s="9">
        <v>15.42084526</v>
      </c>
      <c r="F445" s="6">
        <f t="shared" si="143"/>
        <v>4.6690047650474904</v>
      </c>
      <c r="G445" s="6">
        <v>7.6656000000000004</v>
      </c>
      <c r="H445" s="8">
        <v>1.5180599999999999E-3</v>
      </c>
      <c r="I445" s="17">
        <f t="shared" ref="I445:I450" si="150">F445/((E445*10^-4)/(G445*10^-2)*9.81)^(1/2)</f>
        <v>10.510147248457148</v>
      </c>
      <c r="J445" s="16">
        <v>4.5</v>
      </c>
      <c r="K445" s="7">
        <v>2.62</v>
      </c>
      <c r="L445" s="10">
        <f t="shared" si="133"/>
        <v>8.5512575002284201</v>
      </c>
      <c r="M445" s="12"/>
      <c r="N445" s="11">
        <f t="shared" ref="N445:N450" si="151">-(1.7*K445^2)/19.62</f>
        <v>-0.59477471967380224</v>
      </c>
      <c r="O445">
        <f t="shared" si="128"/>
        <v>0.5611474247388889</v>
      </c>
      <c r="P445">
        <f t="shared" si="129"/>
        <v>4.1669299559051618</v>
      </c>
      <c r="Q445">
        <f t="shared" si="130"/>
        <v>0.57874027165349473</v>
      </c>
      <c r="R445">
        <f t="shared" si="131"/>
        <v>9.1083599999999994E-3</v>
      </c>
    </row>
    <row r="446" spans="1:18" x14ac:dyDescent="0.3">
      <c r="A446">
        <v>1</v>
      </c>
      <c r="B446">
        <v>30</v>
      </c>
      <c r="C446">
        <v>6</v>
      </c>
      <c r="D446" s="16">
        <v>10.8</v>
      </c>
      <c r="E446" s="9">
        <v>15.42084526</v>
      </c>
      <c r="F446" s="6">
        <f t="shared" si="143"/>
        <v>7.0035071475712352</v>
      </c>
      <c r="G446" s="6">
        <v>7.6656000000000004</v>
      </c>
      <c r="H446" s="8">
        <v>1.5180599999999999E-3</v>
      </c>
      <c r="I446" s="17">
        <f t="shared" si="150"/>
        <v>15.765220872685722</v>
      </c>
      <c r="J446" s="16">
        <v>4.5</v>
      </c>
      <c r="K446" s="7">
        <v>4.99</v>
      </c>
      <c r="L446" s="10">
        <f t="shared" si="133"/>
        <v>3.175457056949865</v>
      </c>
      <c r="M446" s="12"/>
      <c r="N446" s="11">
        <f t="shared" si="151"/>
        <v>-2.157501019367992</v>
      </c>
      <c r="O446">
        <f t="shared" si="128"/>
        <v>0.71250016525370374</v>
      </c>
      <c r="P446">
        <f t="shared" si="129"/>
        <v>7.936252091590366</v>
      </c>
      <c r="Q446">
        <f t="shared" si="130"/>
        <v>0.73483815662873753</v>
      </c>
      <c r="R446">
        <f t="shared" si="131"/>
        <v>9.1083599999999994E-3</v>
      </c>
    </row>
    <row r="447" spans="1:18" x14ac:dyDescent="0.3">
      <c r="A447">
        <v>1</v>
      </c>
      <c r="B447">
        <v>30</v>
      </c>
      <c r="C447">
        <v>6</v>
      </c>
      <c r="D447" s="16">
        <v>14.4</v>
      </c>
      <c r="E447" s="9">
        <v>15.42084526</v>
      </c>
      <c r="F447" s="6">
        <f t="shared" si="143"/>
        <v>9.3380095300949808</v>
      </c>
      <c r="G447" s="6">
        <v>7.6656000000000004</v>
      </c>
      <c r="H447" s="8">
        <v>1.5180599999999999E-3</v>
      </c>
      <c r="I447" s="17">
        <f t="shared" si="150"/>
        <v>21.020294496914296</v>
      </c>
      <c r="J447" s="16">
        <v>4.5</v>
      </c>
      <c r="K447" s="7">
        <v>6.47</v>
      </c>
      <c r="L447" s="10">
        <f t="shared" si="133"/>
        <v>1.455530812508028</v>
      </c>
      <c r="M447" s="12"/>
      <c r="N447" s="11">
        <f t="shared" si="151"/>
        <v>-3.6270912334352698</v>
      </c>
      <c r="O447">
        <f t="shared" si="128"/>
        <v>0.69286714466805543</v>
      </c>
      <c r="P447">
        <f t="shared" si="129"/>
        <v>10.290090387292519</v>
      </c>
      <c r="Q447">
        <f t="shared" si="130"/>
        <v>0.7145896102286472</v>
      </c>
      <c r="R447">
        <f t="shared" si="131"/>
        <v>9.1083599999999994E-3</v>
      </c>
    </row>
    <row r="448" spans="1:18" x14ac:dyDescent="0.3">
      <c r="A448">
        <v>1</v>
      </c>
      <c r="B448">
        <v>30</v>
      </c>
      <c r="C448">
        <v>6</v>
      </c>
      <c r="D448" s="16">
        <v>18</v>
      </c>
      <c r="E448" s="9">
        <v>15.42084526</v>
      </c>
      <c r="F448" s="6">
        <f t="shared" si="143"/>
        <v>11.672511912618726</v>
      </c>
      <c r="G448" s="6">
        <v>7.6656000000000004</v>
      </c>
      <c r="H448" s="8">
        <v>1.5180599999999999E-3</v>
      </c>
      <c r="I448" s="17">
        <f t="shared" si="150"/>
        <v>26.275368121142872</v>
      </c>
      <c r="J448" s="16">
        <v>4.5</v>
      </c>
      <c r="K448" s="7">
        <v>7.67</v>
      </c>
      <c r="L448" s="10">
        <f t="shared" si="133"/>
        <v>0.71982506302021221</v>
      </c>
      <c r="M448" s="12"/>
      <c r="N448" s="11">
        <f t="shared" si="151"/>
        <v>-5.0973053007135576</v>
      </c>
      <c r="O448">
        <f t="shared" si="128"/>
        <v>0.65709935080111104</v>
      </c>
      <c r="P448">
        <f t="shared" si="129"/>
        <v>12.198607924348318</v>
      </c>
      <c r="Q448">
        <f t="shared" si="130"/>
        <v>0.67770044024157317</v>
      </c>
      <c r="R448">
        <f t="shared" si="131"/>
        <v>9.1083599999999994E-3</v>
      </c>
    </row>
    <row r="449" spans="1:18" x14ac:dyDescent="0.3">
      <c r="A449">
        <v>1</v>
      </c>
      <c r="B449">
        <v>30</v>
      </c>
      <c r="C449">
        <v>6</v>
      </c>
      <c r="D449" s="16">
        <v>21.6</v>
      </c>
      <c r="E449" s="9">
        <v>15.42084526</v>
      </c>
      <c r="F449" s="6">
        <f t="shared" si="143"/>
        <v>14.00701429514247</v>
      </c>
      <c r="G449" s="6">
        <v>7.6656000000000004</v>
      </c>
      <c r="H449" s="8">
        <v>1.5180599999999999E-3</v>
      </c>
      <c r="I449" s="17">
        <f t="shared" si="150"/>
        <v>31.530441745371444</v>
      </c>
      <c r="J449" s="16">
        <v>4.5</v>
      </c>
      <c r="K449" s="7">
        <v>10.36</v>
      </c>
      <c r="L449" s="10">
        <f t="shared" si="133"/>
        <v>7.9630391083304636E-2</v>
      </c>
      <c r="M449" s="12"/>
      <c r="N449" s="11">
        <f t="shared" si="151"/>
        <v>-9.2997104994903133</v>
      </c>
      <c r="O449">
        <f t="shared" si="128"/>
        <v>0.73962943006296289</v>
      </c>
      <c r="P449">
        <f t="shared" si="129"/>
        <v>16.476868069915067</v>
      </c>
      <c r="Q449">
        <f t="shared" si="130"/>
        <v>0.7628179661997716</v>
      </c>
      <c r="R449">
        <f t="shared" si="131"/>
        <v>9.1083599999999994E-3</v>
      </c>
    </row>
    <row r="450" spans="1:18" x14ac:dyDescent="0.3">
      <c r="A450">
        <v>1</v>
      </c>
      <c r="B450">
        <v>30</v>
      </c>
      <c r="C450">
        <v>6</v>
      </c>
      <c r="D450" s="16">
        <v>25.5</v>
      </c>
      <c r="E450" s="9">
        <v>15.42084526</v>
      </c>
      <c r="F450" s="6">
        <f t="shared" si="143"/>
        <v>16.536058542876528</v>
      </c>
      <c r="G450" s="6">
        <v>7.6656000000000004</v>
      </c>
      <c r="H450" s="8">
        <v>1.5180599999999999E-3</v>
      </c>
      <c r="I450" s="17">
        <f t="shared" si="150"/>
        <v>37.223438171619065</v>
      </c>
      <c r="J450" s="16">
        <v>4.5</v>
      </c>
      <c r="K450" s="7">
        <v>13.31</v>
      </c>
      <c r="L450" s="10">
        <f t="shared" si="133"/>
        <v>-0.37697990605051046</v>
      </c>
      <c r="M450" s="12"/>
      <c r="N450" s="11">
        <f t="shared" si="151"/>
        <v>-15.349916921508663</v>
      </c>
      <c r="O450">
        <f t="shared" si="128"/>
        <v>0.80490764866901954</v>
      </c>
      <c r="P450">
        <f t="shared" si="129"/>
        <v>21.168640348510575</v>
      </c>
      <c r="Q450">
        <f t="shared" si="130"/>
        <v>0.83014275876512056</v>
      </c>
      <c r="R450">
        <f t="shared" si="131"/>
        <v>9.1083599999999994E-3</v>
      </c>
    </row>
    <row r="451" spans="1:18" x14ac:dyDescent="0.3">
      <c r="A451">
        <v>1</v>
      </c>
      <c r="B451">
        <v>40</v>
      </c>
      <c r="C451">
        <v>1</v>
      </c>
      <c r="D451" s="16">
        <v>4.0999999999999996</v>
      </c>
      <c r="E451" s="9">
        <v>20.561127020000001</v>
      </c>
      <c r="F451" s="7">
        <f t="shared" si="143"/>
        <v>1.9940541177591533</v>
      </c>
      <c r="G451" s="6">
        <v>7.9885999999999999</v>
      </c>
      <c r="H451" s="8">
        <v>1.0389860000000001E-2</v>
      </c>
      <c r="I451" s="17">
        <f>F451/((E451*10^-4)/(G451*10^-2)*9.81)^(1/2)</f>
        <v>3.9683897296681891</v>
      </c>
      <c r="J451" s="16">
        <v>4.5</v>
      </c>
      <c r="K451" s="7">
        <v>0</v>
      </c>
      <c r="L451" s="10">
        <f t="shared" si="133"/>
        <v>49.81664359809659</v>
      </c>
      <c r="M451" s="12"/>
      <c r="N451" s="11">
        <f>-(1.7*K451^2)/19.62</f>
        <v>0</v>
      </c>
      <c r="O451">
        <f t="shared" si="128"/>
        <v>0</v>
      </c>
      <c r="P451">
        <f t="shared" si="129"/>
        <v>0</v>
      </c>
      <c r="Q451">
        <f t="shared" si="130"/>
        <v>0</v>
      </c>
      <c r="R451">
        <f t="shared" si="131"/>
        <v>1.0389860000000001E-2</v>
      </c>
    </row>
    <row r="452" spans="1:18" x14ac:dyDescent="0.3">
      <c r="A452">
        <v>1</v>
      </c>
      <c r="B452">
        <v>40</v>
      </c>
      <c r="C452">
        <v>1</v>
      </c>
      <c r="D452" s="16">
        <v>8.1999999999999993</v>
      </c>
      <c r="E452" s="9">
        <v>20.561127020000001</v>
      </c>
      <c r="F452" s="7">
        <f t="shared" si="143"/>
        <v>3.9881082355183066</v>
      </c>
      <c r="G452" s="6">
        <v>7.9885999999999999</v>
      </c>
      <c r="H452" s="8">
        <v>1.0389860000000001E-2</v>
      </c>
      <c r="I452" s="17">
        <f t="shared" ref="I452:I457" si="152">F452/((E452*10^-4)/(G452*10^-2)*9.81)^(1/2)</f>
        <v>7.9367794593363783</v>
      </c>
      <c r="J452" s="16">
        <v>4.5</v>
      </c>
      <c r="K452" s="7">
        <v>1.44</v>
      </c>
      <c r="L452" s="10">
        <f t="shared" si="133"/>
        <v>12.232525037691065</v>
      </c>
      <c r="M452" s="12"/>
      <c r="N452" s="11">
        <f t="shared" ref="N452:N457" si="153">-(1.7*K452^2)/19.62</f>
        <v>-0.17966972477064219</v>
      </c>
      <c r="O452">
        <f t="shared" ref="O452:O506" si="154">K452/F452</f>
        <v>0.36107345010731717</v>
      </c>
      <c r="P452">
        <f t="shared" ref="P452:P506" si="155">K452*PI()*(J452^2)/40</f>
        <v>2.2902210444669593</v>
      </c>
      <c r="Q452">
        <f t="shared" ref="Q452:Q506" si="156">P452/D452</f>
        <v>0.27929524932523897</v>
      </c>
      <c r="R452">
        <f t="shared" ref="R452:R506" si="157">C452*H452</f>
        <v>1.0389860000000001E-2</v>
      </c>
    </row>
    <row r="453" spans="1:18" x14ac:dyDescent="0.3">
      <c r="A453">
        <v>1</v>
      </c>
      <c r="B453">
        <v>40</v>
      </c>
      <c r="C453">
        <v>1</v>
      </c>
      <c r="D453" s="16">
        <v>12.3</v>
      </c>
      <c r="E453" s="9">
        <v>20.561127020000001</v>
      </c>
      <c r="F453" s="7">
        <f t="shared" si="143"/>
        <v>5.9821623532774604</v>
      </c>
      <c r="G453" s="6">
        <v>7.9885999999999999</v>
      </c>
      <c r="H453" s="8">
        <v>1.0389860000000001E-2</v>
      </c>
      <c r="I453" s="17">
        <f t="shared" si="152"/>
        <v>11.905169189004567</v>
      </c>
      <c r="J453" s="16">
        <v>4.5</v>
      </c>
      <c r="K453" s="7">
        <v>3.32</v>
      </c>
      <c r="L453" s="10">
        <f t="shared" ref="L453:L506" si="158">(10.33+N453-0.234)/((F453^2)/19.62)</f>
        <v>5.0115716987706422</v>
      </c>
      <c r="M453" s="12"/>
      <c r="N453" s="11">
        <f t="shared" si="153"/>
        <v>-0.95504994903160034</v>
      </c>
      <c r="O453">
        <f t="shared" si="154"/>
        <v>0.55498326590569114</v>
      </c>
      <c r="P453">
        <f t="shared" si="155"/>
        <v>5.2802318525210445</v>
      </c>
      <c r="Q453">
        <f t="shared" si="156"/>
        <v>0.42928714248138572</v>
      </c>
      <c r="R453">
        <f t="shared" si="157"/>
        <v>1.0389860000000001E-2</v>
      </c>
    </row>
    <row r="454" spans="1:18" x14ac:dyDescent="0.3">
      <c r="A454">
        <v>1</v>
      </c>
      <c r="B454">
        <v>40</v>
      </c>
      <c r="C454">
        <v>1</v>
      </c>
      <c r="D454" s="16">
        <v>16.399999999999999</v>
      </c>
      <c r="E454" s="9">
        <v>20.561127020000001</v>
      </c>
      <c r="F454" s="7">
        <f t="shared" si="143"/>
        <v>7.9762164710366132</v>
      </c>
      <c r="G454" s="6">
        <v>7.9885999999999999</v>
      </c>
      <c r="H454" s="8">
        <v>1.0389860000000001E-2</v>
      </c>
      <c r="I454" s="17">
        <f t="shared" si="152"/>
        <v>15.873558918672757</v>
      </c>
      <c r="J454" s="16">
        <v>4.5</v>
      </c>
      <c r="K454" s="7">
        <v>7.58</v>
      </c>
      <c r="L454" s="10">
        <f t="shared" si="158"/>
        <v>1.5782394518502811</v>
      </c>
      <c r="M454" s="12"/>
      <c r="N454" s="11">
        <f t="shared" si="153"/>
        <v>-4.9783832823649341</v>
      </c>
      <c r="O454">
        <f t="shared" si="154"/>
        <v>0.95032526104634174</v>
      </c>
      <c r="P454">
        <f t="shared" si="155"/>
        <v>12.055469109069133</v>
      </c>
      <c r="Q454">
        <f t="shared" si="156"/>
        <v>0.73508957982128864</v>
      </c>
      <c r="R454">
        <f t="shared" si="157"/>
        <v>1.0389860000000001E-2</v>
      </c>
    </row>
    <row r="455" spans="1:18" x14ac:dyDescent="0.3">
      <c r="A455">
        <v>1</v>
      </c>
      <c r="B455">
        <v>40</v>
      </c>
      <c r="C455">
        <v>1</v>
      </c>
      <c r="D455" s="16">
        <v>20.5</v>
      </c>
      <c r="E455" s="9">
        <v>20.561127020000001</v>
      </c>
      <c r="F455" s="7">
        <f t="shared" si="143"/>
        <v>9.9702705887957688</v>
      </c>
      <c r="G455" s="6">
        <v>7.9885999999999999</v>
      </c>
      <c r="H455" s="8">
        <v>1.0389860000000001E-2</v>
      </c>
      <c r="I455" s="17">
        <f t="shared" si="152"/>
        <v>19.841948648340949</v>
      </c>
      <c r="J455" s="16">
        <v>4.5</v>
      </c>
      <c r="K455" s="7">
        <v>12</v>
      </c>
      <c r="L455" s="10">
        <f t="shared" si="158"/>
        <v>-0.46995494311038188</v>
      </c>
      <c r="M455" s="12"/>
      <c r="N455" s="11">
        <f t="shared" si="153"/>
        <v>-12.477064220183484</v>
      </c>
      <c r="O455">
        <f t="shared" si="154"/>
        <v>1.2035781670243904</v>
      </c>
      <c r="P455">
        <f t="shared" si="155"/>
        <v>19.085175370557995</v>
      </c>
      <c r="Q455">
        <f t="shared" si="156"/>
        <v>0.93098416441746312</v>
      </c>
      <c r="R455">
        <f t="shared" si="157"/>
        <v>1.0389860000000001E-2</v>
      </c>
    </row>
    <row r="456" spans="1:18" x14ac:dyDescent="0.3">
      <c r="A456">
        <v>1</v>
      </c>
      <c r="B456">
        <v>40</v>
      </c>
      <c r="C456">
        <v>1</v>
      </c>
      <c r="D456" s="16">
        <v>24.6</v>
      </c>
      <c r="E456" s="9">
        <v>20.561127020000001</v>
      </c>
      <c r="F456" s="7">
        <f t="shared" si="143"/>
        <v>11.964324706554921</v>
      </c>
      <c r="G456" s="6">
        <v>7.9885999999999999</v>
      </c>
      <c r="H456" s="8">
        <v>1.0389860000000001E-2</v>
      </c>
      <c r="I456" s="17">
        <f t="shared" si="152"/>
        <v>23.810338378009135</v>
      </c>
      <c r="J456" s="16">
        <v>4.5</v>
      </c>
      <c r="K456" s="7">
        <v>17.96</v>
      </c>
      <c r="L456" s="10">
        <f t="shared" si="158"/>
        <v>-2.4469666371423102</v>
      </c>
      <c r="M456" s="12"/>
      <c r="N456" s="11">
        <f t="shared" si="153"/>
        <v>-27.948762487257902</v>
      </c>
      <c r="O456">
        <f t="shared" si="154"/>
        <v>1.5011294360943093</v>
      </c>
      <c r="P456">
        <f t="shared" si="155"/>
        <v>28.5641458046018</v>
      </c>
      <c r="Q456">
        <f t="shared" si="156"/>
        <v>1.1611441383984471</v>
      </c>
      <c r="R456">
        <f t="shared" si="157"/>
        <v>1.0389860000000001E-2</v>
      </c>
    </row>
    <row r="457" spans="1:18" x14ac:dyDescent="0.3">
      <c r="A457">
        <v>1</v>
      </c>
      <c r="B457">
        <v>40</v>
      </c>
      <c r="C457">
        <v>1</v>
      </c>
      <c r="D457" s="16">
        <v>29.3</v>
      </c>
      <c r="E457" s="9">
        <v>20.561127020000001</v>
      </c>
      <c r="F457" s="7">
        <f t="shared" si="143"/>
        <v>14.250191622034926</v>
      </c>
      <c r="G457" s="6">
        <v>7.9885999999999999</v>
      </c>
      <c r="H457" s="8">
        <v>1.0389860000000001E-2</v>
      </c>
      <c r="I457" s="17">
        <f t="shared" si="152"/>
        <v>28.359468068116573</v>
      </c>
      <c r="J457" s="16">
        <v>4.5</v>
      </c>
      <c r="K457" s="7">
        <v>23.14</v>
      </c>
      <c r="L457" s="10">
        <f t="shared" si="158"/>
        <v>-3.5071893939566201</v>
      </c>
      <c r="M457" s="12"/>
      <c r="N457" s="11">
        <f t="shared" si="153"/>
        <v>-46.395582059123342</v>
      </c>
      <c r="O457">
        <f t="shared" si="154"/>
        <v>1.6238378131153588</v>
      </c>
      <c r="P457">
        <f t="shared" si="155"/>
        <v>36.802579839559328</v>
      </c>
      <c r="Q457">
        <f t="shared" si="156"/>
        <v>1.2560607453774515</v>
      </c>
      <c r="R457">
        <f t="shared" si="157"/>
        <v>1.0389860000000001E-2</v>
      </c>
    </row>
    <row r="458" spans="1:18" x14ac:dyDescent="0.3">
      <c r="A458">
        <v>1</v>
      </c>
      <c r="B458">
        <v>40</v>
      </c>
      <c r="C458">
        <v>2</v>
      </c>
      <c r="D458" s="16">
        <v>4.0999999999999996</v>
      </c>
      <c r="E458" s="9">
        <v>20.561127020000001</v>
      </c>
      <c r="F458" s="7">
        <f t="shared" si="143"/>
        <v>1.9940541177591533</v>
      </c>
      <c r="G458" s="6">
        <v>7.9885999999999999</v>
      </c>
      <c r="H458" s="8">
        <v>5.1949300000000004E-3</v>
      </c>
      <c r="I458" s="17">
        <f>F458/((E458*10^-4)/(G458*10^-2)*9.81)^(1/2)</f>
        <v>3.9683897296681891</v>
      </c>
      <c r="J458" s="16">
        <v>4.5</v>
      </c>
      <c r="K458" s="7">
        <v>0.4</v>
      </c>
      <c r="L458" s="10">
        <f t="shared" si="158"/>
        <v>49.748237467901191</v>
      </c>
      <c r="M458" s="12"/>
      <c r="N458" s="11">
        <f>-(1.7*K458^2)/19.62</f>
        <v>-1.3863404689092763E-2</v>
      </c>
      <c r="O458">
        <f t="shared" si="154"/>
        <v>0.20059636117073176</v>
      </c>
      <c r="P458">
        <f t="shared" si="155"/>
        <v>0.63617251235193317</v>
      </c>
      <c r="Q458">
        <f t="shared" si="156"/>
        <v>0.15516402740291055</v>
      </c>
      <c r="R458">
        <f t="shared" si="157"/>
        <v>1.0389860000000001E-2</v>
      </c>
    </row>
    <row r="459" spans="1:18" x14ac:dyDescent="0.3">
      <c r="A459">
        <v>1</v>
      </c>
      <c r="B459">
        <v>40</v>
      </c>
      <c r="C459">
        <v>2</v>
      </c>
      <c r="D459" s="16">
        <v>8.1999999999999993</v>
      </c>
      <c r="E459" s="9">
        <v>20.561127020000001</v>
      </c>
      <c r="F459" s="7">
        <f t="shared" si="143"/>
        <v>3.9881082355183066</v>
      </c>
      <c r="G459" s="6">
        <v>7.9885999999999999</v>
      </c>
      <c r="H459" s="8">
        <v>5.1949300000000004E-3</v>
      </c>
      <c r="I459" s="17">
        <f t="shared" ref="I459:I464" si="159">F459/((E459*10^-4)/(G459*10^-2)*9.81)^(1/2)</f>
        <v>7.9367794593363783</v>
      </c>
      <c r="J459" s="16">
        <v>4.5</v>
      </c>
      <c r="K459" s="7">
        <v>1.98</v>
      </c>
      <c r="L459" s="10">
        <f t="shared" si="158"/>
        <v>12.035130598245978</v>
      </c>
      <c r="M459" s="12"/>
      <c r="N459" s="11">
        <f t="shared" ref="N459:N464" si="160">-(1.7*K459^2)/19.62</f>
        <v>-0.33968807339449536</v>
      </c>
      <c r="O459">
        <f t="shared" si="154"/>
        <v>0.49647599389756109</v>
      </c>
      <c r="P459">
        <f t="shared" si="155"/>
        <v>3.1490539361420691</v>
      </c>
      <c r="Q459">
        <f t="shared" si="156"/>
        <v>0.38403096782220358</v>
      </c>
      <c r="R459">
        <f t="shared" si="157"/>
        <v>1.0389860000000001E-2</v>
      </c>
    </row>
    <row r="460" spans="1:18" x14ac:dyDescent="0.3">
      <c r="A460">
        <v>1</v>
      </c>
      <c r="B460">
        <v>40</v>
      </c>
      <c r="C460">
        <v>2</v>
      </c>
      <c r="D460" s="16">
        <v>12.3</v>
      </c>
      <c r="E460" s="9">
        <v>20.561127020000001</v>
      </c>
      <c r="F460" s="7">
        <f t="shared" si="143"/>
        <v>5.9821623532774604</v>
      </c>
      <c r="G460" s="6">
        <v>7.9885999999999999</v>
      </c>
      <c r="H460" s="8">
        <v>5.1949300000000004E-3</v>
      </c>
      <c r="I460" s="17">
        <f t="shared" si="159"/>
        <v>11.905169189004567</v>
      </c>
      <c r="J460" s="16">
        <v>4.5</v>
      </c>
      <c r="K460" s="7">
        <v>4.08</v>
      </c>
      <c r="L460" s="10">
        <f t="shared" si="158"/>
        <v>4.7444077569519569</v>
      </c>
      <c r="M460" s="12"/>
      <c r="N460" s="11">
        <f t="shared" si="160"/>
        <v>-1.4423486238532111</v>
      </c>
      <c r="O460">
        <f t="shared" si="154"/>
        <v>0.68202762798048799</v>
      </c>
      <c r="P460">
        <f t="shared" si="155"/>
        <v>6.4889596259897173</v>
      </c>
      <c r="Q460">
        <f t="shared" si="156"/>
        <v>0.52755769316989565</v>
      </c>
      <c r="R460">
        <f t="shared" si="157"/>
        <v>1.0389860000000001E-2</v>
      </c>
    </row>
    <row r="461" spans="1:18" x14ac:dyDescent="0.3">
      <c r="A461">
        <v>1</v>
      </c>
      <c r="B461">
        <v>40</v>
      </c>
      <c r="C461">
        <v>2</v>
      </c>
      <c r="D461" s="16">
        <v>16.399999999999999</v>
      </c>
      <c r="E461" s="9">
        <v>20.561127020000001</v>
      </c>
      <c r="F461" s="7">
        <f t="shared" si="143"/>
        <v>7.9762164710366132</v>
      </c>
      <c r="G461" s="6">
        <v>7.9885999999999999</v>
      </c>
      <c r="H461" s="8">
        <v>5.1949300000000004E-3</v>
      </c>
      <c r="I461" s="17">
        <f t="shared" si="159"/>
        <v>15.873558918672757</v>
      </c>
      <c r="J461" s="16">
        <v>4.5</v>
      </c>
      <c r="K461" s="7">
        <v>7.69</v>
      </c>
      <c r="L461" s="10">
        <f t="shared" si="158"/>
        <v>1.5333559452529348</v>
      </c>
      <c r="M461" s="12"/>
      <c r="N461" s="11">
        <f t="shared" si="160"/>
        <v>-5.1239230377166161</v>
      </c>
      <c r="O461">
        <f t="shared" si="154"/>
        <v>0.96411626087682956</v>
      </c>
      <c r="P461">
        <f t="shared" si="155"/>
        <v>12.230416549965913</v>
      </c>
      <c r="Q461">
        <f t="shared" si="156"/>
        <v>0.74575710670523865</v>
      </c>
      <c r="R461">
        <f t="shared" si="157"/>
        <v>1.0389860000000001E-2</v>
      </c>
    </row>
    <row r="462" spans="1:18" x14ac:dyDescent="0.3">
      <c r="A462">
        <v>1</v>
      </c>
      <c r="B462">
        <v>40</v>
      </c>
      <c r="C462">
        <v>2</v>
      </c>
      <c r="D462" s="16">
        <v>20.5</v>
      </c>
      <c r="E462" s="9">
        <v>20.561127020000001</v>
      </c>
      <c r="F462" s="7">
        <f t="shared" si="143"/>
        <v>9.9702705887957688</v>
      </c>
      <c r="G462" s="6">
        <v>7.9885999999999999</v>
      </c>
      <c r="H462" s="8">
        <v>5.1949300000000004E-3</v>
      </c>
      <c r="I462" s="17">
        <f t="shared" si="159"/>
        <v>19.841948648340949</v>
      </c>
      <c r="J462" s="16">
        <v>4.5</v>
      </c>
      <c r="K462" s="7">
        <v>12.49</v>
      </c>
      <c r="L462" s="10">
        <f t="shared" si="158"/>
        <v>-0.6751750438498243</v>
      </c>
      <c r="M462" s="12"/>
      <c r="N462" s="11">
        <f t="shared" si="160"/>
        <v>-13.516828236493375</v>
      </c>
      <c r="O462">
        <f t="shared" si="154"/>
        <v>1.2527242755112196</v>
      </c>
      <c r="P462">
        <f t="shared" si="155"/>
        <v>19.864486698189111</v>
      </c>
      <c r="Q462">
        <f t="shared" si="156"/>
        <v>0.96899935113117619</v>
      </c>
      <c r="R462">
        <f t="shared" si="157"/>
        <v>1.0389860000000001E-2</v>
      </c>
    </row>
    <row r="463" spans="1:18" x14ac:dyDescent="0.3">
      <c r="A463">
        <v>1</v>
      </c>
      <c r="B463">
        <v>40</v>
      </c>
      <c r="C463">
        <v>2</v>
      </c>
      <c r="D463" s="16">
        <v>24.6</v>
      </c>
      <c r="E463" s="9">
        <v>20.561127020000001</v>
      </c>
      <c r="F463" s="7">
        <f t="shared" si="143"/>
        <v>11.964324706554921</v>
      </c>
      <c r="G463" s="6">
        <v>7.9885999999999999</v>
      </c>
      <c r="H463" s="8">
        <v>5.1949300000000004E-3</v>
      </c>
      <c r="I463" s="17">
        <f t="shared" si="159"/>
        <v>23.810338378009135</v>
      </c>
      <c r="J463" s="16">
        <v>4.5</v>
      </c>
      <c r="K463" s="7">
        <v>15.37</v>
      </c>
      <c r="L463" s="10">
        <f t="shared" si="158"/>
        <v>-1.4217689518509065</v>
      </c>
      <c r="M463" s="12"/>
      <c r="N463" s="11">
        <f t="shared" si="160"/>
        <v>-20.469048419979607</v>
      </c>
      <c r="O463">
        <f t="shared" si="154"/>
        <v>1.2846525296642277</v>
      </c>
      <c r="P463">
        <f t="shared" si="155"/>
        <v>24.444928787123029</v>
      </c>
      <c r="Q463">
        <f t="shared" si="156"/>
        <v>0.99369629215947264</v>
      </c>
      <c r="R463">
        <f t="shared" si="157"/>
        <v>1.0389860000000001E-2</v>
      </c>
    </row>
    <row r="464" spans="1:18" x14ac:dyDescent="0.3">
      <c r="A464">
        <v>1</v>
      </c>
      <c r="B464">
        <v>40</v>
      </c>
      <c r="C464">
        <v>2</v>
      </c>
      <c r="D464" s="16">
        <v>29.4</v>
      </c>
      <c r="E464" s="9">
        <v>20.561127020000001</v>
      </c>
      <c r="F464" s="7">
        <f t="shared" si="143"/>
        <v>14.298827088321735</v>
      </c>
      <c r="G464" s="6">
        <v>7.9885999999999999</v>
      </c>
      <c r="H464" s="8">
        <v>5.1949300000000004E-3</v>
      </c>
      <c r="I464" s="17">
        <f t="shared" si="159"/>
        <v>28.456258061523116</v>
      </c>
      <c r="J464" s="16">
        <v>4.5</v>
      </c>
      <c r="K464" s="7">
        <v>18.600000000000001</v>
      </c>
      <c r="L464" s="10">
        <f t="shared" si="158"/>
        <v>-1.9077337416331761</v>
      </c>
      <c r="M464" s="12"/>
      <c r="N464" s="11">
        <f t="shared" si="160"/>
        <v>-29.976146788990828</v>
      </c>
      <c r="O464">
        <f t="shared" si="154"/>
        <v>1.3008059951428574</v>
      </c>
      <c r="P464">
        <f t="shared" si="155"/>
        <v>29.582021824364894</v>
      </c>
      <c r="Q464">
        <f t="shared" si="156"/>
        <v>1.0061912185158128</v>
      </c>
      <c r="R464">
        <f t="shared" si="157"/>
        <v>1.0389860000000001E-2</v>
      </c>
    </row>
    <row r="465" spans="1:18" x14ac:dyDescent="0.3">
      <c r="A465">
        <v>1</v>
      </c>
      <c r="B465">
        <v>40</v>
      </c>
      <c r="C465">
        <v>4</v>
      </c>
      <c r="D465" s="16">
        <v>4.0999999999999996</v>
      </c>
      <c r="E465" s="9">
        <v>20.561127020000001</v>
      </c>
      <c r="F465" s="7">
        <f t="shared" si="143"/>
        <v>1.9940541177591533</v>
      </c>
      <c r="G465" s="6">
        <v>7.9885999999999999</v>
      </c>
      <c r="H465" s="8">
        <v>2.5974700000000002E-3</v>
      </c>
      <c r="I465" s="17">
        <f>F465/((E465*10^-4)/(G465*10^-2)*9.81)^(1/2)</f>
        <v>3.9683897296681891</v>
      </c>
      <c r="J465" s="16">
        <v>4.5</v>
      </c>
      <c r="K465" s="7">
        <v>0.4</v>
      </c>
      <c r="L465" s="10">
        <f t="shared" si="158"/>
        <v>49.748237467901191</v>
      </c>
      <c r="M465" s="12"/>
      <c r="N465" s="11">
        <f>-(1.7*K465^2)/19.62</f>
        <v>-1.3863404689092763E-2</v>
      </c>
      <c r="O465">
        <f t="shared" si="154"/>
        <v>0.20059636117073176</v>
      </c>
      <c r="P465">
        <f t="shared" si="155"/>
        <v>0.63617251235193317</v>
      </c>
      <c r="Q465">
        <f t="shared" si="156"/>
        <v>0.15516402740291055</v>
      </c>
      <c r="R465">
        <f t="shared" si="157"/>
        <v>1.0389880000000001E-2</v>
      </c>
    </row>
    <row r="466" spans="1:18" x14ac:dyDescent="0.3">
      <c r="A466">
        <v>1</v>
      </c>
      <c r="B466">
        <v>40</v>
      </c>
      <c r="C466">
        <v>4</v>
      </c>
      <c r="D466" s="16">
        <v>8.1999999999999993</v>
      </c>
      <c r="E466" s="9">
        <v>20.561127020000001</v>
      </c>
      <c r="F466" s="7">
        <f t="shared" si="143"/>
        <v>3.9881082355183066</v>
      </c>
      <c r="G466" s="6">
        <v>7.9885999999999999</v>
      </c>
      <c r="H466" s="8">
        <v>2.5974700000000002E-3</v>
      </c>
      <c r="I466" s="17">
        <f t="shared" ref="I466:I471" si="161">F466/((E466*10^-4)/(G466*10^-2)*9.81)^(1/2)</f>
        <v>7.9367794593363783</v>
      </c>
      <c r="J466" s="16">
        <v>4.5</v>
      </c>
      <c r="K466" s="7">
        <v>1.96</v>
      </c>
      <c r="L466" s="10">
        <f t="shared" si="158"/>
        <v>12.043553103026285</v>
      </c>
      <c r="M466" s="12"/>
      <c r="N466" s="11">
        <f t="shared" ref="N466:N471" si="162">-(1.7*K466^2)/19.62</f>
        <v>-0.33286034658511721</v>
      </c>
      <c r="O466">
        <f t="shared" si="154"/>
        <v>0.49146108486829282</v>
      </c>
      <c r="P466">
        <f t="shared" si="155"/>
        <v>3.117245310524472</v>
      </c>
      <c r="Q466">
        <f t="shared" si="156"/>
        <v>0.38015186713713078</v>
      </c>
      <c r="R466">
        <f t="shared" si="157"/>
        <v>1.0389880000000001E-2</v>
      </c>
    </row>
    <row r="467" spans="1:18" x14ac:dyDescent="0.3">
      <c r="A467">
        <v>1</v>
      </c>
      <c r="B467">
        <v>40</v>
      </c>
      <c r="C467">
        <v>4</v>
      </c>
      <c r="D467" s="16">
        <v>12.3</v>
      </c>
      <c r="E467" s="9">
        <v>20.561127020000001</v>
      </c>
      <c r="F467" s="7">
        <f t="shared" si="143"/>
        <v>5.9821623532774604</v>
      </c>
      <c r="G467" s="6">
        <v>7.9885999999999999</v>
      </c>
      <c r="H467" s="8">
        <v>2.5974700000000002E-3</v>
      </c>
      <c r="I467" s="17">
        <f t="shared" si="161"/>
        <v>11.905169189004567</v>
      </c>
      <c r="J467" s="16">
        <v>4.5</v>
      </c>
      <c r="K467" s="7">
        <v>4.05</v>
      </c>
      <c r="L467" s="10">
        <f t="shared" si="158"/>
        <v>4.7559940452538028</v>
      </c>
      <c r="M467" s="12"/>
      <c r="N467" s="11">
        <f t="shared" si="162"/>
        <v>-1.4212155963302751</v>
      </c>
      <c r="O467">
        <f t="shared" si="154"/>
        <v>0.67701271895121962</v>
      </c>
      <c r="P467">
        <f t="shared" si="155"/>
        <v>6.4412466875633232</v>
      </c>
      <c r="Q467">
        <f t="shared" si="156"/>
        <v>0.52367859248482296</v>
      </c>
      <c r="R467">
        <f t="shared" si="157"/>
        <v>1.0389880000000001E-2</v>
      </c>
    </row>
    <row r="468" spans="1:18" x14ac:dyDescent="0.3">
      <c r="A468">
        <v>1</v>
      </c>
      <c r="B468">
        <v>40</v>
      </c>
      <c r="C468">
        <v>4</v>
      </c>
      <c r="D468" s="16">
        <v>16.399999999999999</v>
      </c>
      <c r="E468" s="9">
        <v>20.561127020000001</v>
      </c>
      <c r="F468" s="7">
        <f t="shared" si="143"/>
        <v>7.9762164710366132</v>
      </c>
      <c r="G468" s="6">
        <v>7.9885999999999999</v>
      </c>
      <c r="H468" s="8">
        <v>2.5974700000000002E-3</v>
      </c>
      <c r="I468" s="17">
        <f t="shared" si="161"/>
        <v>15.873558918672757</v>
      </c>
      <c r="J468" s="16">
        <v>4.5</v>
      </c>
      <c r="K468" s="7">
        <v>6.88</v>
      </c>
      <c r="L468" s="10">
        <f t="shared" si="158"/>
        <v>1.8487108775681704</v>
      </c>
      <c r="M468" s="12"/>
      <c r="N468" s="11">
        <f t="shared" si="162"/>
        <v>-4.1013496432212015</v>
      </c>
      <c r="O468">
        <f t="shared" si="154"/>
        <v>0.86256435303414658</v>
      </c>
      <c r="P468">
        <f t="shared" si="155"/>
        <v>10.942167212453249</v>
      </c>
      <c r="Q468">
        <f t="shared" si="156"/>
        <v>0.66720531783251524</v>
      </c>
      <c r="R468">
        <f t="shared" si="157"/>
        <v>1.0389880000000001E-2</v>
      </c>
    </row>
    <row r="469" spans="1:18" x14ac:dyDescent="0.3">
      <c r="A469">
        <v>1</v>
      </c>
      <c r="B469">
        <v>40</v>
      </c>
      <c r="C469">
        <v>4</v>
      </c>
      <c r="D469" s="16">
        <v>20.5</v>
      </c>
      <c r="E469" s="9">
        <v>20.561127020000001</v>
      </c>
      <c r="F469" s="7">
        <f t="shared" si="143"/>
        <v>9.9702705887957688</v>
      </c>
      <c r="G469" s="6">
        <v>7.9885999999999999</v>
      </c>
      <c r="H469" s="8">
        <v>2.5974700000000002E-3</v>
      </c>
      <c r="I469" s="17">
        <f t="shared" si="161"/>
        <v>19.841948648340949</v>
      </c>
      <c r="J469" s="16">
        <v>4.5</v>
      </c>
      <c r="K469" s="7">
        <v>7.39</v>
      </c>
      <c r="L469" s="10">
        <f t="shared" si="158"/>
        <v>1.0587151382128708</v>
      </c>
      <c r="M469" s="12"/>
      <c r="N469" s="11">
        <f t="shared" si="162"/>
        <v>-4.7319352701325172</v>
      </c>
      <c r="O469">
        <f t="shared" si="154"/>
        <v>0.74120355452585363</v>
      </c>
      <c r="P469">
        <f t="shared" si="155"/>
        <v>11.753287165701963</v>
      </c>
      <c r="Q469">
        <f t="shared" si="156"/>
        <v>0.57333108125375432</v>
      </c>
      <c r="R469">
        <f t="shared" si="157"/>
        <v>1.0389880000000001E-2</v>
      </c>
    </row>
    <row r="470" spans="1:18" x14ac:dyDescent="0.3">
      <c r="A470">
        <v>1</v>
      </c>
      <c r="B470">
        <v>40</v>
      </c>
      <c r="C470">
        <v>4</v>
      </c>
      <c r="D470" s="16">
        <v>24.6</v>
      </c>
      <c r="E470" s="9">
        <v>20.561127020000001</v>
      </c>
      <c r="F470" s="7">
        <f t="shared" si="143"/>
        <v>11.964324706554921</v>
      </c>
      <c r="G470" s="6">
        <v>7.9885999999999999</v>
      </c>
      <c r="H470" s="8">
        <v>2.5974700000000002E-3</v>
      </c>
      <c r="I470" s="17">
        <f t="shared" si="161"/>
        <v>23.810338378009135</v>
      </c>
      <c r="J470" s="16">
        <v>4.5</v>
      </c>
      <c r="K470" s="7">
        <v>8.58</v>
      </c>
      <c r="L470" s="10">
        <f t="shared" si="158"/>
        <v>0.50952255777415367</v>
      </c>
      <c r="M470" s="12"/>
      <c r="N470" s="11">
        <f t="shared" si="162"/>
        <v>-6.3785871559633023</v>
      </c>
      <c r="O470">
        <f t="shared" si="154"/>
        <v>0.71713199118536597</v>
      </c>
      <c r="P470">
        <f t="shared" si="155"/>
        <v>13.645900389948967</v>
      </c>
      <c r="Q470">
        <f t="shared" si="156"/>
        <v>0.55471139796540514</v>
      </c>
      <c r="R470">
        <f t="shared" si="157"/>
        <v>1.0389880000000001E-2</v>
      </c>
    </row>
    <row r="471" spans="1:18" x14ac:dyDescent="0.3">
      <c r="A471">
        <v>1</v>
      </c>
      <c r="B471">
        <v>40</v>
      </c>
      <c r="C471">
        <v>4</v>
      </c>
      <c r="D471" s="16">
        <v>29.5</v>
      </c>
      <c r="E471" s="9">
        <v>20.561127020000001</v>
      </c>
      <c r="F471" s="7">
        <f t="shared" si="143"/>
        <v>14.347462554608544</v>
      </c>
      <c r="G471" s="6">
        <v>7.9885999999999999</v>
      </c>
      <c r="H471" s="8">
        <v>2.5974700000000002E-3</v>
      </c>
      <c r="I471" s="17">
        <f t="shared" si="161"/>
        <v>28.553048054929658</v>
      </c>
      <c r="J471" s="16">
        <v>4.5</v>
      </c>
      <c r="K471" s="7">
        <v>12.23</v>
      </c>
      <c r="L471" s="10">
        <f t="shared" si="158"/>
        <v>-0.27296816551134173</v>
      </c>
      <c r="M471" s="12"/>
      <c r="N471" s="11">
        <f t="shared" si="162"/>
        <v>-12.959935270132517</v>
      </c>
      <c r="O471">
        <f t="shared" si="154"/>
        <v>0.85241553713423746</v>
      </c>
      <c r="P471">
        <f t="shared" si="155"/>
        <v>19.450974565160358</v>
      </c>
      <c r="Q471">
        <f t="shared" si="156"/>
        <v>0.65935507000543592</v>
      </c>
      <c r="R471">
        <f t="shared" si="157"/>
        <v>1.0389880000000001E-2</v>
      </c>
    </row>
    <row r="472" spans="1:18" x14ac:dyDescent="0.3">
      <c r="A472">
        <v>1</v>
      </c>
      <c r="B472">
        <v>40</v>
      </c>
      <c r="C472">
        <v>6</v>
      </c>
      <c r="D472" s="16">
        <v>4.0999999999999996</v>
      </c>
      <c r="E472" s="9">
        <v>20.561127020000001</v>
      </c>
      <c r="F472" s="7">
        <f t="shared" si="143"/>
        <v>1.9940541177591533</v>
      </c>
      <c r="G472" s="6">
        <v>7.9885999999999999</v>
      </c>
      <c r="H472" s="8">
        <v>1.73164E-3</v>
      </c>
      <c r="I472" s="17">
        <f>F472/((E472*10^-4)/(G472*10^-2)*9.81)^(1/2)</f>
        <v>3.9683897296681891</v>
      </c>
      <c r="J472" s="16">
        <v>4.5</v>
      </c>
      <c r="K472" s="7">
        <v>0</v>
      </c>
      <c r="L472" s="10">
        <f t="shared" si="158"/>
        <v>49.81664359809659</v>
      </c>
      <c r="M472" s="12"/>
      <c r="N472" s="11">
        <f>-(1.7*K472^2)/19.62</f>
        <v>0</v>
      </c>
      <c r="O472">
        <f t="shared" si="154"/>
        <v>0</v>
      </c>
      <c r="P472">
        <f t="shared" si="155"/>
        <v>0</v>
      </c>
      <c r="Q472">
        <f t="shared" si="156"/>
        <v>0</v>
      </c>
      <c r="R472">
        <f t="shared" si="157"/>
        <v>1.0389840000000001E-2</v>
      </c>
    </row>
    <row r="473" spans="1:18" x14ac:dyDescent="0.3">
      <c r="A473">
        <v>1</v>
      </c>
      <c r="B473">
        <v>40</v>
      </c>
      <c r="C473">
        <v>6</v>
      </c>
      <c r="D473" s="16">
        <v>8.1999999999999993</v>
      </c>
      <c r="E473" s="9">
        <v>20.561127020000001</v>
      </c>
      <c r="F473" s="7">
        <f t="shared" si="143"/>
        <v>3.9881082355183066</v>
      </c>
      <c r="G473" s="6">
        <v>7.9885999999999999</v>
      </c>
      <c r="H473" s="8">
        <v>1.73164E-3</v>
      </c>
      <c r="I473" s="17">
        <f t="shared" ref="I473:I478" si="163">F473/((E473*10^-4)/(G473*10^-2)*9.81)^(1/2)</f>
        <v>7.9367794593363783</v>
      </c>
      <c r="J473" s="16">
        <v>4.5</v>
      </c>
      <c r="K473" s="7">
        <v>1.33</v>
      </c>
      <c r="L473" s="10">
        <f t="shared" si="158"/>
        <v>12.26509276873878</v>
      </c>
      <c r="M473" s="12"/>
      <c r="N473" s="11">
        <f t="shared" ref="N473:N478" si="164">-(1.7*K473^2)/19.62</f>
        <v>-0.15326860346585117</v>
      </c>
      <c r="O473">
        <f t="shared" si="154"/>
        <v>0.3334914504463416</v>
      </c>
      <c r="P473">
        <f t="shared" si="155"/>
        <v>2.115273603570178</v>
      </c>
      <c r="Q473">
        <f t="shared" si="156"/>
        <v>0.25796019555733879</v>
      </c>
      <c r="R473">
        <f t="shared" si="157"/>
        <v>1.0389840000000001E-2</v>
      </c>
    </row>
    <row r="474" spans="1:18" x14ac:dyDescent="0.3">
      <c r="A474">
        <v>1</v>
      </c>
      <c r="B474">
        <v>40</v>
      </c>
      <c r="C474">
        <v>6</v>
      </c>
      <c r="D474" s="16">
        <v>12.3</v>
      </c>
      <c r="E474" s="9">
        <v>20.561127020000001</v>
      </c>
      <c r="F474" s="7">
        <f t="shared" si="143"/>
        <v>5.9821623532774604</v>
      </c>
      <c r="G474" s="6">
        <v>7.9885999999999999</v>
      </c>
      <c r="H474" s="8">
        <v>1.73164E-3</v>
      </c>
      <c r="I474" s="17">
        <f t="shared" si="163"/>
        <v>11.905169189004567</v>
      </c>
      <c r="J474" s="16">
        <v>4.5</v>
      </c>
      <c r="K474" s="7">
        <v>2.1</v>
      </c>
      <c r="L474" s="10">
        <f t="shared" si="158"/>
        <v>5.3256888482873332</v>
      </c>
      <c r="M474" s="12"/>
      <c r="N474" s="11">
        <f t="shared" si="164"/>
        <v>-0.38211009174311922</v>
      </c>
      <c r="O474">
        <f t="shared" si="154"/>
        <v>0.35104363204878059</v>
      </c>
      <c r="P474">
        <f t="shared" si="155"/>
        <v>3.3399056898476487</v>
      </c>
      <c r="Q474">
        <f t="shared" si="156"/>
        <v>0.27153704795509337</v>
      </c>
      <c r="R474">
        <f t="shared" si="157"/>
        <v>1.0389840000000001E-2</v>
      </c>
    </row>
    <row r="475" spans="1:18" x14ac:dyDescent="0.3">
      <c r="A475">
        <v>1</v>
      </c>
      <c r="B475">
        <v>40</v>
      </c>
      <c r="C475">
        <v>6</v>
      </c>
      <c r="D475" s="16">
        <v>16.399999999999999</v>
      </c>
      <c r="E475" s="9">
        <v>20.561127020000001</v>
      </c>
      <c r="F475" s="7">
        <f t="shared" si="143"/>
        <v>7.9762164710366132</v>
      </c>
      <c r="G475" s="6">
        <v>7.9885999999999999</v>
      </c>
      <c r="H475" s="8">
        <v>1.73164E-3</v>
      </c>
      <c r="I475" s="17">
        <f t="shared" si="163"/>
        <v>15.873558918672757</v>
      </c>
      <c r="J475" s="16">
        <v>4.5</v>
      </c>
      <c r="K475" s="7">
        <v>2.44</v>
      </c>
      <c r="L475" s="10">
        <f t="shared" si="158"/>
        <v>2.9544532183453698</v>
      </c>
      <c r="M475" s="12"/>
      <c r="N475" s="11">
        <f t="shared" si="164"/>
        <v>-0.51585728848114165</v>
      </c>
      <c r="O475">
        <f t="shared" si="154"/>
        <v>0.30590945078536591</v>
      </c>
      <c r="P475">
        <f t="shared" si="155"/>
        <v>3.8806523253467922</v>
      </c>
      <c r="Q475">
        <f t="shared" si="156"/>
        <v>0.23662514178943855</v>
      </c>
      <c r="R475">
        <f t="shared" si="157"/>
        <v>1.0389840000000001E-2</v>
      </c>
    </row>
    <row r="476" spans="1:18" x14ac:dyDescent="0.3">
      <c r="A476">
        <v>1</v>
      </c>
      <c r="B476">
        <v>40</v>
      </c>
      <c r="C476">
        <v>6</v>
      </c>
      <c r="D476" s="16">
        <v>20.5</v>
      </c>
      <c r="E476" s="9">
        <v>20.561127020000001</v>
      </c>
      <c r="F476" s="7">
        <f t="shared" si="143"/>
        <v>9.9702705887957688</v>
      </c>
      <c r="G476" s="6">
        <v>7.9885999999999999</v>
      </c>
      <c r="H476" s="8">
        <v>1.73164E-3</v>
      </c>
      <c r="I476" s="17">
        <f t="shared" si="163"/>
        <v>19.841948648340949</v>
      </c>
      <c r="J476" s="16">
        <v>4.5</v>
      </c>
      <c r="K476" s="7">
        <v>4.57</v>
      </c>
      <c r="L476" s="10">
        <f t="shared" si="158"/>
        <v>1.6355019467944083</v>
      </c>
      <c r="M476" s="12"/>
      <c r="N476" s="11">
        <f t="shared" si="164"/>
        <v>-1.8095988786952091</v>
      </c>
      <c r="O476">
        <f t="shared" si="154"/>
        <v>0.45836268527512203</v>
      </c>
      <c r="P476">
        <f t="shared" si="155"/>
        <v>7.2682709536208367</v>
      </c>
      <c r="Q476">
        <f t="shared" si="156"/>
        <v>0.35454980261565056</v>
      </c>
      <c r="R476">
        <f t="shared" si="157"/>
        <v>1.0389840000000001E-2</v>
      </c>
    </row>
    <row r="477" spans="1:18" x14ac:dyDescent="0.3">
      <c r="A477">
        <v>1</v>
      </c>
      <c r="B477">
        <v>40</v>
      </c>
      <c r="C477">
        <v>6</v>
      </c>
      <c r="D477" s="16">
        <v>24.6</v>
      </c>
      <c r="E477" s="9">
        <v>20.561127020000001</v>
      </c>
      <c r="F477" s="7">
        <f t="shared" si="143"/>
        <v>11.964324706554921</v>
      </c>
      <c r="G477" s="6">
        <v>7.9885999999999999</v>
      </c>
      <c r="H477" s="8">
        <v>1.73164E-3</v>
      </c>
      <c r="I477" s="17">
        <f t="shared" si="163"/>
        <v>23.810338378009135</v>
      </c>
      <c r="J477" s="16">
        <v>4.5</v>
      </c>
      <c r="K477" s="7">
        <v>6.01</v>
      </c>
      <c r="L477" s="10">
        <f t="shared" si="158"/>
        <v>0.95483102646262874</v>
      </c>
      <c r="M477" s="12"/>
      <c r="N477" s="11">
        <f t="shared" si="164"/>
        <v>-3.1296722731906215</v>
      </c>
      <c r="O477">
        <f t="shared" si="154"/>
        <v>0.50232672109837406</v>
      </c>
      <c r="P477">
        <f t="shared" si="155"/>
        <v>9.5584919980877938</v>
      </c>
      <c r="Q477">
        <f t="shared" si="156"/>
        <v>0.3885565852881217</v>
      </c>
      <c r="R477">
        <f t="shared" si="157"/>
        <v>1.0389840000000001E-2</v>
      </c>
    </row>
    <row r="478" spans="1:18" x14ac:dyDescent="0.3">
      <c r="A478">
        <v>1</v>
      </c>
      <c r="B478">
        <v>40</v>
      </c>
      <c r="C478">
        <v>6</v>
      </c>
      <c r="D478" s="16">
        <v>29.1</v>
      </c>
      <c r="E478" s="9">
        <v>20.561127020000001</v>
      </c>
      <c r="F478" s="7">
        <f t="shared" si="143"/>
        <v>14.152920689461309</v>
      </c>
      <c r="G478" s="6">
        <v>7.9885999999999999</v>
      </c>
      <c r="H478" s="8">
        <v>1.73164E-3</v>
      </c>
      <c r="I478" s="17">
        <f t="shared" si="163"/>
        <v>28.165888081303493</v>
      </c>
      <c r="J478" s="16">
        <v>4.5</v>
      </c>
      <c r="K478" s="7">
        <v>8.32</v>
      </c>
      <c r="L478" s="10">
        <f t="shared" si="158"/>
        <v>0.40141471331746365</v>
      </c>
      <c r="M478" s="12"/>
      <c r="N478" s="11">
        <f t="shared" si="164"/>
        <v>-5.9978634046890926</v>
      </c>
      <c r="O478">
        <f t="shared" si="154"/>
        <v>0.58786452510790388</v>
      </c>
      <c r="P478">
        <f t="shared" si="155"/>
        <v>13.232388256920208</v>
      </c>
      <c r="Q478">
        <f t="shared" si="156"/>
        <v>0.45472124594227514</v>
      </c>
      <c r="R478">
        <f t="shared" si="157"/>
        <v>1.0389840000000001E-2</v>
      </c>
    </row>
    <row r="479" spans="1:18" x14ac:dyDescent="0.3">
      <c r="A479">
        <v>1</v>
      </c>
      <c r="B479">
        <v>60</v>
      </c>
      <c r="C479">
        <v>1</v>
      </c>
      <c r="D479" s="16">
        <v>4.7</v>
      </c>
      <c r="E479" s="9">
        <v>30.84169052</v>
      </c>
      <c r="F479" s="6">
        <f t="shared" si="143"/>
        <v>1.5239112774807779</v>
      </c>
      <c r="G479" s="6">
        <v>7.9885999999999999</v>
      </c>
      <c r="H479" s="8">
        <v>1.2535019999999999E-2</v>
      </c>
      <c r="I479" s="17">
        <f>F479/((E479*10^-4)/(G479*10^-2)*9.81)^(1/2)</f>
        <v>2.4762325599840134</v>
      </c>
      <c r="J479" s="16">
        <v>4.5</v>
      </c>
      <c r="K479" s="7">
        <v>0</v>
      </c>
      <c r="L479" s="10">
        <f t="shared" si="158"/>
        <v>85.296061623683187</v>
      </c>
      <c r="M479" s="12"/>
      <c r="N479" s="11">
        <f>-(1.7*K479^2)/19.62</f>
        <v>0</v>
      </c>
      <c r="O479">
        <f t="shared" si="154"/>
        <v>0</v>
      </c>
      <c r="P479">
        <f t="shared" si="155"/>
        <v>0</v>
      </c>
      <c r="Q479">
        <f t="shared" si="156"/>
        <v>0</v>
      </c>
      <c r="R479">
        <f t="shared" si="157"/>
        <v>1.2535019999999999E-2</v>
      </c>
    </row>
    <row r="480" spans="1:18" x14ac:dyDescent="0.3">
      <c r="A480">
        <v>1</v>
      </c>
      <c r="B480">
        <v>60</v>
      </c>
      <c r="C480">
        <v>1</v>
      </c>
      <c r="D480" s="16">
        <v>9.4</v>
      </c>
      <c r="E480" s="9">
        <v>30.84169052</v>
      </c>
      <c r="F480" s="6">
        <f t="shared" si="143"/>
        <v>3.0478225549615559</v>
      </c>
      <c r="G480" s="6">
        <v>7.9885999999999999</v>
      </c>
      <c r="H480" s="8">
        <v>1.2535019999999999E-2</v>
      </c>
      <c r="I480" s="17">
        <f t="shared" ref="I480:I485" si="165">F480/((E480*10^-4)/(G480*10^-2)*9.81)^(1/2)</f>
        <v>4.9524651199680267</v>
      </c>
      <c r="J480" s="16">
        <v>4.5</v>
      </c>
      <c r="K480" s="7">
        <v>1.02</v>
      </c>
      <c r="L480" s="10">
        <f t="shared" si="158"/>
        <v>21.133614106670137</v>
      </c>
      <c r="M480" s="12"/>
      <c r="N480" s="11">
        <f t="shared" ref="N480:N485" si="166">-(1.7*K480^2)/19.62</f>
        <v>-9.0146788990825691E-2</v>
      </c>
      <c r="O480">
        <f t="shared" si="154"/>
        <v>0.33466515245106387</v>
      </c>
      <c r="P480">
        <f t="shared" si="155"/>
        <v>1.6222399064974293</v>
      </c>
      <c r="Q480">
        <f t="shared" si="156"/>
        <v>0.17257871345717332</v>
      </c>
      <c r="R480">
        <f t="shared" si="157"/>
        <v>1.2535019999999999E-2</v>
      </c>
    </row>
    <row r="481" spans="1:18" x14ac:dyDescent="0.3">
      <c r="A481">
        <v>1</v>
      </c>
      <c r="B481">
        <v>60</v>
      </c>
      <c r="C481">
        <v>1</v>
      </c>
      <c r="D481" s="16">
        <v>14.1</v>
      </c>
      <c r="E481" s="9">
        <v>30.84169052</v>
      </c>
      <c r="F481" s="6">
        <f t="shared" si="143"/>
        <v>4.5717338324423338</v>
      </c>
      <c r="G481" s="6">
        <v>7.9885999999999999</v>
      </c>
      <c r="H481" s="8">
        <v>1.2535019999999999E-2</v>
      </c>
      <c r="I481" s="17">
        <f t="shared" si="165"/>
        <v>7.4286976799520401</v>
      </c>
      <c r="J481" s="16">
        <v>4.5</v>
      </c>
      <c r="K481" s="7">
        <v>2.71</v>
      </c>
      <c r="L481" s="10">
        <f t="shared" si="158"/>
        <v>8.8799946373160843</v>
      </c>
      <c r="M481" s="12"/>
      <c r="N481" s="11">
        <f t="shared" si="166"/>
        <v>-0.63633893985728851</v>
      </c>
      <c r="O481">
        <f t="shared" si="154"/>
        <v>0.5927729170865248</v>
      </c>
      <c r="P481">
        <f t="shared" si="155"/>
        <v>4.3100687711843468</v>
      </c>
      <c r="Q481">
        <f t="shared" si="156"/>
        <v>0.30567863625420899</v>
      </c>
      <c r="R481">
        <f t="shared" si="157"/>
        <v>1.2535019999999999E-2</v>
      </c>
    </row>
    <row r="482" spans="1:18" x14ac:dyDescent="0.3">
      <c r="A482">
        <v>1</v>
      </c>
      <c r="B482">
        <v>60</v>
      </c>
      <c r="C482">
        <v>1</v>
      </c>
      <c r="D482" s="16">
        <v>18.8</v>
      </c>
      <c r="E482" s="9">
        <v>30.84169052</v>
      </c>
      <c r="F482" s="6">
        <f t="shared" si="143"/>
        <v>6.0956451099231117</v>
      </c>
      <c r="G482" s="6">
        <v>7.9885999999999999</v>
      </c>
      <c r="H482" s="8">
        <v>1.2535019999999999E-2</v>
      </c>
      <c r="I482" s="17">
        <f t="shared" si="165"/>
        <v>9.9049302399360535</v>
      </c>
      <c r="J482" s="16">
        <v>4.5</v>
      </c>
      <c r="K482" s="7">
        <v>4.59</v>
      </c>
      <c r="L482" s="10">
        <f t="shared" si="158"/>
        <v>4.3670972740237364</v>
      </c>
      <c r="M482" s="12"/>
      <c r="N482" s="11">
        <f t="shared" si="166"/>
        <v>-1.8254724770642197</v>
      </c>
      <c r="O482">
        <f t="shared" si="154"/>
        <v>0.75299659301489363</v>
      </c>
      <c r="P482">
        <f t="shared" si="155"/>
        <v>7.3000795792384325</v>
      </c>
      <c r="Q482">
        <f t="shared" si="156"/>
        <v>0.38830210527864001</v>
      </c>
      <c r="R482">
        <f t="shared" si="157"/>
        <v>1.2535019999999999E-2</v>
      </c>
    </row>
    <row r="483" spans="1:18" x14ac:dyDescent="0.3">
      <c r="A483">
        <v>1</v>
      </c>
      <c r="B483">
        <v>60</v>
      </c>
      <c r="C483">
        <v>1</v>
      </c>
      <c r="D483" s="16">
        <v>23.5</v>
      </c>
      <c r="E483" s="9">
        <v>30.84169052</v>
      </c>
      <c r="F483" s="6">
        <f t="shared" si="143"/>
        <v>7.6195563874038896</v>
      </c>
      <c r="G483" s="6">
        <v>7.9885999999999999</v>
      </c>
      <c r="H483" s="8">
        <v>1.2535019999999999E-2</v>
      </c>
      <c r="I483" s="17">
        <f t="shared" si="165"/>
        <v>12.381162799920066</v>
      </c>
      <c r="J483" s="16">
        <v>4.5</v>
      </c>
      <c r="K483" s="7">
        <v>6.81</v>
      </c>
      <c r="L483" s="10">
        <f t="shared" si="158"/>
        <v>2.053892492755323</v>
      </c>
      <c r="M483" s="12"/>
      <c r="N483" s="11">
        <f t="shared" si="166"/>
        <v>-4.0183165137614667</v>
      </c>
      <c r="O483">
        <f t="shared" si="154"/>
        <v>0.89375281889872338</v>
      </c>
      <c r="P483">
        <f t="shared" si="155"/>
        <v>10.830837022791659</v>
      </c>
      <c r="Q483">
        <f t="shared" si="156"/>
        <v>0.46088668182092168</v>
      </c>
      <c r="R483">
        <f t="shared" si="157"/>
        <v>1.2535019999999999E-2</v>
      </c>
    </row>
    <row r="484" spans="1:18" x14ac:dyDescent="0.3">
      <c r="A484">
        <v>1</v>
      </c>
      <c r="B484">
        <v>60</v>
      </c>
      <c r="C484">
        <v>1</v>
      </c>
      <c r="D484" s="16">
        <v>28.2</v>
      </c>
      <c r="E484" s="9">
        <v>30.84169052</v>
      </c>
      <c r="F484" s="6">
        <f t="shared" si="143"/>
        <v>9.1434676648846676</v>
      </c>
      <c r="G484" s="6">
        <v>7.9885999999999999</v>
      </c>
      <c r="H484" s="8">
        <v>1.2535019999999999E-2</v>
      </c>
      <c r="I484" s="17">
        <f t="shared" si="165"/>
        <v>14.85739535990408</v>
      </c>
      <c r="J484" s="16">
        <v>4.5</v>
      </c>
      <c r="K484" s="7">
        <v>9.59</v>
      </c>
      <c r="L484" s="10">
        <f t="shared" si="158"/>
        <v>0.49923746194897489</v>
      </c>
      <c r="M484" s="12"/>
      <c r="N484" s="11">
        <f t="shared" si="166"/>
        <v>-7.9686936799184496</v>
      </c>
      <c r="O484">
        <f t="shared" si="154"/>
        <v>1.048836213073759</v>
      </c>
      <c r="P484">
        <f t="shared" si="155"/>
        <v>15.252235983637595</v>
      </c>
      <c r="Q484">
        <f t="shared" si="156"/>
        <v>0.54085943204388631</v>
      </c>
      <c r="R484">
        <f t="shared" si="157"/>
        <v>1.2535019999999999E-2</v>
      </c>
    </row>
    <row r="485" spans="1:18" x14ac:dyDescent="0.3">
      <c r="A485">
        <v>1</v>
      </c>
      <c r="B485">
        <v>60</v>
      </c>
      <c r="C485">
        <v>1</v>
      </c>
      <c r="D485" s="16">
        <v>33.299999999999997</v>
      </c>
      <c r="E485" s="9">
        <v>30.84169052</v>
      </c>
      <c r="F485" s="6">
        <f t="shared" ref="F485:F506" si="167">(D485*10^-3)/(E485*10^-4)</f>
        <v>10.797073519172319</v>
      </c>
      <c r="G485" s="6">
        <v>7.9885999999999999</v>
      </c>
      <c r="H485" s="8">
        <v>1.2535019999999999E-2</v>
      </c>
      <c r="I485" s="17">
        <f t="shared" si="165"/>
        <v>17.544371116482473</v>
      </c>
      <c r="J485" s="16">
        <v>4.5</v>
      </c>
      <c r="K485" s="7">
        <v>10.31</v>
      </c>
      <c r="L485" s="10">
        <f t="shared" si="158"/>
        <v>0.14908755867476359</v>
      </c>
      <c r="M485" s="12"/>
      <c r="N485" s="11">
        <f t="shared" si="166"/>
        <v>-9.2101615698267079</v>
      </c>
      <c r="O485">
        <f t="shared" si="154"/>
        <v>0.95488837615975997</v>
      </c>
      <c r="P485">
        <f t="shared" si="155"/>
        <v>16.397346505871077</v>
      </c>
      <c r="Q485">
        <f t="shared" si="156"/>
        <v>0.49241280798411646</v>
      </c>
      <c r="R485">
        <f t="shared" si="157"/>
        <v>1.2535019999999999E-2</v>
      </c>
    </row>
    <row r="486" spans="1:18" x14ac:dyDescent="0.3">
      <c r="A486">
        <v>1</v>
      </c>
      <c r="B486">
        <v>60</v>
      </c>
      <c r="C486">
        <v>2</v>
      </c>
      <c r="D486" s="16">
        <v>4.7</v>
      </c>
      <c r="E486" s="9">
        <v>30.84169052</v>
      </c>
      <c r="F486" s="6">
        <f t="shared" si="167"/>
        <v>1.5239112774807779</v>
      </c>
      <c r="G486" s="6">
        <v>7.9885999999999999</v>
      </c>
      <c r="H486" s="8">
        <v>6.2675099999999996E-3</v>
      </c>
      <c r="I486" s="17">
        <f>F486/((E486*10^-4)/(G486*10^-2)*9.81)^(1/2)</f>
        <v>2.4762325599840134</v>
      </c>
      <c r="J486" s="16">
        <v>4.5</v>
      </c>
      <c r="K486" s="7">
        <v>0.4</v>
      </c>
      <c r="L486" s="10">
        <f t="shared" si="158"/>
        <v>85.178936641445162</v>
      </c>
      <c r="M486" s="12"/>
      <c r="N486" s="11">
        <f>-(1.7*K486^2)/19.62</f>
        <v>-1.3863404689092763E-2</v>
      </c>
      <c r="O486">
        <f t="shared" si="154"/>
        <v>0.26248247251063833</v>
      </c>
      <c r="P486">
        <f t="shared" si="155"/>
        <v>0.63617251235193317</v>
      </c>
      <c r="Q486">
        <f t="shared" si="156"/>
        <v>0.13535585369190067</v>
      </c>
      <c r="R486">
        <f t="shared" si="157"/>
        <v>1.2535019999999999E-2</v>
      </c>
    </row>
    <row r="487" spans="1:18" x14ac:dyDescent="0.3">
      <c r="A487">
        <v>1</v>
      </c>
      <c r="B487">
        <v>60</v>
      </c>
      <c r="C487">
        <v>2</v>
      </c>
      <c r="D487" s="16">
        <v>9.4</v>
      </c>
      <c r="E487" s="9">
        <v>30.84169052</v>
      </c>
      <c r="F487" s="6">
        <f t="shared" si="167"/>
        <v>3.0478225549615559</v>
      </c>
      <c r="G487" s="6">
        <v>7.9885999999999999</v>
      </c>
      <c r="H487" s="8">
        <v>6.2675099999999996E-3</v>
      </c>
      <c r="I487" s="17">
        <f t="shared" ref="I487:I492" si="168">F487/((E487*10^-4)/(G487*10^-2)*9.81)^(1/2)</f>
        <v>4.9524651199680267</v>
      </c>
      <c r="J487" s="16">
        <v>4.5</v>
      </c>
      <c r="K487" s="7">
        <v>1.0900000000000001</v>
      </c>
      <c r="L487" s="10">
        <f t="shared" si="158"/>
        <v>21.106583856863022</v>
      </c>
      <c r="M487" s="12"/>
      <c r="N487" s="11">
        <f t="shared" ref="N487:N492" si="169">-(1.7*K487^2)/19.62</f>
        <v>-0.10294444444444445</v>
      </c>
      <c r="O487">
        <f t="shared" si="154"/>
        <v>0.35763236879574473</v>
      </c>
      <c r="P487">
        <f t="shared" si="155"/>
        <v>1.7335700961590177</v>
      </c>
      <c r="Q487">
        <f t="shared" si="156"/>
        <v>0.18442235065521465</v>
      </c>
      <c r="R487">
        <f t="shared" si="157"/>
        <v>1.2535019999999999E-2</v>
      </c>
    </row>
    <row r="488" spans="1:18" x14ac:dyDescent="0.3">
      <c r="A488">
        <v>1</v>
      </c>
      <c r="B488">
        <v>60</v>
      </c>
      <c r="C488">
        <v>2</v>
      </c>
      <c r="D488" s="16">
        <v>14.1</v>
      </c>
      <c r="E488" s="9">
        <v>30.84169052</v>
      </c>
      <c r="F488" s="6">
        <f t="shared" si="167"/>
        <v>4.5717338324423338</v>
      </c>
      <c r="G488" s="6">
        <v>7.9885999999999999</v>
      </c>
      <c r="H488" s="8">
        <v>6.2675099999999996E-3</v>
      </c>
      <c r="I488" s="17">
        <f t="shared" si="168"/>
        <v>7.4286976799520401</v>
      </c>
      <c r="J488" s="16">
        <v>4.5</v>
      </c>
      <c r="K488" s="7">
        <v>2.87</v>
      </c>
      <c r="L488" s="10">
        <f t="shared" si="158"/>
        <v>8.8073771483285217</v>
      </c>
      <c r="M488" s="12"/>
      <c r="N488" s="11">
        <f t="shared" si="169"/>
        <v>-0.71369673802242606</v>
      </c>
      <c r="O488">
        <f t="shared" si="154"/>
        <v>0.62777058008794329</v>
      </c>
      <c r="P488">
        <f t="shared" si="155"/>
        <v>4.5645377761251202</v>
      </c>
      <c r="Q488">
        <f t="shared" si="156"/>
        <v>0.32372608341312908</v>
      </c>
      <c r="R488">
        <f t="shared" si="157"/>
        <v>1.2535019999999999E-2</v>
      </c>
    </row>
    <row r="489" spans="1:18" x14ac:dyDescent="0.3">
      <c r="A489">
        <v>1</v>
      </c>
      <c r="B489">
        <v>60</v>
      </c>
      <c r="C489">
        <v>2</v>
      </c>
      <c r="D489" s="16">
        <v>18.8</v>
      </c>
      <c r="E489" s="9">
        <v>30.84169052</v>
      </c>
      <c r="F489" s="6">
        <f t="shared" si="167"/>
        <v>6.0956451099231117</v>
      </c>
      <c r="G489" s="6">
        <v>7.9885999999999999</v>
      </c>
      <c r="H489" s="8">
        <v>6.2675099999999996E-3</v>
      </c>
      <c r="I489" s="17">
        <f t="shared" si="168"/>
        <v>9.9049302399360535</v>
      </c>
      <c r="J489" s="16">
        <v>4.5</v>
      </c>
      <c r="K489" s="7">
        <v>4.25</v>
      </c>
      <c r="L489" s="10">
        <f t="shared" si="158"/>
        <v>4.5046093234825451</v>
      </c>
      <c r="M489" s="12"/>
      <c r="N489" s="11">
        <f t="shared" si="169"/>
        <v>-1.5650484199796126</v>
      </c>
      <c r="O489">
        <f t="shared" si="154"/>
        <v>0.69721906760638297</v>
      </c>
      <c r="P489">
        <f t="shared" si="155"/>
        <v>6.7593329437392899</v>
      </c>
      <c r="Q489">
        <f t="shared" si="156"/>
        <v>0.35953898636911114</v>
      </c>
      <c r="R489">
        <f t="shared" si="157"/>
        <v>1.2535019999999999E-2</v>
      </c>
    </row>
    <row r="490" spans="1:18" x14ac:dyDescent="0.3">
      <c r="A490">
        <v>1</v>
      </c>
      <c r="B490">
        <v>60</v>
      </c>
      <c r="C490">
        <v>2</v>
      </c>
      <c r="D490" s="16">
        <v>23.5</v>
      </c>
      <c r="E490" s="9">
        <v>30.84169052</v>
      </c>
      <c r="F490" s="6">
        <f t="shared" si="167"/>
        <v>7.6195563874038896</v>
      </c>
      <c r="G490" s="6">
        <v>7.9885999999999999</v>
      </c>
      <c r="H490" s="8">
        <v>6.2675099999999996E-3</v>
      </c>
      <c r="I490" s="17">
        <f t="shared" si="168"/>
        <v>12.381162799920066</v>
      </c>
      <c r="J490" s="16">
        <v>4.5</v>
      </c>
      <c r="K490" s="7">
        <v>5.21</v>
      </c>
      <c r="L490" s="10">
        <f t="shared" si="158"/>
        <v>2.6170294073556586</v>
      </c>
      <c r="M490" s="12"/>
      <c r="N490" s="11">
        <f t="shared" si="169"/>
        <v>-2.3519352701325174</v>
      </c>
      <c r="O490">
        <f t="shared" si="154"/>
        <v>0.68376684089021278</v>
      </c>
      <c r="P490">
        <f t="shared" si="155"/>
        <v>8.2861469733839304</v>
      </c>
      <c r="Q490">
        <f t="shared" si="156"/>
        <v>0.35260199886740129</v>
      </c>
      <c r="R490">
        <f t="shared" si="157"/>
        <v>1.2535019999999999E-2</v>
      </c>
    </row>
    <row r="491" spans="1:18" x14ac:dyDescent="0.3">
      <c r="A491">
        <v>1</v>
      </c>
      <c r="B491">
        <v>60</v>
      </c>
      <c r="C491">
        <v>2</v>
      </c>
      <c r="D491" s="16">
        <v>28.2</v>
      </c>
      <c r="E491" s="9">
        <v>30.84169052</v>
      </c>
      <c r="F491" s="6">
        <f t="shared" si="167"/>
        <v>9.1434676648846676</v>
      </c>
      <c r="G491" s="6">
        <v>7.9885999999999999</v>
      </c>
      <c r="H491" s="8">
        <v>6.2675099999999996E-3</v>
      </c>
      <c r="I491" s="17">
        <f t="shared" si="168"/>
        <v>14.85739535990408</v>
      </c>
      <c r="J491" s="16">
        <v>4.5</v>
      </c>
      <c r="K491" s="7">
        <v>6.74</v>
      </c>
      <c r="L491" s="10">
        <f t="shared" si="158"/>
        <v>1.4456012181725761</v>
      </c>
      <c r="M491" s="12"/>
      <c r="N491" s="11">
        <f t="shared" si="169"/>
        <v>-3.9361325178389399</v>
      </c>
      <c r="O491">
        <f t="shared" si="154"/>
        <v>0.73713827696737599</v>
      </c>
      <c r="P491">
        <f t="shared" si="155"/>
        <v>10.719506833130072</v>
      </c>
      <c r="Q491">
        <f t="shared" si="156"/>
        <v>0.38012435578475434</v>
      </c>
      <c r="R491">
        <f t="shared" si="157"/>
        <v>1.2535019999999999E-2</v>
      </c>
    </row>
    <row r="492" spans="1:18" x14ac:dyDescent="0.3">
      <c r="A492">
        <v>1</v>
      </c>
      <c r="B492">
        <v>60</v>
      </c>
      <c r="C492">
        <v>2</v>
      </c>
      <c r="D492" s="16">
        <v>33.299999999999997</v>
      </c>
      <c r="E492" s="9">
        <v>30.84169052</v>
      </c>
      <c r="F492" s="6">
        <f t="shared" si="167"/>
        <v>10.797073519172319</v>
      </c>
      <c r="G492" s="6">
        <v>7.9885999999999999</v>
      </c>
      <c r="H492" s="8">
        <v>6.2675099999999996E-3</v>
      </c>
      <c r="I492" s="17">
        <f t="shared" si="168"/>
        <v>17.544371116482473</v>
      </c>
      <c r="J492" s="16">
        <v>4.5</v>
      </c>
      <c r="K492" s="7">
        <v>7.7</v>
      </c>
      <c r="L492" s="10">
        <f t="shared" si="158"/>
        <v>0.83456161822528951</v>
      </c>
      <c r="M492" s="12"/>
      <c r="N492" s="11">
        <f t="shared" si="169"/>
        <v>-5.1372579001019369</v>
      </c>
      <c r="O492">
        <f t="shared" si="154"/>
        <v>0.71315620721921935</v>
      </c>
      <c r="P492">
        <f t="shared" si="155"/>
        <v>12.246320862774713</v>
      </c>
      <c r="Q492">
        <f t="shared" si="156"/>
        <v>0.36775738326650792</v>
      </c>
      <c r="R492">
        <f t="shared" si="157"/>
        <v>1.2535019999999999E-2</v>
      </c>
    </row>
    <row r="493" spans="1:18" x14ac:dyDescent="0.3">
      <c r="A493">
        <v>1</v>
      </c>
      <c r="B493">
        <v>60</v>
      </c>
      <c r="C493">
        <v>4</v>
      </c>
      <c r="D493" s="16">
        <v>4.7</v>
      </c>
      <c r="E493" s="9">
        <v>30.84169052</v>
      </c>
      <c r="F493" s="6">
        <f t="shared" si="167"/>
        <v>1.5239112774807779</v>
      </c>
      <c r="G493" s="6">
        <v>7.9885999999999999</v>
      </c>
      <c r="H493" s="8">
        <v>3.1337600000000002E-3</v>
      </c>
      <c r="I493" s="17">
        <f>F493/((E493*10^-4)/(G493*10^-2)*9.81)^(1/2)</f>
        <v>2.4762325599840134</v>
      </c>
      <c r="J493" s="16">
        <v>4.5</v>
      </c>
      <c r="K493" s="7">
        <v>0</v>
      </c>
      <c r="L493" s="10">
        <f t="shared" si="158"/>
        <v>85.296061623683187</v>
      </c>
      <c r="M493" s="12"/>
      <c r="N493" s="11">
        <f>-(1.7*K493^2)/19.62</f>
        <v>0</v>
      </c>
      <c r="O493">
        <f t="shared" si="154"/>
        <v>0</v>
      </c>
      <c r="P493">
        <f t="shared" si="155"/>
        <v>0</v>
      </c>
      <c r="Q493">
        <f t="shared" si="156"/>
        <v>0</v>
      </c>
      <c r="R493">
        <f t="shared" si="157"/>
        <v>1.2535040000000001E-2</v>
      </c>
    </row>
    <row r="494" spans="1:18" x14ac:dyDescent="0.3">
      <c r="A494">
        <v>1</v>
      </c>
      <c r="B494">
        <v>60</v>
      </c>
      <c r="C494">
        <v>4</v>
      </c>
      <c r="D494" s="16">
        <v>9.4</v>
      </c>
      <c r="E494" s="9">
        <v>30.84169052</v>
      </c>
      <c r="F494" s="6">
        <f t="shared" si="167"/>
        <v>3.0478225549615559</v>
      </c>
      <c r="G494" s="6">
        <v>7.9885999999999999</v>
      </c>
      <c r="H494" s="8">
        <v>3.1337600000000002E-3</v>
      </c>
      <c r="I494" s="17">
        <f t="shared" ref="I494:I499" si="170">F494/((E494*10^-4)/(G494*10^-2)*9.81)^(1/2)</f>
        <v>4.9524651199680267</v>
      </c>
      <c r="J494" s="16">
        <v>4.5</v>
      </c>
      <c r="K494" s="7">
        <v>0</v>
      </c>
      <c r="L494" s="10">
        <f t="shared" si="158"/>
        <v>21.324015405920797</v>
      </c>
      <c r="M494" s="12"/>
      <c r="N494" s="11">
        <f t="shared" ref="N494:N499" si="171">-(1.7*K494^2)/19.62</f>
        <v>0</v>
      </c>
      <c r="O494">
        <f t="shared" si="154"/>
        <v>0</v>
      </c>
      <c r="P494">
        <f t="shared" si="155"/>
        <v>0</v>
      </c>
      <c r="Q494">
        <f t="shared" si="156"/>
        <v>0</v>
      </c>
      <c r="R494">
        <f t="shared" si="157"/>
        <v>1.2535040000000001E-2</v>
      </c>
    </row>
    <row r="495" spans="1:18" x14ac:dyDescent="0.3">
      <c r="A495">
        <v>1</v>
      </c>
      <c r="B495">
        <v>60</v>
      </c>
      <c r="C495">
        <v>4</v>
      </c>
      <c r="D495" s="16">
        <v>14.1</v>
      </c>
      <c r="E495" s="9">
        <v>30.84169052</v>
      </c>
      <c r="F495" s="6">
        <f t="shared" si="167"/>
        <v>4.5717338324423338</v>
      </c>
      <c r="G495" s="6">
        <v>7.9885999999999999</v>
      </c>
      <c r="H495" s="8">
        <v>3.1337600000000002E-3</v>
      </c>
      <c r="I495" s="17">
        <f t="shared" si="170"/>
        <v>7.4286976799520401</v>
      </c>
      <c r="J495" s="16">
        <v>4.5</v>
      </c>
      <c r="K495" s="7">
        <v>0.4</v>
      </c>
      <c r="L495" s="10">
        <f t="shared" si="158"/>
        <v>9.4643262934939063</v>
      </c>
      <c r="M495" s="12"/>
      <c r="N495" s="11">
        <f t="shared" si="171"/>
        <v>-1.3863404689092763E-2</v>
      </c>
      <c r="O495">
        <f t="shared" si="154"/>
        <v>8.7494157503546111E-2</v>
      </c>
      <c r="P495">
        <f t="shared" si="155"/>
        <v>0.63617251235193317</v>
      </c>
      <c r="Q495">
        <f t="shared" si="156"/>
        <v>4.5118617897300227E-2</v>
      </c>
      <c r="R495">
        <f t="shared" si="157"/>
        <v>1.2535040000000001E-2</v>
      </c>
    </row>
    <row r="496" spans="1:18" x14ac:dyDescent="0.3">
      <c r="A496">
        <v>1</v>
      </c>
      <c r="B496">
        <v>60</v>
      </c>
      <c r="C496">
        <v>4</v>
      </c>
      <c r="D496" s="16">
        <v>18.8</v>
      </c>
      <c r="E496" s="9">
        <v>30.84169052</v>
      </c>
      <c r="F496" s="6">
        <f t="shared" si="167"/>
        <v>6.0956451099231117</v>
      </c>
      <c r="G496" s="6">
        <v>7.9885999999999999</v>
      </c>
      <c r="H496" s="8">
        <v>3.1337600000000002E-3</v>
      </c>
      <c r="I496" s="17">
        <f t="shared" si="170"/>
        <v>9.9049302399360535</v>
      </c>
      <c r="J496" s="16">
        <v>4.5</v>
      </c>
      <c r="K496" s="7">
        <v>1.05</v>
      </c>
      <c r="L496" s="10">
        <f t="shared" si="158"/>
        <v>5.2805623308093379</v>
      </c>
      <c r="M496" s="12"/>
      <c r="N496" s="11">
        <f t="shared" si="171"/>
        <v>-9.5527522935779804E-2</v>
      </c>
      <c r="O496">
        <f t="shared" si="154"/>
        <v>0.17225412258510639</v>
      </c>
      <c r="P496">
        <f t="shared" si="155"/>
        <v>1.6699528449238243</v>
      </c>
      <c r="Q496">
        <f t="shared" si="156"/>
        <v>8.8827278985309802E-2</v>
      </c>
      <c r="R496">
        <f t="shared" si="157"/>
        <v>1.2535040000000001E-2</v>
      </c>
    </row>
    <row r="497" spans="1:18" x14ac:dyDescent="0.3">
      <c r="A497">
        <v>1</v>
      </c>
      <c r="B497">
        <v>60</v>
      </c>
      <c r="C497">
        <v>4</v>
      </c>
      <c r="D497" s="16">
        <v>23.5</v>
      </c>
      <c r="E497" s="9">
        <v>30.84169052</v>
      </c>
      <c r="F497" s="6">
        <f t="shared" si="167"/>
        <v>7.6195563874038896</v>
      </c>
      <c r="G497" s="6">
        <v>7.9885999999999999</v>
      </c>
      <c r="H497" s="8">
        <v>3.1337600000000002E-3</v>
      </c>
      <c r="I497" s="17">
        <f t="shared" si="170"/>
        <v>12.381162799920066</v>
      </c>
      <c r="J497" s="16">
        <v>4.5</v>
      </c>
      <c r="K497" s="7">
        <v>1.41</v>
      </c>
      <c r="L497" s="10">
        <f t="shared" si="158"/>
        <v>3.3536284206504816</v>
      </c>
      <c r="M497" s="12"/>
      <c r="N497" s="11">
        <f t="shared" si="171"/>
        <v>-0.17226146788990823</v>
      </c>
      <c r="O497">
        <f t="shared" si="154"/>
        <v>0.18505014312000001</v>
      </c>
      <c r="P497">
        <f t="shared" si="155"/>
        <v>2.2425081060405643</v>
      </c>
      <c r="Q497">
        <f t="shared" si="156"/>
        <v>9.542587685278997E-2</v>
      </c>
      <c r="R497">
        <f t="shared" si="157"/>
        <v>1.2535040000000001E-2</v>
      </c>
    </row>
    <row r="498" spans="1:18" x14ac:dyDescent="0.3">
      <c r="A498">
        <v>1</v>
      </c>
      <c r="B498">
        <v>60</v>
      </c>
      <c r="C498">
        <v>4</v>
      </c>
      <c r="D498" s="16">
        <v>28.2</v>
      </c>
      <c r="E498" s="9">
        <v>30.84169052</v>
      </c>
      <c r="F498" s="6">
        <f t="shared" si="167"/>
        <v>9.1434676648846676</v>
      </c>
      <c r="G498" s="6">
        <v>7.9885999999999999</v>
      </c>
      <c r="H498" s="8">
        <v>3.1337600000000002E-3</v>
      </c>
      <c r="I498" s="17">
        <f t="shared" si="170"/>
        <v>14.85739535990408</v>
      </c>
      <c r="J498" s="16">
        <v>4.5</v>
      </c>
      <c r="K498" s="7">
        <v>2.06</v>
      </c>
      <c r="L498" s="10">
        <f t="shared" si="158"/>
        <v>2.2830448411743234</v>
      </c>
      <c r="M498" s="12"/>
      <c r="N498" s="11">
        <f t="shared" si="171"/>
        <v>-0.36769215086646273</v>
      </c>
      <c r="O498">
        <f t="shared" si="154"/>
        <v>0.22529745557163122</v>
      </c>
      <c r="P498">
        <f t="shared" si="155"/>
        <v>3.2762884386124553</v>
      </c>
      <c r="Q498">
        <f t="shared" si="156"/>
        <v>0.11618044108554806</v>
      </c>
      <c r="R498">
        <f t="shared" si="157"/>
        <v>1.2535040000000001E-2</v>
      </c>
    </row>
    <row r="499" spans="1:18" x14ac:dyDescent="0.3">
      <c r="A499">
        <v>1</v>
      </c>
      <c r="B499">
        <v>60</v>
      </c>
      <c r="C499">
        <v>4</v>
      </c>
      <c r="D499" s="16">
        <v>33.299999999999997</v>
      </c>
      <c r="E499" s="9">
        <v>30.84169052</v>
      </c>
      <c r="F499" s="6">
        <f t="shared" si="167"/>
        <v>10.797073519172319</v>
      </c>
      <c r="G499" s="6">
        <v>7.9885999999999999</v>
      </c>
      <c r="H499" s="8">
        <v>3.1337600000000002E-3</v>
      </c>
      <c r="I499" s="17">
        <f t="shared" si="170"/>
        <v>17.544371116482473</v>
      </c>
      <c r="J499" s="16">
        <v>4.5</v>
      </c>
      <c r="K499" s="7">
        <v>2.21</v>
      </c>
      <c r="L499" s="10">
        <f t="shared" si="158"/>
        <v>1.6279444586757834</v>
      </c>
      <c r="M499" s="12"/>
      <c r="N499" s="11">
        <f t="shared" si="171"/>
        <v>-0.42318909276248723</v>
      </c>
      <c r="O499">
        <f t="shared" si="154"/>
        <v>0.20468509324084089</v>
      </c>
      <c r="P499">
        <f t="shared" si="155"/>
        <v>3.51485313074443</v>
      </c>
      <c r="Q499">
        <f t="shared" si="156"/>
        <v>0.10555114506740031</v>
      </c>
      <c r="R499">
        <f t="shared" si="157"/>
        <v>1.2535040000000001E-2</v>
      </c>
    </row>
    <row r="500" spans="1:18" x14ac:dyDescent="0.3">
      <c r="A500">
        <v>1</v>
      </c>
      <c r="B500">
        <v>60</v>
      </c>
      <c r="C500">
        <v>6</v>
      </c>
      <c r="D500" s="16">
        <v>4.7</v>
      </c>
      <c r="E500" s="9">
        <v>30.84169052</v>
      </c>
      <c r="F500" s="6">
        <f t="shared" si="167"/>
        <v>1.5239112774807779</v>
      </c>
      <c r="G500" s="6">
        <v>7.9885999999999999</v>
      </c>
      <c r="H500" s="8">
        <v>2.08917E-3</v>
      </c>
      <c r="I500" s="17">
        <f>F500/((E500*10^-4)/(G500*10^-2)*9.81)^(1/2)</f>
        <v>2.4762325599840134</v>
      </c>
      <c r="J500" s="16">
        <v>4.5</v>
      </c>
      <c r="K500" s="7">
        <v>0</v>
      </c>
      <c r="L500" s="10">
        <f t="shared" si="158"/>
        <v>85.296061623683187</v>
      </c>
      <c r="M500" s="12"/>
      <c r="N500" s="11">
        <f>-(1.7*K500^2)/19.62</f>
        <v>0</v>
      </c>
      <c r="O500">
        <f t="shared" si="154"/>
        <v>0</v>
      </c>
      <c r="P500">
        <f t="shared" si="155"/>
        <v>0</v>
      </c>
      <c r="Q500">
        <f t="shared" si="156"/>
        <v>0</v>
      </c>
      <c r="R500">
        <f t="shared" si="157"/>
        <v>1.2535020000000001E-2</v>
      </c>
    </row>
    <row r="501" spans="1:18" x14ac:dyDescent="0.3">
      <c r="A501">
        <v>1</v>
      </c>
      <c r="B501">
        <v>60</v>
      </c>
      <c r="C501">
        <v>6</v>
      </c>
      <c r="D501" s="16">
        <v>9.4</v>
      </c>
      <c r="E501" s="9">
        <v>30.84169052</v>
      </c>
      <c r="F501" s="6">
        <f t="shared" si="167"/>
        <v>3.0478225549615559</v>
      </c>
      <c r="G501" s="6">
        <v>7.9885999999999999</v>
      </c>
      <c r="H501" s="8">
        <v>2.08917E-3</v>
      </c>
      <c r="I501" s="17">
        <f t="shared" ref="I501:I506" si="172">F501/((E501*10^-4)/(G501*10^-2)*9.81)^(1/2)</f>
        <v>4.9524651199680267</v>
      </c>
      <c r="J501" s="16">
        <v>4.5</v>
      </c>
      <c r="K501" s="7">
        <v>0</v>
      </c>
      <c r="L501" s="10">
        <f t="shared" si="158"/>
        <v>21.324015405920797</v>
      </c>
      <c r="M501" s="12"/>
      <c r="N501" s="11">
        <f t="shared" ref="N501:N506" si="173">-(1.7*K501^2)/19.62</f>
        <v>0</v>
      </c>
      <c r="O501">
        <f t="shared" si="154"/>
        <v>0</v>
      </c>
      <c r="P501">
        <f t="shared" si="155"/>
        <v>0</v>
      </c>
      <c r="Q501">
        <f t="shared" si="156"/>
        <v>0</v>
      </c>
      <c r="R501">
        <f t="shared" si="157"/>
        <v>1.2535020000000001E-2</v>
      </c>
    </row>
    <row r="502" spans="1:18" x14ac:dyDescent="0.3">
      <c r="A502">
        <v>1</v>
      </c>
      <c r="B502">
        <v>60</v>
      </c>
      <c r="C502">
        <v>6</v>
      </c>
      <c r="D502" s="16">
        <v>14.1</v>
      </c>
      <c r="E502" s="9">
        <v>30.84169052</v>
      </c>
      <c r="F502" s="6">
        <f t="shared" si="167"/>
        <v>4.5717338324423338</v>
      </c>
      <c r="G502" s="6">
        <v>7.9885999999999999</v>
      </c>
      <c r="H502" s="8">
        <v>2.08917E-3</v>
      </c>
      <c r="I502" s="17">
        <f t="shared" si="172"/>
        <v>7.4286976799520401</v>
      </c>
      <c r="J502" s="16">
        <v>4.5</v>
      </c>
      <c r="K502" s="7">
        <v>0</v>
      </c>
      <c r="L502" s="10">
        <f t="shared" si="158"/>
        <v>9.4773401804092412</v>
      </c>
      <c r="M502" s="12"/>
      <c r="N502" s="11">
        <f t="shared" si="173"/>
        <v>0</v>
      </c>
      <c r="O502">
        <f t="shared" si="154"/>
        <v>0</v>
      </c>
      <c r="P502">
        <f t="shared" si="155"/>
        <v>0</v>
      </c>
      <c r="Q502">
        <f t="shared" si="156"/>
        <v>0</v>
      </c>
      <c r="R502">
        <f t="shared" si="157"/>
        <v>1.2535020000000001E-2</v>
      </c>
    </row>
    <row r="503" spans="1:18" x14ac:dyDescent="0.3">
      <c r="A503">
        <v>1</v>
      </c>
      <c r="B503">
        <v>60</v>
      </c>
      <c r="C503">
        <v>6</v>
      </c>
      <c r="D503" s="16">
        <v>18.8</v>
      </c>
      <c r="E503" s="9">
        <v>30.84169052</v>
      </c>
      <c r="F503" s="6">
        <f t="shared" si="167"/>
        <v>6.0956451099231117</v>
      </c>
      <c r="G503" s="6">
        <v>7.9885999999999999</v>
      </c>
      <c r="H503" s="8">
        <v>2.08917E-3</v>
      </c>
      <c r="I503" s="17">
        <f t="shared" si="172"/>
        <v>9.9049302399360535</v>
      </c>
      <c r="J503" s="16">
        <v>4.5</v>
      </c>
      <c r="K503" s="7">
        <v>0</v>
      </c>
      <c r="L503" s="10">
        <f t="shared" si="158"/>
        <v>5.3310038514801992</v>
      </c>
      <c r="M503" s="12"/>
      <c r="N503" s="11">
        <f t="shared" si="173"/>
        <v>0</v>
      </c>
      <c r="O503">
        <f t="shared" si="154"/>
        <v>0</v>
      </c>
      <c r="P503">
        <f t="shared" si="155"/>
        <v>0</v>
      </c>
      <c r="Q503">
        <f t="shared" si="156"/>
        <v>0</v>
      </c>
      <c r="R503">
        <f t="shared" si="157"/>
        <v>1.2535020000000001E-2</v>
      </c>
    </row>
    <row r="504" spans="1:18" x14ac:dyDescent="0.3">
      <c r="A504">
        <v>1</v>
      </c>
      <c r="B504">
        <v>60</v>
      </c>
      <c r="C504">
        <v>6</v>
      </c>
      <c r="D504" s="16">
        <v>23.5</v>
      </c>
      <c r="E504" s="9">
        <v>30.84169052</v>
      </c>
      <c r="F504" s="6">
        <f t="shared" si="167"/>
        <v>7.6195563874038896</v>
      </c>
      <c r="G504" s="6">
        <v>7.9885999999999999</v>
      </c>
      <c r="H504" s="8">
        <v>2.08917E-3</v>
      </c>
      <c r="I504" s="17">
        <f t="shared" si="172"/>
        <v>12.381162799920066</v>
      </c>
      <c r="J504" s="16">
        <v>4.5</v>
      </c>
      <c r="K504" s="7">
        <v>0</v>
      </c>
      <c r="L504" s="10">
        <f t="shared" si="158"/>
        <v>3.4118424649473273</v>
      </c>
      <c r="M504" s="12"/>
      <c r="N504" s="11">
        <f t="shared" si="173"/>
        <v>0</v>
      </c>
      <c r="O504">
        <f t="shared" si="154"/>
        <v>0</v>
      </c>
      <c r="P504">
        <f t="shared" si="155"/>
        <v>0</v>
      </c>
      <c r="Q504">
        <f t="shared" si="156"/>
        <v>0</v>
      </c>
      <c r="R504">
        <f t="shared" si="157"/>
        <v>1.2535020000000001E-2</v>
      </c>
    </row>
    <row r="505" spans="1:18" x14ac:dyDescent="0.3">
      <c r="A505">
        <v>1</v>
      </c>
      <c r="B505">
        <v>60</v>
      </c>
      <c r="C505">
        <v>6</v>
      </c>
      <c r="D505" s="16">
        <v>28.2</v>
      </c>
      <c r="E505" s="9">
        <v>30.84169052</v>
      </c>
      <c r="F505" s="6">
        <f t="shared" si="167"/>
        <v>9.1434676648846676</v>
      </c>
      <c r="G505" s="6">
        <v>7.9885999999999999</v>
      </c>
      <c r="H505" s="8">
        <v>2.08917E-3</v>
      </c>
      <c r="I505" s="17">
        <f t="shared" si="172"/>
        <v>14.85739535990408</v>
      </c>
      <c r="J505" s="16">
        <v>4.5</v>
      </c>
      <c r="K505" s="7">
        <v>0</v>
      </c>
      <c r="L505" s="10">
        <f t="shared" si="158"/>
        <v>2.3693350451023103</v>
      </c>
      <c r="M505" s="12"/>
      <c r="N505" s="11">
        <f t="shared" si="173"/>
        <v>0</v>
      </c>
      <c r="O505">
        <f t="shared" si="154"/>
        <v>0</v>
      </c>
      <c r="P505">
        <f t="shared" si="155"/>
        <v>0</v>
      </c>
      <c r="Q505">
        <f t="shared" si="156"/>
        <v>0</v>
      </c>
      <c r="R505">
        <f t="shared" si="157"/>
        <v>1.2535020000000001E-2</v>
      </c>
    </row>
    <row r="506" spans="1:18" x14ac:dyDescent="0.3">
      <c r="A506">
        <v>1</v>
      </c>
      <c r="B506">
        <v>60</v>
      </c>
      <c r="C506">
        <v>6</v>
      </c>
      <c r="D506" s="16">
        <v>33.299999999999997</v>
      </c>
      <c r="E506" s="9">
        <v>30.84169052</v>
      </c>
      <c r="F506" s="6">
        <f t="shared" si="167"/>
        <v>10.797073519172319</v>
      </c>
      <c r="G506" s="6">
        <v>7.9885999999999999</v>
      </c>
      <c r="H506" s="8">
        <v>2.08917E-3</v>
      </c>
      <c r="I506" s="17">
        <f t="shared" si="172"/>
        <v>17.544371116482473</v>
      </c>
      <c r="J506" s="16">
        <v>4.5</v>
      </c>
      <c r="K506" s="7">
        <v>0</v>
      </c>
      <c r="L506" s="10">
        <f t="shared" si="158"/>
        <v>1.6991676372473032</v>
      </c>
      <c r="M506" s="12"/>
      <c r="N506" s="11">
        <f t="shared" si="173"/>
        <v>0</v>
      </c>
      <c r="O506">
        <f t="shared" si="154"/>
        <v>0</v>
      </c>
      <c r="P506">
        <f t="shared" si="155"/>
        <v>0</v>
      </c>
      <c r="Q506">
        <f t="shared" si="156"/>
        <v>0</v>
      </c>
      <c r="R506">
        <f t="shared" si="157"/>
        <v>1.2535020000000001E-2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2FEB5-89BA-46AC-942A-5E2661B5E504}">
  <dimension ref="A1:K506"/>
  <sheetViews>
    <sheetView zoomScale="70" zoomScaleNormal="70" workbookViewId="0">
      <selection sqref="A1:XFD1048576"/>
    </sheetView>
  </sheetViews>
  <sheetFormatPr defaultColWidth="14" defaultRowHeight="14.4" x14ac:dyDescent="0.3"/>
  <cols>
    <col min="6" max="6" width="14.109375" customWidth="1"/>
  </cols>
  <sheetData>
    <row r="1" spans="1:11" ht="18" x14ac:dyDescent="0.3">
      <c r="A1" t="s">
        <v>18</v>
      </c>
      <c r="B1" t="s">
        <v>1</v>
      </c>
      <c r="C1" t="s">
        <v>0</v>
      </c>
      <c r="D1" s="5" t="s">
        <v>19</v>
      </c>
      <c r="E1" t="s">
        <v>26</v>
      </c>
      <c r="F1" t="s">
        <v>27</v>
      </c>
      <c r="G1" s="3" t="s">
        <v>4</v>
      </c>
      <c r="H1" t="s">
        <v>21</v>
      </c>
      <c r="I1" s="3" t="s">
        <v>8</v>
      </c>
      <c r="J1" s="11" t="s">
        <v>28</v>
      </c>
      <c r="K1" t="s">
        <v>9</v>
      </c>
    </row>
    <row r="2" spans="1:11" x14ac:dyDescent="0.3">
      <c r="A2" s="14" t="s">
        <v>12</v>
      </c>
      <c r="B2" t="s">
        <v>11</v>
      </c>
      <c r="C2" t="s">
        <v>16</v>
      </c>
      <c r="D2" s="5" t="s">
        <v>14</v>
      </c>
      <c r="E2" t="s">
        <v>14</v>
      </c>
      <c r="F2" t="s">
        <v>15</v>
      </c>
      <c r="G2" s="3" t="s">
        <v>11</v>
      </c>
      <c r="H2" t="s">
        <v>13</v>
      </c>
      <c r="I2" s="3" t="s">
        <v>15</v>
      </c>
      <c r="J2" s="11" t="s">
        <v>13</v>
      </c>
      <c r="K2" t="s">
        <v>12</v>
      </c>
    </row>
    <row r="3" spans="1:11" x14ac:dyDescent="0.3">
      <c r="A3">
        <v>0.6</v>
      </c>
      <c r="B3">
        <v>1</v>
      </c>
      <c r="C3">
        <v>10</v>
      </c>
      <c r="D3" s="3">
        <v>1.6</v>
      </c>
      <c r="E3">
        <v>0</v>
      </c>
      <c r="F3">
        <v>3.1520882584712373</v>
      </c>
      <c r="G3" s="7">
        <v>0.94</v>
      </c>
      <c r="H3">
        <v>-0.77981651376146777</v>
      </c>
      <c r="I3" s="7">
        <v>0</v>
      </c>
      <c r="J3" s="11">
        <v>4.0000000000000001E-3</v>
      </c>
      <c r="K3">
        <v>19.936623459420002</v>
      </c>
    </row>
    <row r="4" spans="1:11" x14ac:dyDescent="0.3">
      <c r="A4">
        <v>0.6</v>
      </c>
      <c r="B4">
        <v>1</v>
      </c>
      <c r="C4">
        <v>10</v>
      </c>
      <c r="D4" s="3">
        <v>3.2</v>
      </c>
      <c r="E4">
        <v>3.4671401923180354</v>
      </c>
      <c r="F4">
        <v>6.3041765169424746</v>
      </c>
      <c r="G4" s="7">
        <v>0.94</v>
      </c>
      <c r="H4">
        <v>-1.7545871559633026</v>
      </c>
      <c r="I4" s="7">
        <v>2.1800000000000002</v>
      </c>
      <c r="J4" s="11">
        <v>4.0000000000000001E-3</v>
      </c>
      <c r="K4">
        <v>4.7808709375443756</v>
      </c>
    </row>
    <row r="5" spans="1:11" x14ac:dyDescent="0.3">
      <c r="A5">
        <v>0.6</v>
      </c>
      <c r="B5">
        <v>1</v>
      </c>
      <c r="C5">
        <v>10</v>
      </c>
      <c r="D5" s="3">
        <v>4.8</v>
      </c>
      <c r="E5">
        <v>10.846741335600459</v>
      </c>
      <c r="F5">
        <v>9.456264775413711</v>
      </c>
      <c r="G5" s="7">
        <v>0.94</v>
      </c>
      <c r="H5">
        <v>-1.7545871559633026</v>
      </c>
      <c r="I5" s="7">
        <v>6.82</v>
      </c>
      <c r="J5" s="11">
        <v>4.0000000000000001E-3</v>
      </c>
      <c r="K5">
        <v>1.3309235547975002</v>
      </c>
    </row>
    <row r="6" spans="1:11" x14ac:dyDescent="0.3">
      <c r="A6">
        <v>0.6</v>
      </c>
      <c r="B6">
        <v>1</v>
      </c>
      <c r="C6">
        <v>10</v>
      </c>
      <c r="D6" s="3">
        <v>6.4</v>
      </c>
      <c r="E6">
        <v>16.683624136429447</v>
      </c>
      <c r="F6">
        <v>12.608353033884949</v>
      </c>
      <c r="G6" s="7">
        <v>0.94</v>
      </c>
      <c r="H6">
        <v>-1.7545871559633026</v>
      </c>
      <c r="I6" s="7">
        <v>10.49</v>
      </c>
      <c r="J6" s="11">
        <v>4.0000000000000001E-3</v>
      </c>
      <c r="K6">
        <v>6.9291757974023468E-2</v>
      </c>
    </row>
    <row r="7" spans="1:11" x14ac:dyDescent="0.3">
      <c r="A7">
        <v>0.6</v>
      </c>
      <c r="B7">
        <v>1</v>
      </c>
      <c r="C7">
        <v>10</v>
      </c>
      <c r="D7" s="3">
        <v>8</v>
      </c>
      <c r="E7">
        <v>23.4588613929775</v>
      </c>
      <c r="F7">
        <v>15.760441292356187</v>
      </c>
      <c r="G7" s="7">
        <v>0.94</v>
      </c>
      <c r="H7">
        <v>-1.7545871559633026</v>
      </c>
      <c r="I7" s="7">
        <v>14.75</v>
      </c>
      <c r="J7" s="11">
        <v>4.0000000000000001E-3</v>
      </c>
      <c r="K7">
        <v>-0.69154026313882477</v>
      </c>
    </row>
    <row r="8" spans="1:11" x14ac:dyDescent="0.3">
      <c r="A8">
        <v>0.6</v>
      </c>
      <c r="B8">
        <v>1</v>
      </c>
      <c r="C8">
        <v>10</v>
      </c>
      <c r="D8" s="3">
        <v>9.6</v>
      </c>
      <c r="E8">
        <v>29.534308885938493</v>
      </c>
      <c r="F8">
        <v>18.912529550827422</v>
      </c>
      <c r="G8" s="7">
        <v>0.94</v>
      </c>
      <c r="H8">
        <v>-1.7545871559633026</v>
      </c>
      <c r="I8" s="7">
        <v>18.57</v>
      </c>
      <c r="J8" s="11">
        <v>4.0000000000000001E-3</v>
      </c>
      <c r="K8">
        <v>-1.0851842834451564</v>
      </c>
    </row>
    <row r="9" spans="1:11" x14ac:dyDescent="0.3">
      <c r="A9">
        <v>0.6</v>
      </c>
      <c r="B9">
        <v>1</v>
      </c>
      <c r="C9">
        <v>10</v>
      </c>
      <c r="D9" s="7">
        <v>11.55</v>
      </c>
      <c r="E9">
        <v>36.945718654838515</v>
      </c>
      <c r="F9">
        <v>22.754137115839246</v>
      </c>
      <c r="G9" s="7">
        <v>0.94</v>
      </c>
      <c r="H9">
        <v>-1.7545871559633026</v>
      </c>
      <c r="I9" s="7">
        <v>23.23</v>
      </c>
      <c r="J9" s="11">
        <v>4.0000000000000001E-3</v>
      </c>
      <c r="K9">
        <v>-1.3892638529682848</v>
      </c>
    </row>
    <row r="10" spans="1:11" x14ac:dyDescent="0.3">
      <c r="A10">
        <v>0.6</v>
      </c>
      <c r="B10">
        <v>2</v>
      </c>
      <c r="C10">
        <v>10</v>
      </c>
      <c r="D10" s="3">
        <v>1.6</v>
      </c>
      <c r="E10">
        <v>0.31101767270538949</v>
      </c>
      <c r="F10">
        <v>3.1520882584712373</v>
      </c>
      <c r="G10" s="7">
        <v>0.94</v>
      </c>
      <c r="H10">
        <v>-0.77981651376146777</v>
      </c>
      <c r="I10" s="7">
        <v>0.44</v>
      </c>
      <c r="J10" s="11">
        <v>4.0000000000000001E-3</v>
      </c>
      <c r="K10">
        <v>19.903498333649999</v>
      </c>
    </row>
    <row r="11" spans="1:11" x14ac:dyDescent="0.3">
      <c r="A11">
        <v>0.6</v>
      </c>
      <c r="B11">
        <v>2</v>
      </c>
      <c r="C11">
        <v>10</v>
      </c>
      <c r="D11" s="3">
        <v>3.2</v>
      </c>
      <c r="E11">
        <v>4.0874083918611692</v>
      </c>
      <c r="F11">
        <v>6.3041765169424746</v>
      </c>
      <c r="G11" s="7">
        <v>0.94</v>
      </c>
      <c r="H11">
        <v>-1.7545871559633026</v>
      </c>
      <c r="I11" s="7">
        <v>2.57</v>
      </c>
      <c r="J11" s="11">
        <v>4.0000000000000001E-3</v>
      </c>
      <c r="K11">
        <v>4.7016298534935945</v>
      </c>
    </row>
    <row r="12" spans="1:11" x14ac:dyDescent="0.3">
      <c r="A12">
        <v>0.6</v>
      </c>
      <c r="B12">
        <v>2</v>
      </c>
      <c r="C12">
        <v>10</v>
      </c>
      <c r="D12" s="3">
        <v>4.8</v>
      </c>
      <c r="E12">
        <v>10.862645648409259</v>
      </c>
      <c r="F12">
        <v>9.456264775413711</v>
      </c>
      <c r="G12" s="7">
        <v>0.94</v>
      </c>
      <c r="H12">
        <v>-1.7545871559633026</v>
      </c>
      <c r="I12" s="7">
        <v>6.83</v>
      </c>
      <c r="J12" s="11">
        <v>4.0000000000000001E-3</v>
      </c>
      <c r="K12">
        <v>1.3283285251443753</v>
      </c>
    </row>
    <row r="13" spans="1:11" x14ac:dyDescent="0.3">
      <c r="A13">
        <v>0.6</v>
      </c>
      <c r="B13">
        <v>2</v>
      </c>
      <c r="C13">
        <v>10</v>
      </c>
      <c r="D13" s="3">
        <v>6.4</v>
      </c>
      <c r="E13">
        <v>17.940064848324514</v>
      </c>
      <c r="F13">
        <v>12.608353033884949</v>
      </c>
      <c r="G13" s="7">
        <v>0.94</v>
      </c>
      <c r="H13">
        <v>-1.7545871559633026</v>
      </c>
      <c r="I13" s="7">
        <v>11.28</v>
      </c>
      <c r="J13" s="11">
        <v>4.0000000000000001E-3</v>
      </c>
      <c r="K13">
        <v>-0.11462348302874979</v>
      </c>
    </row>
    <row r="14" spans="1:11" x14ac:dyDescent="0.3">
      <c r="A14">
        <v>0.6</v>
      </c>
      <c r="B14">
        <v>2</v>
      </c>
      <c r="C14">
        <v>10</v>
      </c>
      <c r="D14" s="3">
        <v>8</v>
      </c>
      <c r="E14">
        <v>26.957810210913163</v>
      </c>
      <c r="F14">
        <v>15.760441292356187</v>
      </c>
      <c r="G14" s="7">
        <v>0.94</v>
      </c>
      <c r="H14">
        <v>-1.7545871559633026</v>
      </c>
      <c r="I14" s="7">
        <v>16.95</v>
      </c>
      <c r="J14" s="11">
        <v>4.0000000000000001E-3</v>
      </c>
      <c r="K14">
        <v>-1.1688432117338243</v>
      </c>
    </row>
    <row r="15" spans="1:11" x14ac:dyDescent="0.3">
      <c r="A15">
        <v>0.6</v>
      </c>
      <c r="B15">
        <v>2</v>
      </c>
      <c r="C15">
        <v>10</v>
      </c>
      <c r="D15" s="3">
        <v>9.6</v>
      </c>
      <c r="E15">
        <v>34.973583866547514</v>
      </c>
      <c r="F15">
        <v>18.912529550827422</v>
      </c>
      <c r="G15" s="7">
        <v>0.94</v>
      </c>
      <c r="H15">
        <v>-1.7545871559633026</v>
      </c>
      <c r="I15" s="7">
        <v>21.99</v>
      </c>
      <c r="J15" s="11">
        <v>4.0000000000000001E-3</v>
      </c>
      <c r="K15">
        <v>-1.7444701027476561</v>
      </c>
    </row>
    <row r="16" spans="1:11" x14ac:dyDescent="0.3">
      <c r="A16">
        <v>0.6</v>
      </c>
      <c r="B16">
        <v>2</v>
      </c>
      <c r="C16">
        <v>10</v>
      </c>
      <c r="D16" s="7">
        <v>11.5</v>
      </c>
      <c r="E16">
        <v>43.482391219254623</v>
      </c>
      <c r="F16">
        <v>22.655634357762018</v>
      </c>
      <c r="G16" s="7">
        <v>0.94</v>
      </c>
      <c r="H16">
        <v>-1.7545871559633026</v>
      </c>
      <c r="I16" s="7">
        <v>27.34</v>
      </c>
      <c r="J16" s="11">
        <v>4.0000000000000001E-3</v>
      </c>
      <c r="K16">
        <v>-2.0897554239697542</v>
      </c>
    </row>
    <row r="17" spans="1:11" x14ac:dyDescent="0.3">
      <c r="A17">
        <v>0.6</v>
      </c>
      <c r="B17">
        <v>4</v>
      </c>
      <c r="C17">
        <v>10</v>
      </c>
      <c r="D17" s="3">
        <v>1.6</v>
      </c>
      <c r="E17">
        <v>0</v>
      </c>
      <c r="F17">
        <v>3.1520882584712373</v>
      </c>
      <c r="G17" s="7">
        <v>0.94</v>
      </c>
      <c r="H17">
        <v>-0.77981651376146777</v>
      </c>
      <c r="I17" s="7">
        <v>0</v>
      </c>
      <c r="J17" s="11">
        <v>4.0000000000000001E-3</v>
      </c>
      <c r="K17">
        <v>19.936623459420002</v>
      </c>
    </row>
    <row r="18" spans="1:11" x14ac:dyDescent="0.3">
      <c r="A18">
        <v>0.6</v>
      </c>
      <c r="B18">
        <v>4</v>
      </c>
      <c r="C18">
        <v>10</v>
      </c>
      <c r="D18" s="3">
        <v>3.2</v>
      </c>
      <c r="E18">
        <v>4.0078868278171784</v>
      </c>
      <c r="F18">
        <v>6.3041765169424746</v>
      </c>
      <c r="G18" s="7">
        <v>0.94</v>
      </c>
      <c r="H18">
        <v>-1.7545871559633026</v>
      </c>
      <c r="I18" s="7">
        <v>2.52</v>
      </c>
      <c r="J18" s="11">
        <v>4.0000000000000001E-3</v>
      </c>
      <c r="K18">
        <v>4.7125161454725006</v>
      </c>
    </row>
    <row r="19" spans="1:11" x14ac:dyDescent="0.3">
      <c r="A19">
        <v>0.6</v>
      </c>
      <c r="B19">
        <v>4</v>
      </c>
      <c r="C19">
        <v>10</v>
      </c>
      <c r="D19" s="3">
        <v>4.8</v>
      </c>
      <c r="E19">
        <v>10.433229202571701</v>
      </c>
      <c r="F19">
        <v>9.456264775413711</v>
      </c>
      <c r="G19" s="7">
        <v>0.94</v>
      </c>
      <c r="H19">
        <v>-1.7545871559633026</v>
      </c>
      <c r="I19" s="7">
        <v>6.56</v>
      </c>
      <c r="J19" s="11">
        <v>4.0000000000000001E-3</v>
      </c>
      <c r="K19">
        <v>1.3970597391000006</v>
      </c>
    </row>
    <row r="20" spans="1:11" x14ac:dyDescent="0.3">
      <c r="A20">
        <v>0.6</v>
      </c>
      <c r="B20">
        <v>4</v>
      </c>
      <c r="C20">
        <v>10</v>
      </c>
      <c r="D20" s="3">
        <v>6.4</v>
      </c>
      <c r="E20">
        <v>18.433098545397261</v>
      </c>
      <c r="F20">
        <v>12.608353033884949</v>
      </c>
      <c r="G20" s="7">
        <v>0.94</v>
      </c>
      <c r="H20">
        <v>-1.7545871559633026</v>
      </c>
      <c r="I20" s="7">
        <v>11.59</v>
      </c>
      <c r="J20" s="11">
        <v>4.0000000000000001E-3</v>
      </c>
      <c r="K20">
        <v>-0.19043934181347669</v>
      </c>
    </row>
    <row r="21" spans="1:11" x14ac:dyDescent="0.3">
      <c r="A21">
        <v>0.6</v>
      </c>
      <c r="B21">
        <v>4</v>
      </c>
      <c r="C21">
        <v>10</v>
      </c>
      <c r="D21" s="3">
        <v>8</v>
      </c>
      <c r="E21">
        <v>25.924029878341276</v>
      </c>
      <c r="F21">
        <v>15.760441292356187</v>
      </c>
      <c r="G21" s="7">
        <v>0.94</v>
      </c>
      <c r="H21">
        <v>-1.7545871559633026</v>
      </c>
      <c r="I21" s="7">
        <v>16.3</v>
      </c>
      <c r="J21" s="11">
        <v>4.0000000000000001E-3</v>
      </c>
      <c r="K21">
        <v>-1.0209265215056997</v>
      </c>
    </row>
    <row r="22" spans="1:11" x14ac:dyDescent="0.3">
      <c r="A22">
        <v>0.6</v>
      </c>
      <c r="B22">
        <v>4</v>
      </c>
      <c r="C22">
        <v>10</v>
      </c>
      <c r="D22" s="3">
        <v>9.6</v>
      </c>
      <c r="E22">
        <v>35.403000312385082</v>
      </c>
      <c r="F22">
        <v>18.912529550827422</v>
      </c>
      <c r="G22" s="7">
        <v>0.94</v>
      </c>
      <c r="H22">
        <v>-1.7545871559633026</v>
      </c>
      <c r="I22" s="7">
        <v>22.26</v>
      </c>
      <c r="J22" s="11">
        <v>4.0000000000000001E-3</v>
      </c>
      <c r="K22">
        <v>-1.8012541994156259</v>
      </c>
    </row>
    <row r="23" spans="1:11" x14ac:dyDescent="0.3">
      <c r="A23">
        <v>0.6</v>
      </c>
      <c r="B23">
        <v>4</v>
      </c>
      <c r="C23">
        <v>10</v>
      </c>
      <c r="D23" s="7">
        <v>11.45</v>
      </c>
      <c r="E23">
        <v>46.233837335176737</v>
      </c>
      <c r="F23">
        <v>22.557131599684791</v>
      </c>
      <c r="G23" s="7">
        <v>0.94</v>
      </c>
      <c r="H23">
        <v>-1.7545871559633026</v>
      </c>
      <c r="I23" s="7">
        <v>29.07</v>
      </c>
      <c r="J23" s="11">
        <v>4.0000000000000001E-3</v>
      </c>
      <c r="K23">
        <v>-2.4340957919532094</v>
      </c>
    </row>
    <row r="24" spans="1:11" x14ac:dyDescent="0.3">
      <c r="A24">
        <v>0.6</v>
      </c>
      <c r="B24">
        <v>6</v>
      </c>
      <c r="C24">
        <v>10</v>
      </c>
      <c r="D24" s="3">
        <v>1.6</v>
      </c>
      <c r="E24">
        <v>0</v>
      </c>
      <c r="F24">
        <v>3.1520882584712373</v>
      </c>
      <c r="G24" s="7">
        <v>0.94</v>
      </c>
      <c r="H24">
        <v>-0.77981651376146777</v>
      </c>
      <c r="I24" s="7">
        <v>0</v>
      </c>
      <c r="J24" s="11">
        <v>4.00002E-3</v>
      </c>
      <c r="K24">
        <v>19.936623459420002</v>
      </c>
    </row>
    <row r="25" spans="1:11" x14ac:dyDescent="0.3">
      <c r="A25">
        <v>0.6</v>
      </c>
      <c r="B25">
        <v>6</v>
      </c>
      <c r="C25">
        <v>10</v>
      </c>
      <c r="D25" s="3">
        <v>3.2</v>
      </c>
      <c r="E25">
        <v>3.7852264484940017</v>
      </c>
      <c r="F25">
        <v>6.3041765169424746</v>
      </c>
      <c r="G25" s="7">
        <v>0.94</v>
      </c>
      <c r="H25">
        <v>-1.7545871559633026</v>
      </c>
      <c r="I25" s="7">
        <v>2.38</v>
      </c>
      <c r="J25" s="11">
        <v>4.00002E-3</v>
      </c>
      <c r="K25">
        <v>4.7418599423193752</v>
      </c>
    </row>
    <row r="26" spans="1:11" x14ac:dyDescent="0.3">
      <c r="A26">
        <v>0.6</v>
      </c>
      <c r="B26">
        <v>6</v>
      </c>
      <c r="C26">
        <v>10</v>
      </c>
      <c r="D26" s="3">
        <v>4.8</v>
      </c>
      <c r="E26">
        <v>10.926262899644453</v>
      </c>
      <c r="F26">
        <v>9.456264775413711</v>
      </c>
      <c r="G26" s="7">
        <v>0.94</v>
      </c>
      <c r="H26">
        <v>-1.7545871559633026</v>
      </c>
      <c r="I26" s="7">
        <v>6.87</v>
      </c>
      <c r="J26" s="11">
        <v>4.00002E-3</v>
      </c>
      <c r="K26">
        <v>1.3179103841193753</v>
      </c>
    </row>
    <row r="27" spans="1:11" x14ac:dyDescent="0.3">
      <c r="A27">
        <v>0.6</v>
      </c>
      <c r="B27">
        <v>6</v>
      </c>
      <c r="C27">
        <v>10</v>
      </c>
      <c r="D27" s="3">
        <v>6.4</v>
      </c>
      <c r="E27">
        <v>17.431126838442971</v>
      </c>
      <c r="F27">
        <v>12.608353033884949</v>
      </c>
      <c r="G27" s="7">
        <v>0.94</v>
      </c>
      <c r="H27">
        <v>-1.7545871559633026</v>
      </c>
      <c r="I27" s="7">
        <v>10.96</v>
      </c>
      <c r="J27" s="11">
        <v>4.00002E-3</v>
      </c>
      <c r="K27">
        <v>-3.8517822168750035E-2</v>
      </c>
    </row>
    <row r="28" spans="1:11" x14ac:dyDescent="0.3">
      <c r="A28">
        <v>0.6</v>
      </c>
      <c r="B28">
        <v>6</v>
      </c>
      <c r="C28">
        <v>10</v>
      </c>
      <c r="D28" s="3">
        <v>8</v>
      </c>
      <c r="E28">
        <v>27.164566277427543</v>
      </c>
      <c r="F28">
        <v>15.760441292356187</v>
      </c>
      <c r="G28" s="7">
        <v>0.94</v>
      </c>
      <c r="H28">
        <v>-1.7545871559633026</v>
      </c>
      <c r="I28" s="7">
        <v>17.079999999999998</v>
      </c>
      <c r="J28" s="11">
        <v>4.00002E-3</v>
      </c>
      <c r="K28">
        <v>-1.1991205348523992</v>
      </c>
    </row>
    <row r="29" spans="1:11" x14ac:dyDescent="0.3">
      <c r="A29">
        <v>0.6</v>
      </c>
      <c r="B29">
        <v>6</v>
      </c>
      <c r="C29">
        <v>10</v>
      </c>
      <c r="D29" s="3">
        <v>9.6</v>
      </c>
      <c r="E29">
        <v>33.001449078256528</v>
      </c>
      <c r="F29">
        <v>18.912529550827422</v>
      </c>
      <c r="G29" s="7">
        <v>0.94</v>
      </c>
      <c r="H29">
        <v>-1.7545871559633026</v>
      </c>
      <c r="I29" s="7">
        <v>20.75</v>
      </c>
      <c r="J29" s="11">
        <v>4.00002E-3</v>
      </c>
      <c r="K29">
        <v>-1.4925830266589064</v>
      </c>
    </row>
    <row r="30" spans="1:11" x14ac:dyDescent="0.3">
      <c r="A30">
        <v>0.6</v>
      </c>
      <c r="B30">
        <v>6</v>
      </c>
      <c r="C30">
        <v>10</v>
      </c>
      <c r="D30" s="7">
        <v>11.45</v>
      </c>
      <c r="E30">
        <v>40.492380411200543</v>
      </c>
      <c r="F30">
        <v>22.557131599684791</v>
      </c>
      <c r="G30" s="7">
        <v>0.94</v>
      </c>
      <c r="H30">
        <v>-1.7545871559633026</v>
      </c>
      <c r="I30" s="7">
        <v>25.46</v>
      </c>
      <c r="J30" s="11">
        <v>4.00002E-3</v>
      </c>
      <c r="K30">
        <v>-1.776401800189257</v>
      </c>
    </row>
    <row r="31" spans="1:11" x14ac:dyDescent="0.3">
      <c r="A31">
        <v>0.6</v>
      </c>
      <c r="B31">
        <v>1</v>
      </c>
      <c r="C31">
        <v>15</v>
      </c>
      <c r="D31" s="3">
        <v>1.9</v>
      </c>
      <c r="E31">
        <v>0</v>
      </c>
      <c r="F31">
        <v>2.4954032046230625</v>
      </c>
      <c r="G31" s="7">
        <v>1.41</v>
      </c>
      <c r="H31">
        <v>-0.77981651376146777</v>
      </c>
      <c r="I31" s="7">
        <v>0</v>
      </c>
      <c r="J31" s="11">
        <v>5.7099999999999998E-3</v>
      </c>
      <c r="K31">
        <v>31.810235769046876</v>
      </c>
    </row>
    <row r="32" spans="1:11" x14ac:dyDescent="0.3">
      <c r="A32">
        <v>0.6</v>
      </c>
      <c r="B32">
        <v>1</v>
      </c>
      <c r="C32">
        <v>15</v>
      </c>
      <c r="D32" s="3">
        <v>3.8</v>
      </c>
      <c r="E32">
        <v>0.88357293382212931</v>
      </c>
      <c r="F32">
        <v>4.9908064092461251</v>
      </c>
      <c r="G32" s="7">
        <v>1.41</v>
      </c>
      <c r="H32">
        <v>-0.77981651376146777</v>
      </c>
      <c r="I32" s="7">
        <v>1.25</v>
      </c>
      <c r="J32" s="11">
        <v>5.7099999999999998E-3</v>
      </c>
      <c r="K32">
        <v>7.8459171343496692</v>
      </c>
    </row>
    <row r="33" spans="1:11" x14ac:dyDescent="0.3">
      <c r="A33">
        <v>0.6</v>
      </c>
      <c r="B33">
        <v>1</v>
      </c>
      <c r="C33">
        <v>15</v>
      </c>
      <c r="D33" s="3">
        <v>5.7</v>
      </c>
      <c r="E33">
        <v>3.2603841258036566</v>
      </c>
      <c r="F33">
        <v>7.486209613869188</v>
      </c>
      <c r="G33" s="7">
        <v>1.41</v>
      </c>
      <c r="H33">
        <v>-1.7545871559633026</v>
      </c>
      <c r="I33" s="7">
        <v>2.0499999999999998</v>
      </c>
      <c r="J33" s="11">
        <v>5.7099999999999998E-3</v>
      </c>
      <c r="K33">
        <v>3.4069933936450973</v>
      </c>
    </row>
    <row r="34" spans="1:11" x14ac:dyDescent="0.3">
      <c r="A34">
        <v>0.6</v>
      </c>
      <c r="B34">
        <v>1</v>
      </c>
      <c r="C34">
        <v>15</v>
      </c>
      <c r="D34" s="3">
        <v>7.6</v>
      </c>
      <c r="E34">
        <v>5.4074663549914312</v>
      </c>
      <c r="F34">
        <v>9.9816128184922501</v>
      </c>
      <c r="G34" s="7">
        <v>1.41</v>
      </c>
      <c r="H34">
        <v>-1.7545871559633026</v>
      </c>
      <c r="I34" s="7">
        <v>3.4</v>
      </c>
      <c r="J34" s="11">
        <v>5.7099999999999998E-3</v>
      </c>
      <c r="K34">
        <v>1.7908950476513024</v>
      </c>
    </row>
    <row r="35" spans="1:11" x14ac:dyDescent="0.3">
      <c r="A35">
        <v>0.6</v>
      </c>
      <c r="B35">
        <v>1</v>
      </c>
      <c r="C35">
        <v>15</v>
      </c>
      <c r="D35" s="3">
        <v>9.5</v>
      </c>
      <c r="E35">
        <v>7.8408262147375751</v>
      </c>
      <c r="F35">
        <v>12.477016023115313</v>
      </c>
      <c r="G35" s="7">
        <v>1.41</v>
      </c>
      <c r="H35">
        <v>-1.7545871559633026</v>
      </c>
      <c r="I35" s="7">
        <v>4.93</v>
      </c>
      <c r="J35" s="11">
        <v>5.7099999999999998E-3</v>
      </c>
      <c r="K35">
        <v>1.0069969787046251</v>
      </c>
    </row>
    <row r="36" spans="1:11" x14ac:dyDescent="0.3">
      <c r="A36">
        <v>0.6</v>
      </c>
      <c r="B36">
        <v>1</v>
      </c>
      <c r="C36">
        <v>15</v>
      </c>
      <c r="D36" s="3">
        <v>11.4</v>
      </c>
      <c r="E36">
        <v>10.973975838070846</v>
      </c>
      <c r="F36">
        <v>14.972419227738376</v>
      </c>
      <c r="G36" s="7">
        <v>1.41</v>
      </c>
      <c r="H36">
        <v>-1.7545871559633026</v>
      </c>
      <c r="I36" s="7">
        <v>6.9</v>
      </c>
      <c r="J36" s="11">
        <v>5.7099999999999998E-3</v>
      </c>
      <c r="K36">
        <v>0.52257115538426602</v>
      </c>
    </row>
    <row r="37" spans="1:11" x14ac:dyDescent="0.3">
      <c r="A37">
        <v>0.6</v>
      </c>
      <c r="B37">
        <v>1</v>
      </c>
      <c r="C37">
        <v>15</v>
      </c>
      <c r="D37" s="7">
        <v>13.3</v>
      </c>
      <c r="E37">
        <v>14.234359963874502</v>
      </c>
      <c r="F37">
        <v>17.467822432361441</v>
      </c>
      <c r="G37" s="7">
        <v>1.41</v>
      </c>
      <c r="H37">
        <v>-1.7545871559633026</v>
      </c>
      <c r="I37" s="7">
        <v>8.9499999999999993</v>
      </c>
      <c r="J37" s="11">
        <v>5.7099999999999998E-3</v>
      </c>
      <c r="K37">
        <v>0.20289817751557018</v>
      </c>
    </row>
    <row r="38" spans="1:11" x14ac:dyDescent="0.3">
      <c r="A38">
        <v>0.6</v>
      </c>
      <c r="B38">
        <v>2</v>
      </c>
      <c r="C38">
        <v>15</v>
      </c>
      <c r="D38" s="3">
        <v>1.9</v>
      </c>
      <c r="E38">
        <v>0</v>
      </c>
      <c r="F38">
        <v>2.4954032046230625</v>
      </c>
      <c r="G38" s="7">
        <v>1.41</v>
      </c>
      <c r="H38">
        <v>-0.77981651376146777</v>
      </c>
      <c r="I38" s="7">
        <v>0</v>
      </c>
      <c r="J38" s="11">
        <v>5.7099999999999998E-3</v>
      </c>
      <c r="K38">
        <v>31.810235769046876</v>
      </c>
    </row>
    <row r="39" spans="1:11" x14ac:dyDescent="0.3">
      <c r="A39">
        <v>0.6</v>
      </c>
      <c r="B39">
        <v>2</v>
      </c>
      <c r="C39">
        <v>15</v>
      </c>
      <c r="D39" s="3">
        <v>3.8</v>
      </c>
      <c r="E39">
        <v>3.0377237464804803</v>
      </c>
      <c r="F39">
        <v>4.9908064092461251</v>
      </c>
      <c r="G39" s="7">
        <v>1.41</v>
      </c>
      <c r="H39">
        <v>-1.7545871559633026</v>
      </c>
      <c r="I39" s="7">
        <v>1.91</v>
      </c>
      <c r="J39" s="11">
        <v>5.7099999999999998E-3</v>
      </c>
      <c r="K39">
        <v>7.7035733554175909</v>
      </c>
    </row>
    <row r="40" spans="1:11" x14ac:dyDescent="0.3">
      <c r="A40">
        <v>0.6</v>
      </c>
      <c r="B40">
        <v>2</v>
      </c>
      <c r="C40">
        <v>15</v>
      </c>
      <c r="D40" s="3">
        <v>5.7</v>
      </c>
      <c r="E40">
        <v>5.868691426446583</v>
      </c>
      <c r="F40">
        <v>7.486209613869188</v>
      </c>
      <c r="G40" s="7">
        <v>1.41</v>
      </c>
      <c r="H40">
        <v>-1.7545871559633026</v>
      </c>
      <c r="I40" s="7">
        <v>3.69</v>
      </c>
      <c r="J40" s="11">
        <v>5.7099999999999998E-3</v>
      </c>
      <c r="K40">
        <v>3.1214443595584491</v>
      </c>
    </row>
    <row r="41" spans="1:11" x14ac:dyDescent="0.3">
      <c r="A41">
        <v>0.6</v>
      </c>
      <c r="B41">
        <v>2</v>
      </c>
      <c r="C41">
        <v>15</v>
      </c>
      <c r="D41" s="3">
        <v>7.6</v>
      </c>
      <c r="E41">
        <v>11.578339724805184</v>
      </c>
      <c r="F41">
        <v>9.9816128184922501</v>
      </c>
      <c r="G41" s="7">
        <v>1.41</v>
      </c>
      <c r="H41">
        <v>-1.7545871559633026</v>
      </c>
      <c r="I41" s="7">
        <v>7.28</v>
      </c>
      <c r="J41" s="11">
        <v>5.7099999999999998E-3</v>
      </c>
      <c r="K41">
        <v>1.0838445047740723</v>
      </c>
    </row>
    <row r="42" spans="1:11" x14ac:dyDescent="0.3">
      <c r="A42">
        <v>0.6</v>
      </c>
      <c r="B42">
        <v>2</v>
      </c>
      <c r="C42">
        <v>15</v>
      </c>
      <c r="D42" s="3">
        <v>9.5</v>
      </c>
      <c r="E42">
        <v>17.685595843383737</v>
      </c>
      <c r="F42">
        <v>12.477016023115313</v>
      </c>
      <c r="G42" s="7">
        <v>1.41</v>
      </c>
      <c r="H42">
        <v>-1.7545871559633026</v>
      </c>
      <c r="I42" s="7">
        <v>11.12</v>
      </c>
      <c r="J42" s="11">
        <v>5.7099999999999998E-3</v>
      </c>
      <c r="K42">
        <v>-7.7911595519574259E-2</v>
      </c>
    </row>
    <row r="43" spans="1:11" x14ac:dyDescent="0.3">
      <c r="A43">
        <v>0.6</v>
      </c>
      <c r="B43">
        <v>2</v>
      </c>
      <c r="C43">
        <v>15</v>
      </c>
      <c r="D43" s="3">
        <v>11.4</v>
      </c>
      <c r="E43">
        <v>27.40313096955952</v>
      </c>
      <c r="F43">
        <v>14.972419227738376</v>
      </c>
      <c r="G43" s="7">
        <v>1.41</v>
      </c>
      <c r="H43">
        <v>-1.7545871559633026</v>
      </c>
      <c r="I43" s="7">
        <v>17.23</v>
      </c>
      <c r="J43" s="11">
        <v>5.7099999999999998E-3</v>
      </c>
      <c r="K43">
        <v>-1.3676934704931027</v>
      </c>
    </row>
    <row r="44" spans="1:11" x14ac:dyDescent="0.3">
      <c r="A44">
        <v>0.6</v>
      </c>
      <c r="B44">
        <v>2</v>
      </c>
      <c r="C44">
        <v>15</v>
      </c>
      <c r="D44" s="7">
        <v>13.3</v>
      </c>
      <c r="E44">
        <v>35.180339933061902</v>
      </c>
      <c r="F44">
        <v>17.467822432361441</v>
      </c>
      <c r="G44" s="7">
        <v>1.41</v>
      </c>
      <c r="H44">
        <v>-1.7545871559633026</v>
      </c>
      <c r="I44" s="7">
        <v>22.12</v>
      </c>
      <c r="J44" s="11">
        <v>5.7099999999999998E-3</v>
      </c>
      <c r="K44">
        <v>-2.0769105538590176</v>
      </c>
    </row>
    <row r="45" spans="1:11" x14ac:dyDescent="0.3">
      <c r="A45">
        <v>0.6</v>
      </c>
      <c r="B45">
        <v>4</v>
      </c>
      <c r="C45">
        <v>15</v>
      </c>
      <c r="D45" s="3">
        <v>1.9</v>
      </c>
      <c r="E45">
        <v>0</v>
      </c>
      <c r="F45">
        <v>2.4954032046230625</v>
      </c>
      <c r="G45" s="7">
        <v>1.41</v>
      </c>
      <c r="H45">
        <v>-0.77981651376146777</v>
      </c>
      <c r="I45" s="7">
        <v>0</v>
      </c>
      <c r="J45" s="11">
        <v>5.7099999999999998E-3</v>
      </c>
      <c r="K45">
        <v>31.810235769046876</v>
      </c>
    </row>
    <row r="46" spans="1:11" x14ac:dyDescent="0.3">
      <c r="A46">
        <v>0.6</v>
      </c>
      <c r="B46">
        <v>4</v>
      </c>
      <c r="C46">
        <v>15</v>
      </c>
      <c r="D46" s="3">
        <v>3.8</v>
      </c>
      <c r="E46">
        <v>3.1808625617596653</v>
      </c>
      <c r="F46">
        <v>4.9908064092461251</v>
      </c>
      <c r="G46" s="7">
        <v>1.41</v>
      </c>
      <c r="H46">
        <v>-1.7545871559633026</v>
      </c>
      <c r="I46" s="7">
        <v>2</v>
      </c>
      <c r="J46" s="11">
        <v>5.7099999999999998E-3</v>
      </c>
      <c r="K46">
        <v>7.6795559140068717</v>
      </c>
    </row>
    <row r="47" spans="1:11" x14ac:dyDescent="0.3">
      <c r="A47">
        <v>0.6</v>
      </c>
      <c r="B47">
        <v>4</v>
      </c>
      <c r="C47">
        <v>15</v>
      </c>
      <c r="D47" s="3">
        <v>5.7</v>
      </c>
      <c r="E47">
        <v>6.4412466875633232</v>
      </c>
      <c r="F47">
        <v>7.486209613869188</v>
      </c>
      <c r="G47" s="7">
        <v>1.41</v>
      </c>
      <c r="H47">
        <v>-1.7545871559633026</v>
      </c>
      <c r="I47" s="7">
        <v>4.05</v>
      </c>
      <c r="J47" s="11">
        <v>5.7099999999999998E-3</v>
      </c>
      <c r="K47">
        <v>3.0369226220107484</v>
      </c>
    </row>
    <row r="48" spans="1:11" x14ac:dyDescent="0.3">
      <c r="A48">
        <v>0.6</v>
      </c>
      <c r="B48">
        <v>4</v>
      </c>
      <c r="C48">
        <v>15</v>
      </c>
      <c r="D48" s="3">
        <v>7.6</v>
      </c>
      <c r="E48">
        <v>12.071373421877929</v>
      </c>
      <c r="F48">
        <v>9.9816128184922501</v>
      </c>
      <c r="G48" s="7">
        <v>1.41</v>
      </c>
      <c r="H48">
        <v>-1.7545871559633026</v>
      </c>
      <c r="I48" s="7">
        <v>7.59</v>
      </c>
      <c r="J48" s="11">
        <v>5.7099999999999998E-3</v>
      </c>
      <c r="K48">
        <v>1.0051906260649239</v>
      </c>
    </row>
    <row r="49" spans="1:11" x14ac:dyDescent="0.3">
      <c r="A49">
        <v>0.6</v>
      </c>
      <c r="B49">
        <v>4</v>
      </c>
      <c r="C49">
        <v>15</v>
      </c>
      <c r="D49" s="3">
        <v>9.5</v>
      </c>
      <c r="E49">
        <v>20.723319589864222</v>
      </c>
      <c r="F49">
        <v>12.477016023115313</v>
      </c>
      <c r="G49" s="7">
        <v>1.41</v>
      </c>
      <c r="H49">
        <v>-1.7545871559633026</v>
      </c>
      <c r="I49" s="7">
        <v>13.03</v>
      </c>
      <c r="J49" s="11">
        <v>5.7099999999999998E-3</v>
      </c>
      <c r="K49">
        <v>-0.58161856283146318</v>
      </c>
    </row>
    <row r="50" spans="1:11" x14ac:dyDescent="0.3">
      <c r="A50">
        <v>0.6</v>
      </c>
      <c r="B50">
        <v>4</v>
      </c>
      <c r="C50">
        <v>15</v>
      </c>
      <c r="D50" s="3">
        <v>11.4</v>
      </c>
      <c r="E50">
        <v>31.124740166818327</v>
      </c>
      <c r="F50">
        <v>14.972419227738376</v>
      </c>
      <c r="G50" s="7">
        <v>1.41</v>
      </c>
      <c r="H50">
        <v>-1.7545871559633026</v>
      </c>
      <c r="I50" s="7">
        <v>19.57</v>
      </c>
      <c r="J50" s="11">
        <v>5.7099999999999998E-3</v>
      </c>
      <c r="K50">
        <v>-2.020716714078699</v>
      </c>
    </row>
    <row r="51" spans="1:11" x14ac:dyDescent="0.3">
      <c r="A51">
        <v>0.6</v>
      </c>
      <c r="B51">
        <v>4</v>
      </c>
      <c r="C51">
        <v>15</v>
      </c>
      <c r="D51" s="7">
        <v>13.3</v>
      </c>
      <c r="E51">
        <v>40.619614913670929</v>
      </c>
      <c r="F51">
        <v>17.467822432361441</v>
      </c>
      <c r="G51" s="7">
        <v>1.41</v>
      </c>
      <c r="H51">
        <v>-1.7545871559633026</v>
      </c>
      <c r="I51" s="7">
        <v>25.54</v>
      </c>
      <c r="J51" s="11">
        <v>5.7099999999999998E-3</v>
      </c>
      <c r="K51">
        <v>-2.9850478844112827</v>
      </c>
    </row>
    <row r="52" spans="1:11" x14ac:dyDescent="0.3">
      <c r="A52">
        <v>0.6</v>
      </c>
      <c r="B52">
        <v>6</v>
      </c>
      <c r="C52">
        <v>15</v>
      </c>
      <c r="D52" s="3">
        <v>1.9</v>
      </c>
      <c r="E52">
        <v>0</v>
      </c>
      <c r="F52">
        <v>2.4954032046230625</v>
      </c>
      <c r="G52" s="7">
        <v>1.41</v>
      </c>
      <c r="H52">
        <v>-0.77981651376146777</v>
      </c>
      <c r="I52" s="7">
        <v>0</v>
      </c>
      <c r="J52" s="11">
        <v>5.7100199999999997E-3</v>
      </c>
      <c r="K52">
        <v>31.810235769046876</v>
      </c>
    </row>
    <row r="53" spans="1:11" x14ac:dyDescent="0.3">
      <c r="A53">
        <v>0.6</v>
      </c>
      <c r="B53">
        <v>6</v>
      </c>
      <c r="C53">
        <v>15</v>
      </c>
      <c r="D53" s="3">
        <v>3.8</v>
      </c>
      <c r="E53">
        <v>3.403522941082842</v>
      </c>
      <c r="F53">
        <v>4.9908064092461251</v>
      </c>
      <c r="G53" s="7">
        <v>1.41</v>
      </c>
      <c r="H53">
        <v>-1.7545871559633026</v>
      </c>
      <c r="I53" s="7">
        <v>2.14</v>
      </c>
      <c r="J53" s="11">
        <v>5.7100199999999997E-3</v>
      </c>
      <c r="K53">
        <v>7.6399977752127439</v>
      </c>
    </row>
    <row r="54" spans="1:11" x14ac:dyDescent="0.3">
      <c r="A54">
        <v>0.6</v>
      </c>
      <c r="B54">
        <v>6</v>
      </c>
      <c r="C54">
        <v>15</v>
      </c>
      <c r="D54" s="3">
        <v>5.7</v>
      </c>
      <c r="E54">
        <v>6.3935337491369264</v>
      </c>
      <c r="F54">
        <v>7.486209613869188</v>
      </c>
      <c r="G54" s="7">
        <v>1.41</v>
      </c>
      <c r="H54">
        <v>-1.7545871559633026</v>
      </c>
      <c r="I54" s="7">
        <v>4.0199999999999996</v>
      </c>
      <c r="J54" s="11">
        <v>5.7100199999999997E-3</v>
      </c>
      <c r="K54">
        <v>3.0442664034708042</v>
      </c>
    </row>
    <row r="55" spans="1:11" x14ac:dyDescent="0.3">
      <c r="A55">
        <v>0.6</v>
      </c>
      <c r="B55">
        <v>6</v>
      </c>
      <c r="C55">
        <v>15</v>
      </c>
      <c r="D55" s="3">
        <v>7.6</v>
      </c>
      <c r="E55">
        <v>12.771163185465056</v>
      </c>
      <c r="F55">
        <v>9.9816128184922501</v>
      </c>
      <c r="G55" s="7">
        <v>1.41</v>
      </c>
      <c r="H55">
        <v>-1.7545871559633026</v>
      </c>
      <c r="I55" s="7">
        <v>8.0299999999999994</v>
      </c>
      <c r="J55" s="11">
        <v>5.7100199999999997E-3</v>
      </c>
      <c r="K55">
        <v>0.88792217527805439</v>
      </c>
    </row>
    <row r="56" spans="1:11" x14ac:dyDescent="0.3">
      <c r="A56">
        <v>0.6</v>
      </c>
      <c r="B56">
        <v>6</v>
      </c>
      <c r="C56">
        <v>15</v>
      </c>
      <c r="D56" s="3">
        <v>9.5</v>
      </c>
      <c r="E56">
        <v>22.727263003772809</v>
      </c>
      <c r="F56">
        <v>12.477016023115313</v>
      </c>
      <c r="G56" s="7">
        <v>1.41</v>
      </c>
      <c r="H56">
        <v>-1.7545871559633026</v>
      </c>
      <c r="I56" s="7">
        <v>14.29</v>
      </c>
      <c r="J56" s="11">
        <v>5.7100199999999997E-3</v>
      </c>
      <c r="K56">
        <v>-0.95752407652035432</v>
      </c>
    </row>
    <row r="57" spans="1:11" x14ac:dyDescent="0.3">
      <c r="A57">
        <v>0.6</v>
      </c>
      <c r="B57">
        <v>6</v>
      </c>
      <c r="C57">
        <v>15</v>
      </c>
      <c r="D57" s="3">
        <v>11.4</v>
      </c>
      <c r="E57">
        <v>31.919955807258248</v>
      </c>
      <c r="F57">
        <v>14.972419227738376</v>
      </c>
      <c r="G57" s="7">
        <v>1.41</v>
      </c>
      <c r="H57">
        <v>-1.7545871559633026</v>
      </c>
      <c r="I57" s="7">
        <v>20.07</v>
      </c>
      <c r="J57" s="11">
        <v>5.7100199999999997E-3</v>
      </c>
      <c r="K57">
        <v>-2.1710200479678954</v>
      </c>
    </row>
    <row r="58" spans="1:11" x14ac:dyDescent="0.3">
      <c r="A58">
        <v>0.6</v>
      </c>
      <c r="B58">
        <v>6</v>
      </c>
      <c r="C58">
        <v>15</v>
      </c>
      <c r="D58" s="7">
        <v>13.3</v>
      </c>
      <c r="E58">
        <v>40.253815719068562</v>
      </c>
      <c r="F58">
        <v>17.467822432361441</v>
      </c>
      <c r="G58" s="7">
        <v>1.41</v>
      </c>
      <c r="H58">
        <v>-1.7545871559633026</v>
      </c>
      <c r="I58" s="7">
        <v>25.31</v>
      </c>
      <c r="J58" s="11">
        <v>5.7100199999999997E-3</v>
      </c>
      <c r="K58">
        <v>-2.919886518759149</v>
      </c>
    </row>
    <row r="59" spans="1:11" x14ac:dyDescent="0.3">
      <c r="A59">
        <v>0.6</v>
      </c>
      <c r="B59">
        <v>1</v>
      </c>
      <c r="C59">
        <v>20</v>
      </c>
      <c r="D59" s="3">
        <v>2.2999999999999998</v>
      </c>
      <c r="E59">
        <v>0</v>
      </c>
      <c r="F59">
        <v>2.265563435776202</v>
      </c>
      <c r="G59" s="7">
        <v>1.88</v>
      </c>
      <c r="H59">
        <v>-0.77981651376146777</v>
      </c>
      <c r="I59" s="7">
        <v>0</v>
      </c>
      <c r="J59" s="11">
        <v>6.9699999999999996E-3</v>
      </c>
      <c r="K59">
        <v>38.591876034869706</v>
      </c>
    </row>
    <row r="60" spans="1:11" x14ac:dyDescent="0.3">
      <c r="A60">
        <v>0.6</v>
      </c>
      <c r="B60">
        <v>1</v>
      </c>
      <c r="C60">
        <v>20</v>
      </c>
      <c r="D60" s="3">
        <v>4.5999999999999996</v>
      </c>
      <c r="E60">
        <v>1.5268140296446393</v>
      </c>
      <c r="F60">
        <v>4.531126871552404</v>
      </c>
      <c r="G60" s="7">
        <v>1.88</v>
      </c>
      <c r="H60">
        <v>-1.7545871559633026</v>
      </c>
      <c r="I60" s="7">
        <v>0.96</v>
      </c>
      <c r="J60" s="11">
        <v>6.9699999999999996E-3</v>
      </c>
      <c r="K60">
        <v>9.5716594499750443</v>
      </c>
    </row>
    <row r="61" spans="1:11" x14ac:dyDescent="0.3">
      <c r="A61">
        <v>0.6</v>
      </c>
      <c r="B61">
        <v>1</v>
      </c>
      <c r="C61">
        <v>20</v>
      </c>
      <c r="D61" s="3">
        <v>6.9</v>
      </c>
      <c r="E61">
        <v>3.2603841258036566</v>
      </c>
      <c r="F61">
        <v>6.796690307328606</v>
      </c>
      <c r="G61" s="7">
        <v>1.88</v>
      </c>
      <c r="H61">
        <v>-1.7545871559633026</v>
      </c>
      <c r="I61" s="7">
        <v>2.0499999999999998</v>
      </c>
      <c r="J61" s="11">
        <v>6.9699999999999996E-3</v>
      </c>
      <c r="K61">
        <v>4.1333320398433262</v>
      </c>
    </row>
    <row r="62" spans="1:11" x14ac:dyDescent="0.3">
      <c r="A62">
        <v>0.6</v>
      </c>
      <c r="B62">
        <v>1</v>
      </c>
      <c r="C62">
        <v>20</v>
      </c>
      <c r="D62" s="3">
        <v>9.1999999999999993</v>
      </c>
      <c r="E62">
        <v>4.7076765914043053</v>
      </c>
      <c r="F62">
        <v>9.062253743104808</v>
      </c>
      <c r="G62" s="7">
        <v>1.88</v>
      </c>
      <c r="H62">
        <v>-1.7545871559633026</v>
      </c>
      <c r="I62" s="7">
        <v>2.96</v>
      </c>
      <c r="J62" s="11">
        <v>6.9699999999999996E-3</v>
      </c>
      <c r="K62">
        <v>2.2306245682933827</v>
      </c>
    </row>
    <row r="63" spans="1:11" x14ac:dyDescent="0.3">
      <c r="A63">
        <v>0.6</v>
      </c>
      <c r="B63">
        <v>1</v>
      </c>
      <c r="C63">
        <v>20</v>
      </c>
      <c r="D63" s="3">
        <v>11.5</v>
      </c>
      <c r="E63">
        <v>7.1251321383416526</v>
      </c>
      <c r="F63">
        <v>11.327817178881009</v>
      </c>
      <c r="G63" s="7">
        <v>1.88</v>
      </c>
      <c r="H63">
        <v>-1.7545871559633026</v>
      </c>
      <c r="I63" s="7">
        <v>4.4800000000000004</v>
      </c>
      <c r="J63" s="11">
        <v>6.9699999999999996E-3</v>
      </c>
      <c r="K63">
        <v>1.2777786233768893</v>
      </c>
    </row>
    <row r="64" spans="1:11" x14ac:dyDescent="0.3">
      <c r="A64">
        <v>0.6</v>
      </c>
      <c r="B64">
        <v>1</v>
      </c>
      <c r="C64">
        <v>20</v>
      </c>
      <c r="D64" s="3">
        <v>13.8</v>
      </c>
      <c r="E64">
        <v>9.4312574956174071</v>
      </c>
      <c r="F64">
        <v>13.593380614657212</v>
      </c>
      <c r="G64" s="7">
        <v>1.88</v>
      </c>
      <c r="H64">
        <v>-1.7545871559633026</v>
      </c>
      <c r="I64" s="7">
        <v>5.93</v>
      </c>
      <c r="J64" s="11">
        <v>6.9699999999999996E-3</v>
      </c>
      <c r="K64">
        <v>0.74847490309292997</v>
      </c>
    </row>
    <row r="65" spans="1:11" x14ac:dyDescent="0.3">
      <c r="A65">
        <v>0.6</v>
      </c>
      <c r="B65">
        <v>1</v>
      </c>
      <c r="C65">
        <v>20</v>
      </c>
      <c r="D65" s="7">
        <v>16.2</v>
      </c>
      <c r="E65">
        <v>15.427183424534377</v>
      </c>
      <c r="F65">
        <v>15.957446808510639</v>
      </c>
      <c r="G65" s="7">
        <v>1.88</v>
      </c>
      <c r="H65">
        <v>-1.7545871559633026</v>
      </c>
      <c r="I65" s="7">
        <v>9.6999999999999993</v>
      </c>
      <c r="J65" s="11">
        <v>6.9699999999999996E-3</v>
      </c>
      <c r="K65">
        <v>0.14974278876444455</v>
      </c>
    </row>
    <row r="66" spans="1:11" x14ac:dyDescent="0.3">
      <c r="A66">
        <v>0.6</v>
      </c>
      <c r="B66">
        <v>2</v>
      </c>
      <c r="C66">
        <v>20</v>
      </c>
      <c r="D66" s="3">
        <v>2.2999999999999998</v>
      </c>
      <c r="E66">
        <v>0</v>
      </c>
      <c r="F66">
        <v>2.265563435776202</v>
      </c>
      <c r="G66" s="7">
        <v>1.88</v>
      </c>
      <c r="H66">
        <v>-0.77981651376146777</v>
      </c>
      <c r="I66" s="7">
        <v>0</v>
      </c>
      <c r="J66" s="11">
        <v>6.9699999999999996E-3</v>
      </c>
      <c r="K66">
        <v>38.591876034869706</v>
      </c>
    </row>
    <row r="67" spans="1:11" x14ac:dyDescent="0.3">
      <c r="A67">
        <v>0.6</v>
      </c>
      <c r="B67">
        <v>2</v>
      </c>
      <c r="C67">
        <v>20</v>
      </c>
      <c r="D67" s="3">
        <v>4.5999999999999996</v>
      </c>
      <c r="E67">
        <v>3.4194272538916399</v>
      </c>
      <c r="F67">
        <v>4.531126871552404</v>
      </c>
      <c r="G67" s="7">
        <v>1.88</v>
      </c>
      <c r="H67">
        <v>-1.7545871559633026</v>
      </c>
      <c r="I67" s="7">
        <v>2.15</v>
      </c>
      <c r="J67" s="11">
        <v>6.9699999999999996E-3</v>
      </c>
      <c r="K67">
        <v>9.2652205980331157</v>
      </c>
    </row>
    <row r="68" spans="1:11" x14ac:dyDescent="0.3">
      <c r="A68">
        <v>0.6</v>
      </c>
      <c r="B68">
        <v>2</v>
      </c>
      <c r="C68">
        <v>20</v>
      </c>
      <c r="D68" s="3">
        <v>6.9</v>
      </c>
      <c r="E68">
        <v>7.1092278255328525</v>
      </c>
      <c r="F68">
        <v>6.796690307328606</v>
      </c>
      <c r="G68" s="7">
        <v>1.88</v>
      </c>
      <c r="H68">
        <v>-1.7545871559633026</v>
      </c>
      <c r="I68" s="7">
        <v>4.47</v>
      </c>
      <c r="J68" s="11">
        <v>6.9699999999999996E-3</v>
      </c>
      <c r="K68">
        <v>3.5526787114961049</v>
      </c>
    </row>
    <row r="69" spans="1:11" x14ac:dyDescent="0.3">
      <c r="A69">
        <v>0.6</v>
      </c>
      <c r="B69">
        <v>2</v>
      </c>
      <c r="C69">
        <v>20</v>
      </c>
      <c r="D69" s="3">
        <v>9.1999999999999993</v>
      </c>
      <c r="E69">
        <v>13.121058067258621</v>
      </c>
      <c r="F69">
        <v>9.062253743104808</v>
      </c>
      <c r="G69" s="7">
        <v>1.88</v>
      </c>
      <c r="H69">
        <v>-1.7545871559633026</v>
      </c>
      <c r="I69" s="7">
        <v>8.25</v>
      </c>
      <c r="J69" s="11">
        <v>6.9699999999999996E-3</v>
      </c>
      <c r="K69">
        <v>1.0030785852133834</v>
      </c>
    </row>
    <row r="70" spans="1:11" x14ac:dyDescent="0.3">
      <c r="A70">
        <v>0.6</v>
      </c>
      <c r="B70">
        <v>2</v>
      </c>
      <c r="C70">
        <v>20</v>
      </c>
      <c r="D70" s="3">
        <v>11.5</v>
      </c>
      <c r="E70">
        <v>17.383413900016571</v>
      </c>
      <c r="F70">
        <v>11.327817178881009</v>
      </c>
      <c r="G70" s="7">
        <v>1.88</v>
      </c>
      <c r="H70">
        <v>-1.7545871559633026</v>
      </c>
      <c r="I70" s="7">
        <v>10.93</v>
      </c>
      <c r="J70" s="11">
        <v>6.9699999999999996E-3</v>
      </c>
      <c r="K70">
        <v>-3.9018327390415108E-2</v>
      </c>
    </row>
    <row r="71" spans="1:11" x14ac:dyDescent="0.3">
      <c r="A71">
        <v>0.6</v>
      </c>
      <c r="B71">
        <v>2</v>
      </c>
      <c r="C71">
        <v>20</v>
      </c>
      <c r="D71" s="3">
        <v>13.8</v>
      </c>
      <c r="E71">
        <v>25.144718550710156</v>
      </c>
      <c r="F71">
        <v>13.593380614657212</v>
      </c>
      <c r="G71" s="7">
        <v>1.88</v>
      </c>
      <c r="H71">
        <v>-1.7545871559633026</v>
      </c>
      <c r="I71" s="7">
        <v>15.81</v>
      </c>
      <c r="J71" s="11">
        <v>6.9699999999999996E-3</v>
      </c>
      <c r="K71">
        <v>-1.2276320719440452</v>
      </c>
    </row>
    <row r="72" spans="1:11" x14ac:dyDescent="0.3">
      <c r="A72">
        <v>0.6</v>
      </c>
      <c r="B72">
        <v>2</v>
      </c>
      <c r="C72">
        <v>20</v>
      </c>
      <c r="D72" s="7">
        <v>16.2</v>
      </c>
      <c r="E72">
        <v>34.210176851725201</v>
      </c>
      <c r="F72">
        <v>15.957446808510639</v>
      </c>
      <c r="G72" s="7">
        <v>1.88</v>
      </c>
      <c r="H72">
        <v>-1.7545871559633026</v>
      </c>
      <c r="I72" s="7">
        <v>21.51</v>
      </c>
      <c r="J72" s="11">
        <v>6.9699999999999996E-3</v>
      </c>
      <c r="K72">
        <v>-2.3109974824000008</v>
      </c>
    </row>
    <row r="73" spans="1:11" x14ac:dyDescent="0.3">
      <c r="A73">
        <v>0.6</v>
      </c>
      <c r="B73">
        <v>4</v>
      </c>
      <c r="C73">
        <v>20</v>
      </c>
      <c r="D73" s="3">
        <v>2.2999999999999998</v>
      </c>
      <c r="E73">
        <v>0</v>
      </c>
      <c r="F73">
        <v>2.265563435776202</v>
      </c>
      <c r="G73" s="7">
        <v>1.88</v>
      </c>
      <c r="H73">
        <v>-0.77981651376146777</v>
      </c>
      <c r="I73" s="7">
        <v>0</v>
      </c>
      <c r="J73" s="11">
        <v>6.9699999999999996E-3</v>
      </c>
      <c r="K73">
        <v>38.591876034869706</v>
      </c>
    </row>
    <row r="74" spans="1:11" x14ac:dyDescent="0.3">
      <c r="A74">
        <v>0.6</v>
      </c>
      <c r="B74">
        <v>4</v>
      </c>
      <c r="C74">
        <v>20</v>
      </c>
      <c r="D74" s="3">
        <v>4.5999999999999996</v>
      </c>
      <c r="E74">
        <v>3.5466617563620275</v>
      </c>
      <c r="F74">
        <v>4.531126871552404</v>
      </c>
      <c r="G74" s="7">
        <v>1.88</v>
      </c>
      <c r="H74">
        <v>-1.7545871559633026</v>
      </c>
      <c r="I74" s="7">
        <v>2.23</v>
      </c>
      <c r="J74" s="11">
        <v>6.9699999999999996E-3</v>
      </c>
      <c r="K74">
        <v>9.2362070678862747</v>
      </c>
    </row>
    <row r="75" spans="1:11" x14ac:dyDescent="0.3">
      <c r="A75">
        <v>0.6</v>
      </c>
      <c r="B75">
        <v>4</v>
      </c>
      <c r="C75">
        <v>20</v>
      </c>
      <c r="D75" s="3">
        <v>6.9</v>
      </c>
      <c r="E75">
        <v>7.5068356457528109</v>
      </c>
      <c r="F75">
        <v>6.796690307328606</v>
      </c>
      <c r="G75" s="7">
        <v>1.88</v>
      </c>
      <c r="H75">
        <v>-1.7545871559633026</v>
      </c>
      <c r="I75" s="7">
        <v>4.72</v>
      </c>
      <c r="J75" s="11">
        <v>6.9699999999999996E-3</v>
      </c>
      <c r="K75">
        <v>3.4681295162749337</v>
      </c>
    </row>
    <row r="76" spans="1:11" x14ac:dyDescent="0.3">
      <c r="A76">
        <v>0.6</v>
      </c>
      <c r="B76">
        <v>4</v>
      </c>
      <c r="C76">
        <v>20</v>
      </c>
      <c r="D76" s="3">
        <v>9.1999999999999993</v>
      </c>
      <c r="E76">
        <v>13.820847830845747</v>
      </c>
      <c r="F76">
        <v>9.062253743104808</v>
      </c>
      <c r="G76" s="7">
        <v>1.88</v>
      </c>
      <c r="H76">
        <v>-1.7545871559633026</v>
      </c>
      <c r="I76" s="7">
        <v>8.69</v>
      </c>
      <c r="J76" s="11">
        <v>6.9699999999999996E-3</v>
      </c>
      <c r="K76">
        <v>0.84878688408430991</v>
      </c>
    </row>
    <row r="77" spans="1:11" x14ac:dyDescent="0.3">
      <c r="A77">
        <v>0.6</v>
      </c>
      <c r="B77">
        <v>4</v>
      </c>
      <c r="C77">
        <v>20</v>
      </c>
      <c r="D77" s="3">
        <v>11.5</v>
      </c>
      <c r="E77">
        <v>21.073214471657785</v>
      </c>
      <c r="F77">
        <v>11.327817178881009</v>
      </c>
      <c r="G77" s="7">
        <v>1.88</v>
      </c>
      <c r="H77">
        <v>-1.7545871559633026</v>
      </c>
      <c r="I77" s="7">
        <v>13.25</v>
      </c>
      <c r="J77" s="11">
        <v>6.9699999999999996E-3</v>
      </c>
      <c r="K77">
        <v>-0.78220983824226231</v>
      </c>
    </row>
    <row r="78" spans="1:11" x14ac:dyDescent="0.3">
      <c r="A78">
        <v>0.6</v>
      </c>
      <c r="B78">
        <v>4</v>
      </c>
      <c r="C78">
        <v>20</v>
      </c>
      <c r="D78" s="3">
        <v>13.8</v>
      </c>
      <c r="E78">
        <v>31.999477371302238</v>
      </c>
      <c r="F78">
        <v>13.593380614657212</v>
      </c>
      <c r="G78" s="7">
        <v>1.88</v>
      </c>
      <c r="H78">
        <v>-1.7545871559633026</v>
      </c>
      <c r="I78" s="7">
        <v>20.12</v>
      </c>
      <c r="J78" s="11">
        <v>6.9699999999999996E-3</v>
      </c>
      <c r="K78">
        <v>-2.6523485723051792</v>
      </c>
    </row>
    <row r="79" spans="1:11" x14ac:dyDescent="0.3">
      <c r="A79">
        <v>0.6</v>
      </c>
      <c r="B79">
        <v>4</v>
      </c>
      <c r="C79">
        <v>20</v>
      </c>
      <c r="D79" s="7">
        <v>16.2</v>
      </c>
      <c r="E79">
        <v>40.142485529406983</v>
      </c>
      <c r="F79">
        <v>15.957446808510639</v>
      </c>
      <c r="G79" s="7">
        <v>1.88</v>
      </c>
      <c r="H79">
        <v>-1.7545871559633026</v>
      </c>
      <c r="I79" s="7">
        <v>25.24</v>
      </c>
      <c r="J79" s="11">
        <v>6.9699999999999996E-3</v>
      </c>
      <c r="K79">
        <v>-3.4751571726222212</v>
      </c>
    </row>
    <row r="80" spans="1:11" x14ac:dyDescent="0.3">
      <c r="A80">
        <v>0.6</v>
      </c>
      <c r="B80">
        <v>6</v>
      </c>
      <c r="C80">
        <v>20</v>
      </c>
      <c r="D80" s="3">
        <v>2.2999999999999998</v>
      </c>
      <c r="E80">
        <v>0</v>
      </c>
      <c r="F80">
        <v>2.265563435776202</v>
      </c>
      <c r="G80" s="7">
        <v>1.88</v>
      </c>
      <c r="H80">
        <v>-0.77981651376146777</v>
      </c>
      <c r="I80" s="7">
        <v>0</v>
      </c>
      <c r="J80" s="11">
        <v>6.9700200000000004E-3</v>
      </c>
      <c r="K80">
        <v>38.591876034869706</v>
      </c>
    </row>
    <row r="81" spans="1:11" x14ac:dyDescent="0.3">
      <c r="A81">
        <v>0.6</v>
      </c>
      <c r="B81">
        <v>6</v>
      </c>
      <c r="C81">
        <v>20</v>
      </c>
      <c r="D81" s="3">
        <v>4.5999999999999996</v>
      </c>
      <c r="E81">
        <v>3.2762884386124553</v>
      </c>
      <c r="F81">
        <v>4.531126871552404</v>
      </c>
      <c r="G81" s="7">
        <v>1.88</v>
      </c>
      <c r="H81">
        <v>-1.7545871559633026</v>
      </c>
      <c r="I81" s="7">
        <v>2.06</v>
      </c>
      <c r="J81" s="11">
        <v>6.9700200000000004E-3</v>
      </c>
      <c r="K81">
        <v>9.2965939615395055</v>
      </c>
    </row>
    <row r="82" spans="1:11" x14ac:dyDescent="0.3">
      <c r="A82">
        <v>0.6</v>
      </c>
      <c r="B82">
        <v>6</v>
      </c>
      <c r="C82">
        <v>20</v>
      </c>
      <c r="D82" s="3">
        <v>6.9</v>
      </c>
      <c r="E82">
        <v>6.6002898156513066</v>
      </c>
      <c r="F82">
        <v>6.796690307328606</v>
      </c>
      <c r="G82" s="7">
        <v>1.88</v>
      </c>
      <c r="H82">
        <v>-1.7545871559633026</v>
      </c>
      <c r="I82" s="7">
        <v>4.1500000000000004</v>
      </c>
      <c r="J82" s="11">
        <v>6.9700200000000004E-3</v>
      </c>
      <c r="K82">
        <v>3.654189266489829</v>
      </c>
    </row>
    <row r="83" spans="1:11" x14ac:dyDescent="0.3">
      <c r="A83">
        <v>0.6</v>
      </c>
      <c r="B83">
        <v>6</v>
      </c>
      <c r="C83">
        <v>20</v>
      </c>
      <c r="D83" s="3">
        <v>9.1999999999999993</v>
      </c>
      <c r="E83">
        <v>11.148923278967626</v>
      </c>
      <c r="F83">
        <v>9.062253743104808</v>
      </c>
      <c r="G83" s="7">
        <v>1.88</v>
      </c>
      <c r="H83">
        <v>-1.7545871559633026</v>
      </c>
      <c r="I83" s="7">
        <v>7.01</v>
      </c>
      <c r="J83" s="11">
        <v>6.9700200000000004E-3</v>
      </c>
      <c r="K83">
        <v>1.3947778024298674</v>
      </c>
    </row>
    <row r="84" spans="1:11" x14ac:dyDescent="0.3">
      <c r="A84">
        <v>0.6</v>
      </c>
      <c r="B84">
        <v>6</v>
      </c>
      <c r="C84">
        <v>20</v>
      </c>
      <c r="D84" s="3">
        <v>11.5</v>
      </c>
      <c r="E84">
        <v>18.910227929661211</v>
      </c>
      <c r="F84">
        <v>11.327817178881009</v>
      </c>
      <c r="G84" s="7">
        <v>1.88</v>
      </c>
      <c r="H84">
        <v>-1.7545871559633026</v>
      </c>
      <c r="I84" s="7">
        <v>11.89</v>
      </c>
      <c r="J84" s="11">
        <v>6.9700200000000004E-3</v>
      </c>
      <c r="K84">
        <v>-0.32924901580727434</v>
      </c>
    </row>
    <row r="85" spans="1:11" x14ac:dyDescent="0.3">
      <c r="A85">
        <v>0.6</v>
      </c>
      <c r="B85">
        <v>6</v>
      </c>
      <c r="C85">
        <v>20</v>
      </c>
      <c r="D85" s="3">
        <v>13.8</v>
      </c>
      <c r="E85">
        <v>28.532337178984204</v>
      </c>
      <c r="F85">
        <v>13.593380614657212</v>
      </c>
      <c r="G85" s="7">
        <v>1.88</v>
      </c>
      <c r="H85">
        <v>-1.7545871559633026</v>
      </c>
      <c r="I85" s="7">
        <v>17.940000000000001</v>
      </c>
      <c r="J85" s="11">
        <v>6.9700200000000004E-3</v>
      </c>
      <c r="K85">
        <v>-1.8890064213958413</v>
      </c>
    </row>
    <row r="86" spans="1:11" x14ac:dyDescent="0.3">
      <c r="A86">
        <v>0.6</v>
      </c>
      <c r="B86">
        <v>6</v>
      </c>
      <c r="C86">
        <v>20</v>
      </c>
      <c r="D86" s="7">
        <v>16.100000000000001</v>
      </c>
      <c r="E86">
        <v>33.510387088138074</v>
      </c>
      <c r="F86">
        <v>15.858944050433417</v>
      </c>
      <c r="G86" s="7">
        <v>1.88</v>
      </c>
      <c r="H86">
        <v>-1.7545871559633026</v>
      </c>
      <c r="I86" s="7">
        <v>21.07</v>
      </c>
      <c r="J86" s="11">
        <v>6.9700200000000004E-3</v>
      </c>
      <c r="K86">
        <v>-2.2131582329309136</v>
      </c>
    </row>
    <row r="87" spans="1:11" x14ac:dyDescent="0.3">
      <c r="A87">
        <v>0.6</v>
      </c>
      <c r="B87">
        <v>1</v>
      </c>
      <c r="C87">
        <v>30</v>
      </c>
      <c r="D87" s="3">
        <v>3.3</v>
      </c>
      <c r="E87">
        <v>0</v>
      </c>
      <c r="F87">
        <v>2.1670606776989754</v>
      </c>
      <c r="G87" s="7">
        <v>2.82</v>
      </c>
      <c r="H87">
        <v>-0.77981651376146777</v>
      </c>
      <c r="I87" s="7">
        <v>0</v>
      </c>
      <c r="J87" s="11">
        <v>9.2599999999999991E-3</v>
      </c>
      <c r="K87">
        <v>42.179963682739846</v>
      </c>
    </row>
    <row r="88" spans="1:11" x14ac:dyDescent="0.3">
      <c r="A88">
        <v>0.6</v>
      </c>
      <c r="B88">
        <v>1</v>
      </c>
      <c r="C88">
        <v>30</v>
      </c>
      <c r="D88" s="3">
        <v>6.6</v>
      </c>
      <c r="E88">
        <v>1.5427183424534379</v>
      </c>
      <c r="F88">
        <v>4.3341213553979507</v>
      </c>
      <c r="G88" s="7">
        <v>2.82</v>
      </c>
      <c r="H88">
        <v>-1.7545871559633026</v>
      </c>
      <c r="I88" s="7">
        <v>0.97</v>
      </c>
      <c r="J88" s="11">
        <v>9.2599999999999991E-3</v>
      </c>
      <c r="K88">
        <v>10.459839822161655</v>
      </c>
    </row>
    <row r="89" spans="1:11" x14ac:dyDescent="0.3">
      <c r="A89">
        <v>0.6</v>
      </c>
      <c r="B89">
        <v>1</v>
      </c>
      <c r="C89">
        <v>30</v>
      </c>
      <c r="D89" s="3">
        <v>9.9</v>
      </c>
      <c r="E89">
        <v>4.8985283451098853</v>
      </c>
      <c r="F89">
        <v>6.501182033096927</v>
      </c>
      <c r="G89" s="7">
        <v>2.82</v>
      </c>
      <c r="H89">
        <v>-1.7545871559633026</v>
      </c>
      <c r="I89" s="7">
        <v>3.08</v>
      </c>
      <c r="J89" s="11">
        <v>9.2599999999999991E-3</v>
      </c>
      <c r="K89">
        <v>4.3051001174955372</v>
      </c>
    </row>
    <row r="90" spans="1:11" x14ac:dyDescent="0.3">
      <c r="A90">
        <v>0.6</v>
      </c>
      <c r="B90">
        <v>1</v>
      </c>
      <c r="C90">
        <v>30</v>
      </c>
      <c r="D90" s="3">
        <v>13.2</v>
      </c>
      <c r="E90">
        <v>8.4133814758543153</v>
      </c>
      <c r="F90">
        <v>8.6682427107959015</v>
      </c>
      <c r="G90" s="7">
        <v>2.82</v>
      </c>
      <c r="H90">
        <v>-1.7545871559633026</v>
      </c>
      <c r="I90" s="7">
        <v>5.29</v>
      </c>
      <c r="J90" s="11">
        <v>9.2599999999999991E-3</v>
      </c>
      <c r="K90">
        <v>2.0031100810623972</v>
      </c>
    </row>
    <row r="91" spans="1:11" x14ac:dyDescent="0.3">
      <c r="A91">
        <v>0.6</v>
      </c>
      <c r="B91">
        <v>1</v>
      </c>
      <c r="C91">
        <v>30</v>
      </c>
      <c r="D91" s="3">
        <v>16.5</v>
      </c>
      <c r="E91">
        <v>13.121058067258621</v>
      </c>
      <c r="F91">
        <v>10.835303388494877</v>
      </c>
      <c r="G91" s="7">
        <v>2.82</v>
      </c>
      <c r="H91">
        <v>-1.7545871559633026</v>
      </c>
      <c r="I91" s="7">
        <v>8.25</v>
      </c>
      <c r="J91" s="11">
        <v>9.2599999999999991E-3</v>
      </c>
      <c r="K91">
        <v>0.70165761530959359</v>
      </c>
    </row>
    <row r="92" spans="1:11" x14ac:dyDescent="0.3">
      <c r="A92">
        <v>0.6</v>
      </c>
      <c r="B92">
        <v>1</v>
      </c>
      <c r="C92">
        <v>30</v>
      </c>
      <c r="D92" s="3">
        <v>19.8</v>
      </c>
      <c r="E92">
        <v>18.512620109441251</v>
      </c>
      <c r="F92">
        <v>13.002364066193854</v>
      </c>
      <c r="G92" s="7">
        <v>2.82</v>
      </c>
      <c r="H92">
        <v>-1.7545871559633026</v>
      </c>
      <c r="I92" s="7">
        <v>11.64</v>
      </c>
      <c r="J92" s="11">
        <v>9.2599999999999991E-3</v>
      </c>
      <c r="K92">
        <v>-0.1907519185190083</v>
      </c>
    </row>
    <row r="93" spans="1:11" x14ac:dyDescent="0.3">
      <c r="A93">
        <v>0.6</v>
      </c>
      <c r="B93">
        <v>1</v>
      </c>
      <c r="C93">
        <v>30</v>
      </c>
      <c r="D93" s="7">
        <v>23.7</v>
      </c>
      <c r="E93">
        <v>23.411148454551139</v>
      </c>
      <c r="F93">
        <v>15.563435776201731</v>
      </c>
      <c r="G93" s="7">
        <v>2.82</v>
      </c>
      <c r="H93">
        <v>-1.7545871559633026</v>
      </c>
      <c r="I93" s="7">
        <v>14.72</v>
      </c>
      <c r="J93" s="11">
        <v>9.2599999999999991E-3</v>
      </c>
      <c r="K93">
        <v>-0.70295345228869743</v>
      </c>
    </row>
    <row r="94" spans="1:11" x14ac:dyDescent="0.3">
      <c r="A94">
        <v>0.6</v>
      </c>
      <c r="B94">
        <v>2</v>
      </c>
      <c r="C94">
        <v>30</v>
      </c>
      <c r="D94" s="3">
        <v>3.3</v>
      </c>
      <c r="E94">
        <v>0</v>
      </c>
      <c r="F94">
        <v>2.1670606776989754</v>
      </c>
      <c r="G94" s="7">
        <v>2.82</v>
      </c>
      <c r="H94">
        <v>-0.77981651376146777</v>
      </c>
      <c r="I94" s="7">
        <v>0</v>
      </c>
      <c r="J94" s="11">
        <v>9.2599999999999991E-3</v>
      </c>
      <c r="K94">
        <v>42.179963682739846</v>
      </c>
    </row>
    <row r="95" spans="1:11" x14ac:dyDescent="0.3">
      <c r="A95">
        <v>0.6</v>
      </c>
      <c r="B95">
        <v>2</v>
      </c>
      <c r="C95">
        <v>30</v>
      </c>
      <c r="D95" s="3">
        <v>6.6</v>
      </c>
      <c r="E95">
        <v>4.3259730839931461</v>
      </c>
      <c r="F95">
        <v>4.3341213553979507</v>
      </c>
      <c r="G95" s="7">
        <v>2.82</v>
      </c>
      <c r="H95">
        <v>-1.7545871559633026</v>
      </c>
      <c r="I95" s="7">
        <v>2.72</v>
      </c>
      <c r="J95" s="11">
        <v>9.2599999999999991E-3</v>
      </c>
      <c r="K95">
        <v>9.8754384843847944</v>
      </c>
    </row>
    <row r="96" spans="1:11" x14ac:dyDescent="0.3">
      <c r="A96">
        <v>0.6</v>
      </c>
      <c r="B96">
        <v>2</v>
      </c>
      <c r="C96">
        <v>30</v>
      </c>
      <c r="D96" s="3">
        <v>9.9</v>
      </c>
      <c r="E96">
        <v>11.117114653350033</v>
      </c>
      <c r="F96">
        <v>6.501182033096927</v>
      </c>
      <c r="G96" s="7">
        <v>2.82</v>
      </c>
      <c r="H96">
        <v>-1.7545871559633026</v>
      </c>
      <c r="I96" s="7">
        <v>6.99</v>
      </c>
      <c r="J96" s="11">
        <v>9.2599999999999991E-3</v>
      </c>
      <c r="K96">
        <v>2.7214089433586772</v>
      </c>
    </row>
    <row r="97" spans="1:11" x14ac:dyDescent="0.3">
      <c r="A97">
        <v>0.6</v>
      </c>
      <c r="B97">
        <v>2</v>
      </c>
      <c r="C97">
        <v>30</v>
      </c>
      <c r="D97" s="3">
        <v>13.2</v>
      </c>
      <c r="E97">
        <v>19.053366744940398</v>
      </c>
      <c r="F97">
        <v>8.6682427107959015</v>
      </c>
      <c r="G97" s="7">
        <v>2.82</v>
      </c>
      <c r="H97">
        <v>-1.7545871559633026</v>
      </c>
      <c r="I97" s="7">
        <v>11.98</v>
      </c>
      <c r="J97" s="11">
        <v>9.2599999999999991E-3</v>
      </c>
      <c r="K97">
        <v>-0.61088791668396736</v>
      </c>
    </row>
    <row r="98" spans="1:11" x14ac:dyDescent="0.3">
      <c r="A98">
        <v>0.6</v>
      </c>
      <c r="B98">
        <v>2</v>
      </c>
      <c r="C98">
        <v>30</v>
      </c>
      <c r="D98" s="3">
        <v>16.5</v>
      </c>
      <c r="E98">
        <v>26.210307508899643</v>
      </c>
      <c r="F98">
        <v>10.835303388494877</v>
      </c>
      <c r="G98" s="7">
        <v>2.82</v>
      </c>
      <c r="H98">
        <v>-1.7545871559633026</v>
      </c>
      <c r="I98" s="7">
        <v>16.48</v>
      </c>
      <c r="J98" s="11">
        <v>9.2599999999999991E-3</v>
      </c>
      <c r="K98">
        <v>-2.2454142121137717</v>
      </c>
    </row>
    <row r="99" spans="1:11" x14ac:dyDescent="0.3">
      <c r="A99">
        <v>0.6</v>
      </c>
      <c r="B99">
        <v>2</v>
      </c>
      <c r="C99">
        <v>30</v>
      </c>
      <c r="D99" s="3">
        <v>19.8</v>
      </c>
      <c r="E99">
        <v>34.130655287681215</v>
      </c>
      <c r="F99">
        <v>13.002364066193854</v>
      </c>
      <c r="G99" s="7">
        <v>2.82</v>
      </c>
      <c r="H99">
        <v>-1.7545871559633026</v>
      </c>
      <c r="I99" s="7">
        <v>21.46</v>
      </c>
      <c r="J99" s="11">
        <v>9.2599999999999991E-3</v>
      </c>
      <c r="K99">
        <v>-3.4592163162247935</v>
      </c>
    </row>
    <row r="100" spans="1:11" x14ac:dyDescent="0.3">
      <c r="A100">
        <v>0.6</v>
      </c>
      <c r="B100">
        <v>2</v>
      </c>
      <c r="C100">
        <v>30</v>
      </c>
      <c r="D100" s="7">
        <v>23.6</v>
      </c>
      <c r="E100">
        <v>38.790618940659122</v>
      </c>
      <c r="F100">
        <v>15.497767270816917</v>
      </c>
      <c r="G100" s="7">
        <v>2.82</v>
      </c>
      <c r="H100">
        <v>-1.7545871559633026</v>
      </c>
      <c r="I100" s="7">
        <v>24.39</v>
      </c>
      <c r="J100" s="11">
        <v>9.2599999999999991E-3</v>
      </c>
      <c r="K100">
        <v>-3.3857788906100117</v>
      </c>
    </row>
    <row r="101" spans="1:11" x14ac:dyDescent="0.3">
      <c r="A101">
        <v>0.6</v>
      </c>
      <c r="B101">
        <v>4</v>
      </c>
      <c r="C101">
        <v>30</v>
      </c>
      <c r="D101" s="3">
        <v>3.3</v>
      </c>
      <c r="E101">
        <v>0</v>
      </c>
      <c r="F101">
        <v>2.1670606776989754</v>
      </c>
      <c r="G101" s="7">
        <v>2.82</v>
      </c>
      <c r="H101">
        <v>-0.77981651376146777</v>
      </c>
      <c r="I101" s="7">
        <v>0</v>
      </c>
      <c r="J101" s="11">
        <v>9.2599999999999991E-3</v>
      </c>
      <c r="K101">
        <v>42.179963682739846</v>
      </c>
    </row>
    <row r="102" spans="1:11" x14ac:dyDescent="0.3">
      <c r="A102">
        <v>0.6</v>
      </c>
      <c r="B102">
        <v>4</v>
      </c>
      <c r="C102">
        <v>30</v>
      </c>
      <c r="D102" s="3">
        <v>6.6</v>
      </c>
      <c r="E102">
        <v>4.4213989608459343</v>
      </c>
      <c r="F102">
        <v>4.3341213553979507</v>
      </c>
      <c r="G102" s="7">
        <v>2.82</v>
      </c>
      <c r="H102">
        <v>-1.7545871559633026</v>
      </c>
      <c r="I102" s="7">
        <v>2.78</v>
      </c>
      <c r="J102" s="11">
        <v>9.2599999999999991E-3</v>
      </c>
      <c r="K102">
        <v>9.8455736076575224</v>
      </c>
    </row>
    <row r="103" spans="1:11" x14ac:dyDescent="0.3">
      <c r="A103">
        <v>0.6</v>
      </c>
      <c r="B103">
        <v>4</v>
      </c>
      <c r="C103">
        <v>30</v>
      </c>
      <c r="D103" s="3">
        <v>9.9</v>
      </c>
      <c r="E103">
        <v>9.6062049365141888</v>
      </c>
      <c r="F103">
        <v>6.501182033096927</v>
      </c>
      <c r="G103" s="7">
        <v>2.82</v>
      </c>
      <c r="H103">
        <v>-1.7545871559633026</v>
      </c>
      <c r="I103" s="7">
        <v>6.04</v>
      </c>
      <c r="J103" s="11">
        <v>9.2599999999999991E-3</v>
      </c>
      <c r="K103">
        <v>3.2192976660099171</v>
      </c>
    </row>
    <row r="104" spans="1:11" x14ac:dyDescent="0.3">
      <c r="A104">
        <v>0.6</v>
      </c>
      <c r="B104">
        <v>4</v>
      </c>
      <c r="C104">
        <v>30</v>
      </c>
      <c r="D104" s="3">
        <v>13.2</v>
      </c>
      <c r="E104">
        <v>14.679680722520857</v>
      </c>
      <c r="F104">
        <v>8.6682427107959015</v>
      </c>
      <c r="G104" s="7">
        <v>2.82</v>
      </c>
      <c r="H104">
        <v>-1.7545871559633026</v>
      </c>
      <c r="I104" s="7">
        <v>9.23</v>
      </c>
      <c r="J104" s="11">
        <v>9.2599999999999991E-3</v>
      </c>
      <c r="K104">
        <v>0.70876632370239689</v>
      </c>
    </row>
    <row r="105" spans="1:11" x14ac:dyDescent="0.3">
      <c r="A105">
        <v>0.6</v>
      </c>
      <c r="B105">
        <v>4</v>
      </c>
      <c r="C105">
        <v>30</v>
      </c>
      <c r="D105" s="3">
        <v>16.5</v>
      </c>
      <c r="E105">
        <v>18.655758924720438</v>
      </c>
      <c r="F105">
        <v>10.835303388494877</v>
      </c>
      <c r="G105" s="7">
        <v>2.82</v>
      </c>
      <c r="H105">
        <v>-1.7545871559633026</v>
      </c>
      <c r="I105" s="7">
        <v>11.73</v>
      </c>
      <c r="J105" s="11">
        <v>9.2599999999999991E-3</v>
      </c>
      <c r="K105">
        <v>-0.30513842095608601</v>
      </c>
    </row>
    <row r="106" spans="1:11" x14ac:dyDescent="0.3">
      <c r="A106">
        <v>0.6</v>
      </c>
      <c r="B106">
        <v>4</v>
      </c>
      <c r="C106">
        <v>30</v>
      </c>
      <c r="D106" s="3">
        <v>19.8</v>
      </c>
      <c r="E106">
        <v>24.619876228019812</v>
      </c>
      <c r="F106">
        <v>13.002364066193854</v>
      </c>
      <c r="G106" s="7">
        <v>2.82</v>
      </c>
      <c r="H106">
        <v>-1.7545871559633026</v>
      </c>
      <c r="I106" s="7">
        <v>15.48</v>
      </c>
      <c r="J106" s="11">
        <v>9.2599999999999991E-3</v>
      </c>
      <c r="K106">
        <v>-1.237941196054215</v>
      </c>
    </row>
    <row r="107" spans="1:11" x14ac:dyDescent="0.3">
      <c r="A107">
        <v>0.6</v>
      </c>
      <c r="B107">
        <v>4</v>
      </c>
      <c r="C107">
        <v>30</v>
      </c>
      <c r="D107" s="7">
        <v>23.7</v>
      </c>
      <c r="E107">
        <v>31.108835854009527</v>
      </c>
      <c r="F107">
        <v>15.563435776201731</v>
      </c>
      <c r="G107" s="7">
        <v>2.82</v>
      </c>
      <c r="H107">
        <v>-1.7545871559633026</v>
      </c>
      <c r="I107" s="7">
        <v>19.559999999999999</v>
      </c>
      <c r="J107" s="11">
        <v>9.2599999999999991E-3</v>
      </c>
      <c r="K107">
        <v>-1.8674122878810444</v>
      </c>
    </row>
    <row r="108" spans="1:11" x14ac:dyDescent="0.3">
      <c r="A108">
        <v>0.6</v>
      </c>
      <c r="B108">
        <v>6</v>
      </c>
      <c r="C108">
        <v>30</v>
      </c>
      <c r="D108" s="3">
        <v>3.3</v>
      </c>
      <c r="E108">
        <v>0</v>
      </c>
      <c r="F108">
        <v>2.1670606776989754</v>
      </c>
      <c r="G108" s="7">
        <v>2.82</v>
      </c>
      <c r="H108">
        <v>-0.77981651376146777</v>
      </c>
      <c r="I108" s="7">
        <v>0</v>
      </c>
      <c r="J108" s="11">
        <v>9.259980000000001E-3</v>
      </c>
      <c r="K108">
        <v>42.179963682739846</v>
      </c>
    </row>
    <row r="109" spans="1:11" x14ac:dyDescent="0.3">
      <c r="A109">
        <v>0.6</v>
      </c>
      <c r="B109">
        <v>6</v>
      </c>
      <c r="C109">
        <v>30</v>
      </c>
      <c r="D109" s="3">
        <v>6.6</v>
      </c>
      <c r="E109">
        <v>2.6719245518781189</v>
      </c>
      <c r="F109">
        <v>4.3341213553979507</v>
      </c>
      <c r="G109" s="7">
        <v>2.82</v>
      </c>
      <c r="H109">
        <v>-1.7545871559633026</v>
      </c>
      <c r="I109" s="7">
        <v>1.68</v>
      </c>
      <c r="J109" s="11">
        <v>9.259980000000001E-3</v>
      </c>
      <c r="K109">
        <v>10.289564775002978</v>
      </c>
    </row>
    <row r="110" spans="1:11" x14ac:dyDescent="0.3">
      <c r="A110">
        <v>0.6</v>
      </c>
      <c r="B110">
        <v>6</v>
      </c>
      <c r="C110">
        <v>30</v>
      </c>
      <c r="D110" s="3">
        <v>9.9</v>
      </c>
      <c r="E110">
        <v>6.5525768772249107</v>
      </c>
      <c r="F110">
        <v>6.501182033096927</v>
      </c>
      <c r="G110" s="7">
        <v>2.82</v>
      </c>
      <c r="H110">
        <v>-1.7545871559633026</v>
      </c>
      <c r="I110" s="7">
        <v>4.12</v>
      </c>
      <c r="J110" s="11">
        <v>9.259980000000001E-3</v>
      </c>
      <c r="K110">
        <v>4.0039173606823137</v>
      </c>
    </row>
    <row r="111" spans="1:11" x14ac:dyDescent="0.3">
      <c r="A111">
        <v>0.6</v>
      </c>
      <c r="B111">
        <v>6</v>
      </c>
      <c r="C111">
        <v>30</v>
      </c>
      <c r="D111" s="3">
        <v>13.2</v>
      </c>
      <c r="E111">
        <v>12.134990673113125</v>
      </c>
      <c r="F111">
        <v>8.6682427107959015</v>
      </c>
      <c r="G111" s="7">
        <v>2.82</v>
      </c>
      <c r="H111">
        <v>-1.7545871559633026</v>
      </c>
      <c r="I111" s="7">
        <v>7.63</v>
      </c>
      <c r="J111" s="11">
        <v>9.259980000000001E-3</v>
      </c>
      <c r="K111">
        <v>1.3190958044561161</v>
      </c>
    </row>
    <row r="112" spans="1:11" x14ac:dyDescent="0.3">
      <c r="A112">
        <v>0.6</v>
      </c>
      <c r="B112">
        <v>6</v>
      </c>
      <c r="C112">
        <v>30</v>
      </c>
      <c r="D112" s="3">
        <v>16.5</v>
      </c>
      <c r="E112">
        <v>15.66574811666635</v>
      </c>
      <c r="F112">
        <v>10.835303388494877</v>
      </c>
      <c r="G112" s="7">
        <v>2.82</v>
      </c>
      <c r="H112">
        <v>-1.7545871559633026</v>
      </c>
      <c r="I112" s="7">
        <v>9.85</v>
      </c>
      <c r="J112" s="11">
        <v>9.259980000000001E-3</v>
      </c>
      <c r="K112">
        <v>0.2823185462081062</v>
      </c>
    </row>
    <row r="113" spans="1:11" x14ac:dyDescent="0.3">
      <c r="A113">
        <v>0.6</v>
      </c>
      <c r="B113">
        <v>6</v>
      </c>
      <c r="C113">
        <v>30</v>
      </c>
      <c r="D113" s="3">
        <v>19.8</v>
      </c>
      <c r="E113">
        <v>17.940064848324514</v>
      </c>
      <c r="F113">
        <v>13.002364066193854</v>
      </c>
      <c r="G113" s="7">
        <v>2.82</v>
      </c>
      <c r="H113">
        <v>-1.7545871559633026</v>
      </c>
      <c r="I113" s="7">
        <v>11.28</v>
      </c>
      <c r="J113" s="11">
        <v>9.259980000000001E-3</v>
      </c>
      <c r="K113">
        <v>-0.10778186099305764</v>
      </c>
    </row>
    <row r="114" spans="1:11" x14ac:dyDescent="0.3">
      <c r="A114">
        <v>0.6</v>
      </c>
      <c r="B114">
        <v>6</v>
      </c>
      <c r="C114">
        <v>30</v>
      </c>
      <c r="D114" s="7">
        <v>23.3</v>
      </c>
      <c r="E114">
        <v>21.311779163789758</v>
      </c>
      <c r="F114">
        <v>15.300761754662464</v>
      </c>
      <c r="G114" s="7">
        <v>2.82</v>
      </c>
      <c r="H114">
        <v>-1.7545871559633026</v>
      </c>
      <c r="I114" s="7">
        <v>13.4</v>
      </c>
      <c r="J114" s="11">
        <v>9.259980000000001E-3</v>
      </c>
      <c r="K114">
        <v>-0.45776329365920027</v>
      </c>
    </row>
    <row r="115" spans="1:11" x14ac:dyDescent="0.3">
      <c r="A115">
        <v>0.6</v>
      </c>
      <c r="B115">
        <v>1</v>
      </c>
      <c r="C115">
        <v>40</v>
      </c>
      <c r="D115" s="3">
        <v>3.9</v>
      </c>
      <c r="E115">
        <v>0</v>
      </c>
      <c r="F115">
        <v>1.9208037825059101</v>
      </c>
      <c r="G115" s="7">
        <v>3.76</v>
      </c>
      <c r="H115">
        <v>-0.77981651376146777</v>
      </c>
      <c r="I115" s="7">
        <v>0</v>
      </c>
      <c r="J115" s="11">
        <v>9.2599999999999991E-3</v>
      </c>
      <c r="K115">
        <v>53.688632274677403</v>
      </c>
    </row>
    <row r="116" spans="1:11" x14ac:dyDescent="0.3">
      <c r="A116">
        <v>0.6</v>
      </c>
      <c r="B116">
        <v>1</v>
      </c>
      <c r="C116">
        <v>40</v>
      </c>
      <c r="D116" s="3">
        <v>7.8</v>
      </c>
      <c r="E116">
        <v>0.94719018505732266</v>
      </c>
      <c r="F116">
        <v>3.8416075650118202</v>
      </c>
      <c r="G116" s="7">
        <v>3.76</v>
      </c>
      <c r="H116">
        <v>-0.77981651376146777</v>
      </c>
      <c r="I116" s="7">
        <v>1.34</v>
      </c>
      <c r="J116" s="11">
        <v>9.2599999999999991E-3</v>
      </c>
      <c r="K116">
        <v>13.215319024473374</v>
      </c>
    </row>
    <row r="117" spans="1:11" x14ac:dyDescent="0.3">
      <c r="A117">
        <v>0.6</v>
      </c>
      <c r="B117">
        <v>1</v>
      </c>
      <c r="C117">
        <v>40</v>
      </c>
      <c r="D117" s="3">
        <v>11.7</v>
      </c>
      <c r="E117">
        <v>4.2464515199491535</v>
      </c>
      <c r="F117">
        <v>5.7624113475177312</v>
      </c>
      <c r="G117" s="7">
        <v>3.76</v>
      </c>
      <c r="H117">
        <v>-1.7545871559633026</v>
      </c>
      <c r="I117" s="7">
        <v>2.67</v>
      </c>
      <c r="J117" s="11">
        <v>9.2599999999999991E-3</v>
      </c>
      <c r="K117">
        <v>5.6004287433315971</v>
      </c>
    </row>
    <row r="118" spans="1:11" x14ac:dyDescent="0.3">
      <c r="A118">
        <v>0.6</v>
      </c>
      <c r="B118">
        <v>1</v>
      </c>
      <c r="C118">
        <v>40</v>
      </c>
      <c r="D118" s="3">
        <v>15.6</v>
      </c>
      <c r="E118">
        <v>6.8229501949744833</v>
      </c>
      <c r="F118">
        <v>7.6832151300236404</v>
      </c>
      <c r="G118" s="7">
        <v>3.76</v>
      </c>
      <c r="H118">
        <v>-1.7545871559633026</v>
      </c>
      <c r="I118" s="7">
        <v>4.29</v>
      </c>
      <c r="J118" s="11">
        <v>9.2599999999999991E-3</v>
      </c>
      <c r="K118">
        <v>2.8255375048473375</v>
      </c>
    </row>
    <row r="119" spans="1:11" x14ac:dyDescent="0.3">
      <c r="A119">
        <v>0.6</v>
      </c>
      <c r="B119">
        <v>1</v>
      </c>
      <c r="C119">
        <v>40</v>
      </c>
      <c r="D119" s="3">
        <v>19.5</v>
      </c>
      <c r="E119">
        <v>9.5107790596613988</v>
      </c>
      <c r="F119">
        <v>9.6040189125295505</v>
      </c>
      <c r="G119" s="7">
        <v>3.76</v>
      </c>
      <c r="H119">
        <v>-1.7545871559633026</v>
      </c>
      <c r="I119" s="7">
        <v>5.98</v>
      </c>
      <c r="J119" s="11">
        <v>9.2599999999999991E-3</v>
      </c>
      <c r="K119">
        <v>1.4884544506158961</v>
      </c>
    </row>
    <row r="120" spans="1:11" x14ac:dyDescent="0.3">
      <c r="A120">
        <v>0.6</v>
      </c>
      <c r="B120">
        <v>1</v>
      </c>
      <c r="C120">
        <v>40</v>
      </c>
      <c r="D120" s="3">
        <v>23.4</v>
      </c>
      <c r="E120">
        <v>14.806915224991243</v>
      </c>
      <c r="F120">
        <v>11.524822695035462</v>
      </c>
      <c r="G120" s="7">
        <v>3.76</v>
      </c>
      <c r="H120">
        <v>-1.7545871559633026</v>
      </c>
      <c r="I120" s="7">
        <v>9.31</v>
      </c>
      <c r="J120" s="11">
        <v>9.2599999999999991E-3</v>
      </c>
      <c r="K120">
        <v>0.38197231191479297</v>
      </c>
    </row>
    <row r="121" spans="1:11" x14ac:dyDescent="0.3">
      <c r="A121">
        <v>0.6</v>
      </c>
      <c r="B121">
        <v>1</v>
      </c>
      <c r="C121">
        <v>40</v>
      </c>
      <c r="D121" s="7">
        <v>27.7</v>
      </c>
      <c r="E121">
        <v>19.578209067630741</v>
      </c>
      <c r="F121">
        <v>13.642631993695824</v>
      </c>
      <c r="G121" s="7">
        <v>3.76</v>
      </c>
      <c r="H121">
        <v>-1.7545871559633026</v>
      </c>
      <c r="I121" s="7">
        <v>12.31</v>
      </c>
      <c r="J121" s="11">
        <v>9.2599999999999991E-3</v>
      </c>
      <c r="K121">
        <v>-0.31983343953114995</v>
      </c>
    </row>
    <row r="122" spans="1:11" x14ac:dyDescent="0.3">
      <c r="A122">
        <v>0.6</v>
      </c>
      <c r="B122">
        <v>2</v>
      </c>
      <c r="C122">
        <v>40</v>
      </c>
      <c r="D122" s="3">
        <v>3.9</v>
      </c>
      <c r="E122">
        <v>0</v>
      </c>
      <c r="F122">
        <v>1.9208037825059101</v>
      </c>
      <c r="G122" s="7">
        <v>3.76</v>
      </c>
      <c r="H122">
        <v>-0.77981651376146777</v>
      </c>
      <c r="I122" s="7">
        <v>0</v>
      </c>
      <c r="J122" s="11">
        <v>9.2599999999999991E-3</v>
      </c>
      <c r="K122">
        <v>53.688632274677403</v>
      </c>
    </row>
    <row r="123" spans="1:11" x14ac:dyDescent="0.3">
      <c r="A123">
        <v>0.6</v>
      </c>
      <c r="B123">
        <v>2</v>
      </c>
      <c r="C123">
        <v>40</v>
      </c>
      <c r="D123" s="3">
        <v>7.8</v>
      </c>
      <c r="E123">
        <v>2.6719245518781189</v>
      </c>
      <c r="F123">
        <v>3.8416075650118202</v>
      </c>
      <c r="G123" s="7">
        <v>3.76</v>
      </c>
      <c r="H123">
        <v>-1.7545871559633026</v>
      </c>
      <c r="I123" s="7">
        <v>1.68</v>
      </c>
      <c r="J123" s="11">
        <v>9.2599999999999991E-3</v>
      </c>
      <c r="K123">
        <v>13.097039713613256</v>
      </c>
    </row>
    <row r="124" spans="1:11" x14ac:dyDescent="0.3">
      <c r="A124">
        <v>0.6</v>
      </c>
      <c r="B124">
        <v>2</v>
      </c>
      <c r="C124">
        <v>40</v>
      </c>
      <c r="D124" s="3">
        <v>11.7</v>
      </c>
      <c r="E124">
        <v>5.1211887244330621</v>
      </c>
      <c r="F124">
        <v>5.7624113475177312</v>
      </c>
      <c r="G124" s="7">
        <v>3.76</v>
      </c>
      <c r="H124">
        <v>-1.7545871559633026</v>
      </c>
      <c r="I124" s="7">
        <v>3.22</v>
      </c>
      <c r="J124" s="11">
        <v>9.2599999999999991E-3</v>
      </c>
      <c r="K124">
        <v>5.4345776298262711</v>
      </c>
    </row>
    <row r="125" spans="1:11" x14ac:dyDescent="0.3">
      <c r="A125">
        <v>0.6</v>
      </c>
      <c r="B125">
        <v>2</v>
      </c>
      <c r="C125">
        <v>40</v>
      </c>
      <c r="D125" s="3">
        <v>15.6</v>
      </c>
      <c r="E125">
        <v>9.4948747468526005</v>
      </c>
      <c r="F125">
        <v>7.6832151300236404</v>
      </c>
      <c r="G125" s="7">
        <v>3.76</v>
      </c>
      <c r="H125">
        <v>-1.7545871559633026</v>
      </c>
      <c r="I125" s="7">
        <v>5.97</v>
      </c>
      <c r="J125" s="11">
        <v>9.2599999999999991E-3</v>
      </c>
      <c r="K125">
        <v>2.3291514448956216</v>
      </c>
    </row>
    <row r="126" spans="1:11" x14ac:dyDescent="0.3">
      <c r="A126">
        <v>0.6</v>
      </c>
      <c r="B126">
        <v>2</v>
      </c>
      <c r="C126">
        <v>40</v>
      </c>
      <c r="D126" s="3">
        <v>19.5</v>
      </c>
      <c r="E126">
        <v>14.854628163417638</v>
      </c>
      <c r="F126">
        <v>9.6040189125295505</v>
      </c>
      <c r="G126" s="7">
        <v>3.76</v>
      </c>
      <c r="H126">
        <v>-1.7545871559633026</v>
      </c>
      <c r="I126" s="7">
        <v>9.34</v>
      </c>
      <c r="J126" s="11">
        <v>9.2599999999999991E-3</v>
      </c>
      <c r="K126">
        <v>0.53972812690934957</v>
      </c>
    </row>
    <row r="127" spans="1:11" x14ac:dyDescent="0.3">
      <c r="A127">
        <v>0.6</v>
      </c>
      <c r="B127">
        <v>2</v>
      </c>
      <c r="C127">
        <v>40</v>
      </c>
      <c r="D127" s="3">
        <v>23.4</v>
      </c>
      <c r="E127">
        <v>20.055338451894691</v>
      </c>
      <c r="F127">
        <v>11.524822695035462</v>
      </c>
      <c r="G127" s="7">
        <v>3.76</v>
      </c>
      <c r="H127">
        <v>-1.7545871559633026</v>
      </c>
      <c r="I127" s="7">
        <v>12.61</v>
      </c>
      <c r="J127" s="11">
        <v>9.2599999999999991E-3</v>
      </c>
      <c r="K127">
        <v>-0.54386548300118309</v>
      </c>
    </row>
    <row r="128" spans="1:11" x14ac:dyDescent="0.3">
      <c r="A128">
        <v>0.6</v>
      </c>
      <c r="B128">
        <v>2</v>
      </c>
      <c r="C128">
        <v>40</v>
      </c>
      <c r="D128" s="7">
        <v>27.5</v>
      </c>
      <c r="E128">
        <v>24.922058171386979</v>
      </c>
      <c r="F128">
        <v>13.544129235618598</v>
      </c>
      <c r="G128" s="7">
        <v>3.76</v>
      </c>
      <c r="H128">
        <v>-1.7545871559633026</v>
      </c>
      <c r="I128" s="13">
        <v>15.67</v>
      </c>
      <c r="J128" s="11">
        <v>9.2599999999999991E-3</v>
      </c>
      <c r="K128">
        <v>-1.1957343030896892</v>
      </c>
    </row>
    <row r="129" spans="1:11" x14ac:dyDescent="0.3">
      <c r="A129">
        <v>0.6</v>
      </c>
      <c r="B129">
        <v>4</v>
      </c>
      <c r="C129">
        <v>40</v>
      </c>
      <c r="D129" s="3">
        <v>3.9</v>
      </c>
      <c r="E129">
        <v>0</v>
      </c>
      <c r="F129">
        <v>1.9208037825059101</v>
      </c>
      <c r="G129" s="7">
        <v>3.76</v>
      </c>
      <c r="H129">
        <v>-0.77981651376146777</v>
      </c>
      <c r="I129" s="7">
        <v>0</v>
      </c>
      <c r="J129" s="11">
        <v>9.2599999999999991E-3</v>
      </c>
      <c r="K129">
        <v>53.688632274677403</v>
      </c>
    </row>
    <row r="130" spans="1:11" x14ac:dyDescent="0.3">
      <c r="A130">
        <v>0.6</v>
      </c>
      <c r="B130">
        <v>4</v>
      </c>
      <c r="C130">
        <v>40</v>
      </c>
      <c r="D130" s="3">
        <v>7.8</v>
      </c>
      <c r="E130">
        <v>2.7832547415397073</v>
      </c>
      <c r="F130">
        <v>3.8416075650118202</v>
      </c>
      <c r="G130" s="7">
        <v>3.76</v>
      </c>
      <c r="H130">
        <v>-1.7545871559633026</v>
      </c>
      <c r="I130" s="7">
        <v>1.75</v>
      </c>
      <c r="J130" s="11">
        <v>9.2599999999999991E-3</v>
      </c>
      <c r="K130">
        <v>13.069382075769942</v>
      </c>
    </row>
    <row r="131" spans="1:11" x14ac:dyDescent="0.3">
      <c r="A131">
        <v>0.6</v>
      </c>
      <c r="B131">
        <v>4</v>
      </c>
      <c r="C131">
        <v>40</v>
      </c>
      <c r="D131" s="3">
        <v>11.7</v>
      </c>
      <c r="E131">
        <v>5.6460310471234063</v>
      </c>
      <c r="F131">
        <v>5.7624113475177312</v>
      </c>
      <c r="G131" s="7">
        <v>3.76</v>
      </c>
      <c r="H131">
        <v>-1.7545871559633026</v>
      </c>
      <c r="I131" s="7">
        <v>3.55</v>
      </c>
      <c r="J131" s="11">
        <v>9.2599999999999991E-3</v>
      </c>
      <c r="K131">
        <v>5.3201994934835506</v>
      </c>
    </row>
    <row r="132" spans="1:11" x14ac:dyDescent="0.3">
      <c r="A132">
        <v>0.6</v>
      </c>
      <c r="B132">
        <v>4</v>
      </c>
      <c r="C132">
        <v>40</v>
      </c>
      <c r="D132" s="3">
        <v>15.6</v>
      </c>
      <c r="E132">
        <v>9.2563100547206254</v>
      </c>
      <c r="F132">
        <v>7.6832151300236404</v>
      </c>
      <c r="G132" s="7">
        <v>3.76</v>
      </c>
      <c r="H132">
        <v>-1.7545871559633026</v>
      </c>
      <c r="I132" s="7">
        <v>5.82</v>
      </c>
      <c r="J132" s="11">
        <v>9.2599999999999991E-3</v>
      </c>
      <c r="K132">
        <v>2.3800807790542016</v>
      </c>
    </row>
    <row r="133" spans="1:11" x14ac:dyDescent="0.3">
      <c r="A133">
        <v>0.6</v>
      </c>
      <c r="B133">
        <v>4</v>
      </c>
      <c r="C133">
        <v>40</v>
      </c>
      <c r="D133" s="3">
        <v>19.5</v>
      </c>
      <c r="E133">
        <v>14.743297973756048</v>
      </c>
      <c r="F133">
        <v>9.6040189125295505</v>
      </c>
      <c r="G133" s="7">
        <v>3.76</v>
      </c>
      <c r="H133">
        <v>-1.7545871559633026</v>
      </c>
      <c r="I133" s="7">
        <v>9.27</v>
      </c>
      <c r="J133" s="11">
        <v>9.2599999999999991E-3</v>
      </c>
      <c r="K133">
        <v>0.56373785939980148</v>
      </c>
    </row>
    <row r="134" spans="1:11" x14ac:dyDescent="0.3">
      <c r="A134">
        <v>0.6</v>
      </c>
      <c r="B134">
        <v>4</v>
      </c>
      <c r="C134">
        <v>40</v>
      </c>
      <c r="D134" s="3">
        <v>23.4</v>
      </c>
      <c r="E134">
        <v>19.657730631674731</v>
      </c>
      <c r="F134">
        <v>11.524822695035462</v>
      </c>
      <c r="G134" s="7">
        <v>3.76</v>
      </c>
      <c r="H134">
        <v>-1.7545871559633026</v>
      </c>
      <c r="I134" s="7">
        <v>12.36</v>
      </c>
      <c r="J134" s="11">
        <v>9.2599999999999991E-3</v>
      </c>
      <c r="K134">
        <v>-0.4639669202556212</v>
      </c>
    </row>
    <row r="135" spans="1:11" x14ac:dyDescent="0.3">
      <c r="A135">
        <v>0.6</v>
      </c>
      <c r="B135">
        <v>4</v>
      </c>
      <c r="C135">
        <v>40</v>
      </c>
      <c r="D135" s="7">
        <v>27.6</v>
      </c>
      <c r="E135">
        <v>23.172583762419162</v>
      </c>
      <c r="F135">
        <v>13.593380614657212</v>
      </c>
      <c r="G135" s="7">
        <v>3.76</v>
      </c>
      <c r="H135">
        <v>-1.7545871559633026</v>
      </c>
      <c r="I135" s="7">
        <v>14.57</v>
      </c>
      <c r="J135" s="11">
        <v>9.2599999999999991E-3</v>
      </c>
      <c r="K135">
        <v>-0.88105213255168235</v>
      </c>
    </row>
    <row r="136" spans="1:11" x14ac:dyDescent="0.3">
      <c r="A136">
        <v>0.6</v>
      </c>
      <c r="B136">
        <v>6</v>
      </c>
      <c r="C136">
        <v>40</v>
      </c>
      <c r="D136" s="3">
        <v>3.9</v>
      </c>
      <c r="E136">
        <v>0</v>
      </c>
      <c r="F136">
        <v>1.9208037825059101</v>
      </c>
      <c r="G136" s="7">
        <v>3.76</v>
      </c>
      <c r="H136">
        <v>-0.77981651376146777</v>
      </c>
      <c r="I136" s="7">
        <v>0</v>
      </c>
      <c r="J136" s="11">
        <v>9.259980000000001E-3</v>
      </c>
      <c r="K136">
        <v>53.688632274677403</v>
      </c>
    </row>
    <row r="137" spans="1:11" x14ac:dyDescent="0.3">
      <c r="A137">
        <v>0.6</v>
      </c>
      <c r="B137">
        <v>6</v>
      </c>
      <c r="C137">
        <v>40</v>
      </c>
      <c r="D137" s="3">
        <v>7.8</v>
      </c>
      <c r="E137">
        <v>2.0675606651437826</v>
      </c>
      <c r="F137">
        <v>3.8416075650118202</v>
      </c>
      <c r="G137" s="7">
        <v>3.76</v>
      </c>
      <c r="H137">
        <v>-1.7545871559633026</v>
      </c>
      <c r="I137" s="7">
        <v>1.3</v>
      </c>
      <c r="J137" s="11">
        <v>9.259980000000001E-3</v>
      </c>
      <c r="K137">
        <v>13.22748331666935</v>
      </c>
    </row>
    <row r="138" spans="1:11" x14ac:dyDescent="0.3">
      <c r="A138">
        <v>0.6</v>
      </c>
      <c r="B138">
        <v>6</v>
      </c>
      <c r="C138">
        <v>40</v>
      </c>
      <c r="D138" s="3">
        <v>11.7</v>
      </c>
      <c r="E138">
        <v>4.6758679657867077</v>
      </c>
      <c r="F138">
        <v>5.7624113475177312</v>
      </c>
      <c r="G138" s="7">
        <v>3.76</v>
      </c>
      <c r="H138">
        <v>-1.7545871559633026</v>
      </c>
      <c r="I138" s="7">
        <v>2.94</v>
      </c>
      <c r="J138" s="11">
        <v>9.259980000000001E-3</v>
      </c>
      <c r="K138">
        <v>5.5228813805822483</v>
      </c>
    </row>
    <row r="139" spans="1:11" x14ac:dyDescent="0.3">
      <c r="A139">
        <v>0.6</v>
      </c>
      <c r="B139">
        <v>6</v>
      </c>
      <c r="C139">
        <v>40</v>
      </c>
      <c r="D139" s="3">
        <v>15.6</v>
      </c>
      <c r="E139">
        <v>8.2543383477663319</v>
      </c>
      <c r="F139">
        <v>7.6832151300236404</v>
      </c>
      <c r="G139" s="7">
        <v>3.76</v>
      </c>
      <c r="H139">
        <v>-1.7545871559633026</v>
      </c>
      <c r="I139" s="7">
        <v>5.19</v>
      </c>
      <c r="J139" s="11">
        <v>9.259980000000001E-3</v>
      </c>
      <c r="K139">
        <v>2.5798326255479291</v>
      </c>
    </row>
    <row r="140" spans="1:11" x14ac:dyDescent="0.3">
      <c r="A140">
        <v>0.6</v>
      </c>
      <c r="B140">
        <v>6</v>
      </c>
      <c r="C140">
        <v>40</v>
      </c>
      <c r="D140" s="3">
        <v>19.5</v>
      </c>
      <c r="E140">
        <v>10.814932709982862</v>
      </c>
      <c r="F140">
        <v>9.6040189125295505</v>
      </c>
      <c r="G140" s="7">
        <v>3.76</v>
      </c>
      <c r="H140">
        <v>-1.7545871559633026</v>
      </c>
      <c r="I140" s="7">
        <v>6.8</v>
      </c>
      <c r="J140" s="11">
        <v>9.259980000000001E-3</v>
      </c>
      <c r="K140">
        <v>1.295307607438694</v>
      </c>
    </row>
    <row r="141" spans="1:11" x14ac:dyDescent="0.3">
      <c r="A141">
        <v>0.6</v>
      </c>
      <c r="B141">
        <v>6</v>
      </c>
      <c r="C141">
        <v>40</v>
      </c>
      <c r="D141" s="3">
        <v>23.4</v>
      </c>
      <c r="E141">
        <v>11.260253468629216</v>
      </c>
      <c r="F141">
        <v>11.524822695035462</v>
      </c>
      <c r="G141" s="7">
        <v>3.76</v>
      </c>
      <c r="H141">
        <v>-1.7545871559633026</v>
      </c>
      <c r="I141" s="7">
        <v>7.08</v>
      </c>
      <c r="J141" s="11">
        <v>9.259980000000001E-3</v>
      </c>
      <c r="K141">
        <v>0.84977663690982241</v>
      </c>
    </row>
    <row r="142" spans="1:11" x14ac:dyDescent="0.3">
      <c r="A142">
        <v>0.6</v>
      </c>
      <c r="B142">
        <v>6</v>
      </c>
      <c r="C142">
        <v>40</v>
      </c>
      <c r="D142" s="7">
        <v>27.2</v>
      </c>
      <c r="E142">
        <v>14.393403091962487</v>
      </c>
      <c r="F142">
        <v>13.396375098502759</v>
      </c>
      <c r="G142" s="7">
        <v>3.76</v>
      </c>
      <c r="H142">
        <v>-1.7545871559633026</v>
      </c>
      <c r="I142" s="7">
        <v>9.0500000000000007</v>
      </c>
      <c r="J142" s="11">
        <v>9.259980000000001E-3</v>
      </c>
      <c r="K142">
        <v>0.32791892486667806</v>
      </c>
    </row>
    <row r="143" spans="1:11" x14ac:dyDescent="0.3">
      <c r="A143">
        <v>0.6</v>
      </c>
      <c r="B143">
        <v>1</v>
      </c>
      <c r="C143">
        <v>60</v>
      </c>
      <c r="D143" s="3">
        <v>4.5999999999999996</v>
      </c>
      <c r="E143">
        <v>0</v>
      </c>
      <c r="F143">
        <v>1.510375623850801</v>
      </c>
      <c r="G143" s="7">
        <v>5.64</v>
      </c>
      <c r="H143">
        <v>-0.77981651376146777</v>
      </c>
      <c r="I143" s="7">
        <v>0</v>
      </c>
      <c r="J143" s="11">
        <v>1.379E-2</v>
      </c>
      <c r="K143">
        <v>86.83172107845688</v>
      </c>
    </row>
    <row r="144" spans="1:11" x14ac:dyDescent="0.3">
      <c r="A144">
        <v>0.6</v>
      </c>
      <c r="B144">
        <v>1</v>
      </c>
      <c r="C144">
        <v>60</v>
      </c>
      <c r="D144" s="3">
        <v>9.1999999999999993</v>
      </c>
      <c r="E144">
        <v>1.2246320862774713</v>
      </c>
      <c r="F144">
        <v>3.0207512477016021</v>
      </c>
      <c r="G144" s="7">
        <v>5.64</v>
      </c>
      <c r="H144">
        <v>-1.7545871559633026</v>
      </c>
      <c r="I144" s="7">
        <v>0.77</v>
      </c>
      <c r="J144" s="11">
        <v>1.379E-2</v>
      </c>
      <c r="K144">
        <v>21.597471438124085</v>
      </c>
    </row>
    <row r="145" spans="1:11" x14ac:dyDescent="0.3">
      <c r="A145">
        <v>0.6</v>
      </c>
      <c r="B145">
        <v>1</v>
      </c>
      <c r="C145">
        <v>60</v>
      </c>
      <c r="D145" s="3">
        <v>13.8</v>
      </c>
      <c r="E145">
        <v>3.5625660691708263</v>
      </c>
      <c r="F145">
        <v>4.5311268715524031</v>
      </c>
      <c r="G145" s="7">
        <v>5.64</v>
      </c>
      <c r="H145">
        <v>-1.7545871559633026</v>
      </c>
      <c r="I145" s="7">
        <v>2.2400000000000002</v>
      </c>
      <c r="J145" s="11">
        <v>1.379E-2</v>
      </c>
      <c r="K145">
        <v>9.2325058555644652</v>
      </c>
    </row>
    <row r="146" spans="1:11" x14ac:dyDescent="0.3">
      <c r="A146">
        <v>0.6</v>
      </c>
      <c r="B146">
        <v>1</v>
      </c>
      <c r="C146">
        <v>60</v>
      </c>
      <c r="D146" s="3">
        <v>18.399999999999999</v>
      </c>
      <c r="E146">
        <v>6.3299164979017348</v>
      </c>
      <c r="F146">
        <v>6.0415024954032042</v>
      </c>
      <c r="G146" s="7">
        <v>5.64</v>
      </c>
      <c r="H146">
        <v>-1.7545871559633026</v>
      </c>
      <c r="I146" s="7">
        <v>3.98</v>
      </c>
      <c r="J146" s="11">
        <v>1.379E-2</v>
      </c>
      <c r="K146">
        <v>4.6892055078925532</v>
      </c>
    </row>
    <row r="147" spans="1:11" x14ac:dyDescent="0.3">
      <c r="A147">
        <v>0.6</v>
      </c>
      <c r="B147">
        <v>1</v>
      </c>
      <c r="C147">
        <v>60</v>
      </c>
      <c r="D147" s="3">
        <v>23</v>
      </c>
      <c r="E147">
        <v>9.7493437517933739</v>
      </c>
      <c r="F147">
        <v>7.5518781192540052</v>
      </c>
      <c r="G147" s="7">
        <v>5.64</v>
      </c>
      <c r="H147">
        <v>-1.7545871559633026</v>
      </c>
      <c r="I147" s="7">
        <v>6.13</v>
      </c>
      <c r="J147" s="11">
        <v>1.379E-2</v>
      </c>
      <c r="K147">
        <v>2.3531607736435061</v>
      </c>
    </row>
    <row r="148" spans="1:11" x14ac:dyDescent="0.3">
      <c r="A148">
        <v>0.6</v>
      </c>
      <c r="B148">
        <v>1</v>
      </c>
      <c r="C148">
        <v>60</v>
      </c>
      <c r="D148" s="3">
        <v>27.6</v>
      </c>
      <c r="E148">
        <v>10.814932709982862</v>
      </c>
      <c r="F148">
        <v>9.0622537431048062</v>
      </c>
      <c r="G148" s="7">
        <v>5.64</v>
      </c>
      <c r="H148">
        <v>-1.7545871559633026</v>
      </c>
      <c r="I148" s="7">
        <v>6.8</v>
      </c>
      <c r="J148" s="11">
        <v>1.379E-2</v>
      </c>
      <c r="K148">
        <v>1.454810721079169</v>
      </c>
    </row>
    <row r="149" spans="1:11" x14ac:dyDescent="0.3">
      <c r="A149">
        <v>0.6</v>
      </c>
      <c r="B149">
        <v>1</v>
      </c>
      <c r="C149">
        <v>60</v>
      </c>
      <c r="D149" s="7">
        <v>32</v>
      </c>
      <c r="E149">
        <v>13.423240010625786</v>
      </c>
      <c r="F149">
        <v>10.506960861570789</v>
      </c>
      <c r="G149" s="7">
        <v>5.64</v>
      </c>
      <c r="H149">
        <v>-1.7545871559633026</v>
      </c>
      <c r="I149" s="7">
        <v>8.44</v>
      </c>
      <c r="J149" s="11">
        <v>1.379E-2</v>
      </c>
      <c r="K149">
        <v>0.69736441550850048</v>
      </c>
    </row>
    <row r="150" spans="1:11" x14ac:dyDescent="0.3">
      <c r="A150">
        <v>0.6</v>
      </c>
      <c r="B150">
        <v>2</v>
      </c>
      <c r="C150">
        <v>60</v>
      </c>
      <c r="D150" s="3">
        <v>4.5999999999999996</v>
      </c>
      <c r="E150">
        <v>0</v>
      </c>
      <c r="F150">
        <v>1.510375623850801</v>
      </c>
      <c r="G150" s="7">
        <v>5.64</v>
      </c>
      <c r="H150">
        <v>-0.77981651376146777</v>
      </c>
      <c r="I150" s="7">
        <v>0</v>
      </c>
      <c r="J150" s="11">
        <v>1.379E-2</v>
      </c>
      <c r="K150">
        <v>86.83172107845688</v>
      </c>
    </row>
    <row r="151" spans="1:11" x14ac:dyDescent="0.3">
      <c r="A151">
        <v>0.6</v>
      </c>
      <c r="B151">
        <v>2</v>
      </c>
      <c r="C151">
        <v>60</v>
      </c>
      <c r="D151" s="3">
        <v>9.1999999999999993</v>
      </c>
      <c r="E151">
        <v>1.5745269680710345</v>
      </c>
      <c r="F151">
        <v>3.0207512477016021</v>
      </c>
      <c r="G151" s="7">
        <v>5.64</v>
      </c>
      <c r="H151">
        <v>-1.7545871559633026</v>
      </c>
      <c r="I151" s="7">
        <v>0.99</v>
      </c>
      <c r="J151" s="11">
        <v>1.379E-2</v>
      </c>
      <c r="K151">
        <v>21.525335058375429</v>
      </c>
    </row>
    <row r="152" spans="1:11" x14ac:dyDescent="0.3">
      <c r="A152">
        <v>0.6</v>
      </c>
      <c r="B152">
        <v>2</v>
      </c>
      <c r="C152">
        <v>60</v>
      </c>
      <c r="D152" s="3">
        <v>13.8</v>
      </c>
      <c r="E152">
        <v>4.0078868278171784</v>
      </c>
      <c r="F152">
        <v>4.5311268715524031</v>
      </c>
      <c r="G152" s="7">
        <v>5.64</v>
      </c>
      <c r="H152">
        <v>-1.7545871559633026</v>
      </c>
      <c r="I152" s="7">
        <v>2.52</v>
      </c>
      <c r="J152" s="11">
        <v>1.379E-2</v>
      </c>
      <c r="K152">
        <v>9.1221484555082082</v>
      </c>
    </row>
    <row r="153" spans="1:11" x14ac:dyDescent="0.3">
      <c r="A153">
        <v>0.6</v>
      </c>
      <c r="B153">
        <v>2</v>
      </c>
      <c r="C153">
        <v>60</v>
      </c>
      <c r="D153" s="3">
        <v>18.399999999999999</v>
      </c>
      <c r="E153">
        <v>7.22055801519444</v>
      </c>
      <c r="F153">
        <v>6.0415024954032042</v>
      </c>
      <c r="G153" s="7">
        <v>5.64</v>
      </c>
      <c r="H153">
        <v>-1.7545871559633026</v>
      </c>
      <c r="I153" s="7">
        <v>4.54</v>
      </c>
      <c r="J153" s="11">
        <v>1.379E-2</v>
      </c>
      <c r="K153">
        <v>4.4669837264767489</v>
      </c>
    </row>
    <row r="154" spans="1:11" x14ac:dyDescent="0.3">
      <c r="A154">
        <v>0.6</v>
      </c>
      <c r="B154">
        <v>2</v>
      </c>
      <c r="C154">
        <v>60</v>
      </c>
      <c r="D154" s="3">
        <v>23</v>
      </c>
      <c r="E154">
        <v>10.369611951336509</v>
      </c>
      <c r="F154">
        <v>7.5518781192540052</v>
      </c>
      <c r="G154" s="7">
        <v>5.64</v>
      </c>
      <c r="H154">
        <v>-1.7545871559633026</v>
      </c>
      <c r="I154" s="7">
        <v>6.52</v>
      </c>
      <c r="J154" s="11">
        <v>1.379E-2</v>
      </c>
      <c r="K154">
        <v>2.2061009267468101</v>
      </c>
    </row>
    <row r="155" spans="1:11" x14ac:dyDescent="0.3">
      <c r="A155">
        <v>0.6</v>
      </c>
      <c r="B155">
        <v>2</v>
      </c>
      <c r="C155">
        <v>60</v>
      </c>
      <c r="D155" s="3">
        <v>27.6</v>
      </c>
      <c r="E155">
        <v>12.198607924348318</v>
      </c>
      <c r="F155">
        <v>9.0622537431048062</v>
      </c>
      <c r="G155" s="7">
        <v>5.64</v>
      </c>
      <c r="H155">
        <v>-1.7545871559633026</v>
      </c>
      <c r="I155" s="7">
        <v>7.67</v>
      </c>
      <c r="J155" s="11">
        <v>1.379E-2</v>
      </c>
      <c r="K155">
        <v>1.1942168072195845</v>
      </c>
    </row>
    <row r="156" spans="1:11" x14ac:dyDescent="0.3">
      <c r="A156">
        <v>0.6</v>
      </c>
      <c r="B156">
        <v>2</v>
      </c>
      <c r="C156">
        <v>60</v>
      </c>
      <c r="D156" s="7">
        <v>32</v>
      </c>
      <c r="E156">
        <v>15.39537479891678</v>
      </c>
      <c r="F156">
        <v>10.506960861570789</v>
      </c>
      <c r="G156" s="7">
        <v>5.64</v>
      </c>
      <c r="H156">
        <v>-1.7545871559633026</v>
      </c>
      <c r="I156" s="7">
        <v>9.68</v>
      </c>
      <c r="J156" s="11">
        <v>1.379E-2</v>
      </c>
      <c r="K156">
        <v>0.35136563280660038</v>
      </c>
    </row>
    <row r="157" spans="1:11" x14ac:dyDescent="0.3">
      <c r="A157">
        <v>0.6</v>
      </c>
      <c r="B157">
        <v>4</v>
      </c>
      <c r="C157">
        <v>60</v>
      </c>
      <c r="D157" s="3">
        <v>4.5999999999999996</v>
      </c>
      <c r="E157">
        <v>0</v>
      </c>
      <c r="F157">
        <v>1.510375623850801</v>
      </c>
      <c r="G157" s="7">
        <v>5.64</v>
      </c>
      <c r="H157">
        <v>-0.77981651376146777</v>
      </c>
      <c r="I157" s="7">
        <v>0</v>
      </c>
      <c r="J157" s="11">
        <v>1.379E-2</v>
      </c>
      <c r="K157">
        <v>86.83172107845688</v>
      </c>
    </row>
    <row r="158" spans="1:11" x14ac:dyDescent="0.3">
      <c r="A158">
        <v>0.6</v>
      </c>
      <c r="B158">
        <v>4</v>
      </c>
      <c r="C158">
        <v>60</v>
      </c>
      <c r="D158" s="3">
        <v>9.1999999999999993</v>
      </c>
      <c r="E158">
        <v>0.28274333882308139</v>
      </c>
      <c r="F158">
        <v>3.0207512477016021</v>
      </c>
      <c r="G158" s="7">
        <v>5.64</v>
      </c>
      <c r="H158">
        <v>-0.77981651376146777</v>
      </c>
      <c r="I158" s="7">
        <v>0.4</v>
      </c>
      <c r="J158" s="11">
        <v>1.379E-2</v>
      </c>
      <c r="K158">
        <v>21.678121848230475</v>
      </c>
    </row>
    <row r="159" spans="1:11" x14ac:dyDescent="0.3">
      <c r="A159">
        <v>0.6</v>
      </c>
      <c r="B159">
        <v>4</v>
      </c>
      <c r="C159">
        <v>60</v>
      </c>
      <c r="D159" s="3">
        <v>13.8</v>
      </c>
      <c r="E159">
        <v>2.4015512341285472</v>
      </c>
      <c r="F159">
        <v>4.5311268715524031</v>
      </c>
      <c r="G159" s="7">
        <v>5.64</v>
      </c>
      <c r="H159">
        <v>-1.7545871559633026</v>
      </c>
      <c r="I159" s="7">
        <v>1.51</v>
      </c>
      <c r="J159" s="11">
        <v>1.379E-2</v>
      </c>
      <c r="K159">
        <v>9.4591740598366769</v>
      </c>
    </row>
    <row r="160" spans="1:11" x14ac:dyDescent="0.3">
      <c r="A160">
        <v>0.6</v>
      </c>
      <c r="B160">
        <v>4</v>
      </c>
      <c r="C160">
        <v>60</v>
      </c>
      <c r="D160" s="3">
        <v>18.399999999999999</v>
      </c>
      <c r="E160">
        <v>3.1490539361420691</v>
      </c>
      <c r="F160">
        <v>6.0415024954032042</v>
      </c>
      <c r="G160" s="7">
        <v>5.64</v>
      </c>
      <c r="H160">
        <v>-1.7545871559633026</v>
      </c>
      <c r="I160" s="7">
        <v>1.98</v>
      </c>
      <c r="J160" s="11">
        <v>1.379E-2</v>
      </c>
      <c r="K160">
        <v>5.2443873561647649</v>
      </c>
    </row>
    <row r="161" spans="1:11" x14ac:dyDescent="0.3">
      <c r="A161">
        <v>0.6</v>
      </c>
      <c r="B161">
        <v>4</v>
      </c>
      <c r="C161">
        <v>60</v>
      </c>
      <c r="D161" s="3">
        <v>23</v>
      </c>
      <c r="E161">
        <v>4.4691118992723293</v>
      </c>
      <c r="F161">
        <v>7.5518781192540052</v>
      </c>
      <c r="G161" s="7">
        <v>5.64</v>
      </c>
      <c r="H161">
        <v>-1.7545871559633026</v>
      </c>
      <c r="I161" s="7">
        <v>2.81</v>
      </c>
      <c r="J161" s="11">
        <v>1.379E-2</v>
      </c>
      <c r="K161">
        <v>3.2378985670501028</v>
      </c>
    </row>
    <row r="162" spans="1:11" x14ac:dyDescent="0.3">
      <c r="A162">
        <v>0.6</v>
      </c>
      <c r="B162">
        <v>4</v>
      </c>
      <c r="C162">
        <v>60</v>
      </c>
      <c r="D162" s="3">
        <v>27.6</v>
      </c>
      <c r="E162">
        <v>6.0754474929609605</v>
      </c>
      <c r="F162">
        <v>9.0622537431048062</v>
      </c>
      <c r="G162" s="7">
        <v>5.64</v>
      </c>
      <c r="H162">
        <v>-1.7545871559633026</v>
      </c>
      <c r="I162" s="7">
        <v>3.82</v>
      </c>
      <c r="J162" s="11">
        <v>1.379E-2</v>
      </c>
      <c r="K162">
        <v>2.1099253020403785</v>
      </c>
    </row>
    <row r="163" spans="1:11" x14ac:dyDescent="0.3">
      <c r="A163">
        <v>0.6</v>
      </c>
      <c r="B163">
        <v>4</v>
      </c>
      <c r="C163">
        <v>60</v>
      </c>
      <c r="D163" s="7">
        <v>32.299999999999997</v>
      </c>
      <c r="E163">
        <v>7.2523666408120366</v>
      </c>
      <c r="F163">
        <v>10.605463619648015</v>
      </c>
      <c r="G163" s="7">
        <v>5.64</v>
      </c>
      <c r="H163">
        <v>-1.7545871559633026</v>
      </c>
      <c r="I163" s="7">
        <v>4.5599999999999996</v>
      </c>
      <c r="J163" s="11">
        <v>1.379E-2</v>
      </c>
      <c r="K163">
        <v>1.4468384775488932</v>
      </c>
    </row>
    <row r="164" spans="1:11" x14ac:dyDescent="0.3">
      <c r="A164">
        <v>0.6</v>
      </c>
      <c r="B164">
        <v>6</v>
      </c>
      <c r="C164">
        <v>60</v>
      </c>
      <c r="D164" s="3">
        <v>4.5999999999999996</v>
      </c>
      <c r="E164">
        <v>0</v>
      </c>
      <c r="F164">
        <v>1.510375623850801</v>
      </c>
      <c r="G164" s="7">
        <v>5.64</v>
      </c>
      <c r="H164">
        <v>-0.77981651376146777</v>
      </c>
      <c r="I164" s="7">
        <v>0</v>
      </c>
      <c r="J164" s="11">
        <v>1.378998E-2</v>
      </c>
      <c r="K164">
        <v>86.83172107845688</v>
      </c>
    </row>
    <row r="165" spans="1:11" x14ac:dyDescent="0.3">
      <c r="A165">
        <v>0.6</v>
      </c>
      <c r="B165">
        <v>6</v>
      </c>
      <c r="C165">
        <v>60</v>
      </c>
      <c r="D165" s="3">
        <v>9.1999999999999993</v>
      </c>
      <c r="E165">
        <v>0</v>
      </c>
      <c r="F165">
        <v>3.0207512477016021</v>
      </c>
      <c r="G165" s="7">
        <v>5.64</v>
      </c>
      <c r="H165">
        <v>-0.77981651376146777</v>
      </c>
      <c r="I165" s="7">
        <v>0</v>
      </c>
      <c r="J165" s="11">
        <v>1.378998E-2</v>
      </c>
      <c r="K165">
        <v>21.70793026961422</v>
      </c>
    </row>
    <row r="166" spans="1:11" x14ac:dyDescent="0.3">
      <c r="A166">
        <v>0.6</v>
      </c>
      <c r="B166">
        <v>6</v>
      </c>
      <c r="C166">
        <v>60</v>
      </c>
      <c r="D166" s="3">
        <v>13.8</v>
      </c>
      <c r="E166">
        <v>0</v>
      </c>
      <c r="F166">
        <v>4.5311268715524031</v>
      </c>
      <c r="G166" s="7">
        <v>5.64</v>
      </c>
      <c r="H166">
        <v>-0.77981651376146777</v>
      </c>
      <c r="I166" s="7">
        <v>0</v>
      </c>
      <c r="J166" s="11">
        <v>1.378998E-2</v>
      </c>
      <c r="K166">
        <v>9.6479690087174319</v>
      </c>
    </row>
    <row r="167" spans="1:11" x14ac:dyDescent="0.3">
      <c r="A167">
        <v>0.6</v>
      </c>
      <c r="B167">
        <v>6</v>
      </c>
      <c r="C167">
        <v>60</v>
      </c>
      <c r="D167" s="3">
        <v>18.399999999999999</v>
      </c>
      <c r="E167">
        <v>0.56548667764616278</v>
      </c>
      <c r="F167">
        <v>6.0415024954032042</v>
      </c>
      <c r="G167" s="7">
        <v>5.64</v>
      </c>
      <c r="H167">
        <v>-0.77981651376146777</v>
      </c>
      <c r="I167" s="7">
        <v>0.8</v>
      </c>
      <c r="J167" s="11">
        <v>1.378998E-2</v>
      </c>
      <c r="K167">
        <v>5.3971741460198119</v>
      </c>
    </row>
    <row r="168" spans="1:11" x14ac:dyDescent="0.3">
      <c r="A168">
        <v>0.6</v>
      </c>
      <c r="B168">
        <v>6</v>
      </c>
      <c r="C168">
        <v>60</v>
      </c>
      <c r="D168" s="3">
        <v>23</v>
      </c>
      <c r="E168">
        <v>1.3076879420567513</v>
      </c>
      <c r="F168">
        <v>7.5518781192540052</v>
      </c>
      <c r="G168" s="7">
        <v>5.64</v>
      </c>
      <c r="H168">
        <v>-0.77981651376146777</v>
      </c>
      <c r="I168" s="7">
        <v>1.85</v>
      </c>
      <c r="J168" s="11">
        <v>1.378998E-2</v>
      </c>
      <c r="K168">
        <v>3.3712495209524151</v>
      </c>
    </row>
    <row r="169" spans="1:11" x14ac:dyDescent="0.3">
      <c r="A169">
        <v>0.6</v>
      </c>
      <c r="B169">
        <v>6</v>
      </c>
      <c r="C169">
        <v>60</v>
      </c>
      <c r="D169" s="3">
        <v>27.6</v>
      </c>
      <c r="E169">
        <v>1.9085175370557994</v>
      </c>
      <c r="F169">
        <v>9.0622537431048062</v>
      </c>
      <c r="G169" s="7">
        <v>5.64</v>
      </c>
      <c r="H169">
        <v>-1.7545871559633026</v>
      </c>
      <c r="I169" s="7">
        <v>1.2</v>
      </c>
      <c r="J169" s="11">
        <v>1.378998E-2</v>
      </c>
      <c r="K169">
        <v>2.3821838307956154</v>
      </c>
    </row>
    <row r="170" spans="1:11" x14ac:dyDescent="0.3">
      <c r="A170">
        <v>0.6</v>
      </c>
      <c r="B170">
        <v>6</v>
      </c>
      <c r="C170">
        <v>60</v>
      </c>
      <c r="D170" s="7">
        <v>31.5</v>
      </c>
      <c r="E170">
        <v>2.4810727981725389</v>
      </c>
      <c r="F170">
        <v>10.342789598108746</v>
      </c>
      <c r="G170" s="7">
        <v>5.64</v>
      </c>
      <c r="H170">
        <v>-1.7545871559633026</v>
      </c>
      <c r="I170" s="7">
        <v>1.56</v>
      </c>
      <c r="J170" s="11">
        <v>1.378998E-2</v>
      </c>
      <c r="K170">
        <v>1.8130356456803267</v>
      </c>
    </row>
    <row r="171" spans="1:11" x14ac:dyDescent="0.3">
      <c r="A171">
        <f>100/60</f>
        <v>1.6666666666666667</v>
      </c>
      <c r="B171">
        <v>1</v>
      </c>
      <c r="C171">
        <v>10</v>
      </c>
      <c r="D171" s="15">
        <v>1.6</v>
      </c>
      <c r="E171">
        <v>0.76340701482231965</v>
      </c>
      <c r="F171">
        <v>3.1520882584712373</v>
      </c>
      <c r="G171" s="9">
        <v>0.54</v>
      </c>
      <c r="H171">
        <v>-1.7545871559633026</v>
      </c>
      <c r="I171" s="7">
        <v>0.48</v>
      </c>
      <c r="J171" s="11">
        <v>2.5500000000000002E-3</v>
      </c>
      <c r="K171">
        <v>19.897201822140001</v>
      </c>
    </row>
    <row r="172" spans="1:11" x14ac:dyDescent="0.3">
      <c r="A172">
        <f t="shared" ref="A172:A235" si="0">100/60</f>
        <v>1.6666666666666667</v>
      </c>
      <c r="B172">
        <v>1</v>
      </c>
      <c r="C172">
        <v>10</v>
      </c>
      <c r="D172" s="15">
        <v>3.2</v>
      </c>
      <c r="E172">
        <v>2.9422978696276907</v>
      </c>
      <c r="F172">
        <v>6.3041765169424746</v>
      </c>
      <c r="G172" s="9">
        <v>0.54</v>
      </c>
      <c r="H172">
        <v>-1.7545871559633026</v>
      </c>
      <c r="I172" s="7">
        <v>1.85</v>
      </c>
      <c r="J172" s="11">
        <v>2.5500000000000002E-3</v>
      </c>
      <c r="K172">
        <v>4.8377576947260943</v>
      </c>
    </row>
    <row r="173" spans="1:11" x14ac:dyDescent="0.3">
      <c r="A173">
        <f t="shared" si="0"/>
        <v>1.6666666666666667</v>
      </c>
      <c r="B173">
        <v>1</v>
      </c>
      <c r="C173">
        <v>10</v>
      </c>
      <c r="D173" s="15">
        <v>4.8</v>
      </c>
      <c r="E173">
        <v>5.8845957392553814</v>
      </c>
      <c r="F173">
        <v>9.456264775413711</v>
      </c>
      <c r="G173" s="9">
        <v>0.54</v>
      </c>
      <c r="H173">
        <v>-1.7545871559633026</v>
      </c>
      <c r="I173" s="7">
        <v>3.7</v>
      </c>
      <c r="J173" s="11">
        <v>2.5500000000000002E-3</v>
      </c>
      <c r="K173">
        <v>1.9549169708175005</v>
      </c>
    </row>
    <row r="174" spans="1:11" x14ac:dyDescent="0.3">
      <c r="A174">
        <f t="shared" si="0"/>
        <v>1.6666666666666667</v>
      </c>
      <c r="B174">
        <v>1</v>
      </c>
      <c r="C174">
        <v>10</v>
      </c>
      <c r="D174" s="15">
        <v>6.4</v>
      </c>
      <c r="E174">
        <v>10.528655079424492</v>
      </c>
      <c r="F174">
        <v>12.608353033884949</v>
      </c>
      <c r="G174" s="9">
        <v>0.54</v>
      </c>
      <c r="H174">
        <v>-1.7545871559633026</v>
      </c>
      <c r="I174" s="7">
        <v>6.62</v>
      </c>
      <c r="J174" s="11">
        <v>2.5500000000000002E-3</v>
      </c>
      <c r="K174">
        <v>0.77738944342359384</v>
      </c>
    </row>
    <row r="175" spans="1:11" x14ac:dyDescent="0.3">
      <c r="A175">
        <f t="shared" si="0"/>
        <v>1.6666666666666667</v>
      </c>
      <c r="B175">
        <v>1</v>
      </c>
      <c r="C175">
        <v>10</v>
      </c>
      <c r="D175" s="15">
        <v>8</v>
      </c>
      <c r="E175">
        <v>14.123029774212915</v>
      </c>
      <c r="F175">
        <v>15.760441292356187</v>
      </c>
      <c r="G175" s="9">
        <v>0.54</v>
      </c>
      <c r="H175">
        <v>-1.7545871559633026</v>
      </c>
      <c r="I175" s="7">
        <v>8.8800000000000008</v>
      </c>
      <c r="J175" s="11">
        <v>2.5500000000000002E-3</v>
      </c>
      <c r="K175">
        <v>0.25778272401359986</v>
      </c>
    </row>
    <row r="176" spans="1:11" x14ac:dyDescent="0.3">
      <c r="A176">
        <f t="shared" si="0"/>
        <v>1.6666666666666667</v>
      </c>
      <c r="B176">
        <v>1</v>
      </c>
      <c r="C176">
        <v>10</v>
      </c>
      <c r="D176" s="15">
        <v>9.6</v>
      </c>
      <c r="E176">
        <v>18.067299350794901</v>
      </c>
      <c r="F176">
        <v>18.912529550827422</v>
      </c>
      <c r="G176" s="9">
        <v>0.54</v>
      </c>
      <c r="H176">
        <v>-1.7545871559633026</v>
      </c>
      <c r="I176" s="7">
        <v>11.36</v>
      </c>
      <c r="J176" s="11">
        <v>2.5500000000000002E-3</v>
      </c>
      <c r="K176">
        <v>-5.9552044424999957E-2</v>
      </c>
    </row>
    <row r="177" spans="1:11" x14ac:dyDescent="0.3">
      <c r="A177">
        <f t="shared" si="0"/>
        <v>1.6666666666666667</v>
      </c>
      <c r="B177">
        <v>1</v>
      </c>
      <c r="C177">
        <v>10</v>
      </c>
      <c r="D177" s="16">
        <v>9.8000000000000007</v>
      </c>
      <c r="E177">
        <v>18.544428735058851</v>
      </c>
      <c r="F177">
        <v>19.306540583136332</v>
      </c>
      <c r="G177" s="9">
        <v>0.54</v>
      </c>
      <c r="H177">
        <v>-1.7545871559633026</v>
      </c>
      <c r="I177" s="7">
        <v>11.66</v>
      </c>
      <c r="J177" s="11">
        <v>2.5500000000000002E-3</v>
      </c>
      <c r="K177">
        <v>-8.8642961767596729E-2</v>
      </c>
    </row>
    <row r="178" spans="1:11" x14ac:dyDescent="0.3">
      <c r="A178">
        <f t="shared" si="0"/>
        <v>1.6666666666666667</v>
      </c>
      <c r="B178">
        <v>2</v>
      </c>
      <c r="C178">
        <v>10</v>
      </c>
      <c r="D178" s="15">
        <v>1.6</v>
      </c>
      <c r="E178">
        <v>1.5745269680710345</v>
      </c>
      <c r="F178">
        <v>3.1520882584712373</v>
      </c>
      <c r="G178" s="9">
        <v>0.54</v>
      </c>
      <c r="H178">
        <v>-1.7545871559633026</v>
      </c>
      <c r="I178" s="7">
        <v>0.99</v>
      </c>
      <c r="J178" s="11">
        <v>2.5500000000000002E-3</v>
      </c>
      <c r="K178">
        <v>19.768927510209373</v>
      </c>
    </row>
    <row r="179" spans="1:11" x14ac:dyDescent="0.3">
      <c r="A179">
        <f t="shared" si="0"/>
        <v>1.6666666666666667</v>
      </c>
      <c r="B179">
        <v>2</v>
      </c>
      <c r="C179">
        <v>10</v>
      </c>
      <c r="D179" s="15">
        <v>3.2</v>
      </c>
      <c r="E179">
        <v>4.3736860224195393</v>
      </c>
      <c r="F179">
        <v>6.3041765169424746</v>
      </c>
      <c r="G179" s="9">
        <v>0.54</v>
      </c>
      <c r="H179">
        <v>-1.7545871559633026</v>
      </c>
      <c r="I179" s="7">
        <v>2.75</v>
      </c>
      <c r="J179" s="11">
        <v>2.5500000000000002E-3</v>
      </c>
      <c r="K179">
        <v>4.6606683085073435</v>
      </c>
    </row>
    <row r="180" spans="1:11" x14ac:dyDescent="0.3">
      <c r="A180">
        <f t="shared" si="0"/>
        <v>1.6666666666666667</v>
      </c>
      <c r="B180">
        <v>2</v>
      </c>
      <c r="C180">
        <v>10</v>
      </c>
      <c r="D180" s="15">
        <v>4.8</v>
      </c>
      <c r="E180">
        <v>8.4133814758543153</v>
      </c>
      <c r="F180">
        <v>9.456264775413711</v>
      </c>
      <c r="G180" s="9">
        <v>0.54</v>
      </c>
      <c r="H180">
        <v>-1.7545871559633026</v>
      </c>
      <c r="I180" s="7">
        <v>5.29</v>
      </c>
      <c r="J180" s="11">
        <v>2.5500000000000002E-3</v>
      </c>
      <c r="K180">
        <v>1.6831688875593753</v>
      </c>
    </row>
    <row r="181" spans="1:11" x14ac:dyDescent="0.3">
      <c r="A181">
        <f t="shared" si="0"/>
        <v>1.6666666666666667</v>
      </c>
      <c r="B181">
        <v>2</v>
      </c>
      <c r="C181">
        <v>10</v>
      </c>
      <c r="D181" s="15">
        <v>6.4</v>
      </c>
      <c r="E181">
        <v>17.399318212825371</v>
      </c>
      <c r="F181">
        <v>12.608353033884949</v>
      </c>
      <c r="G181" s="9">
        <v>0.54</v>
      </c>
      <c r="H181">
        <v>-1.7545871559633026</v>
      </c>
      <c r="I181" s="7">
        <v>10.94</v>
      </c>
      <c r="J181" s="11">
        <v>2.5500000000000002E-3</v>
      </c>
      <c r="K181">
        <v>-3.3833936228905959E-2</v>
      </c>
    </row>
    <row r="182" spans="1:11" x14ac:dyDescent="0.3">
      <c r="A182">
        <f t="shared" si="0"/>
        <v>1.6666666666666667</v>
      </c>
      <c r="B182">
        <v>2</v>
      </c>
      <c r="C182">
        <v>10</v>
      </c>
      <c r="D182" s="15">
        <v>8</v>
      </c>
      <c r="E182">
        <v>21.470822291877742</v>
      </c>
      <c r="F182">
        <v>15.760441292356187</v>
      </c>
      <c r="G182" s="9">
        <v>0.54</v>
      </c>
      <c r="H182">
        <v>-1.7545871559633026</v>
      </c>
      <c r="I182" s="7">
        <v>13.5</v>
      </c>
      <c r="J182" s="11">
        <v>2.5500000000000002E-3</v>
      </c>
      <c r="K182">
        <v>-0.44986030368569979</v>
      </c>
    </row>
    <row r="183" spans="1:11" x14ac:dyDescent="0.3">
      <c r="A183">
        <f t="shared" si="0"/>
        <v>1.6666666666666667</v>
      </c>
      <c r="B183">
        <v>2</v>
      </c>
      <c r="C183">
        <v>10</v>
      </c>
      <c r="D183" s="15">
        <v>9.6</v>
      </c>
      <c r="E183">
        <v>28.34148542527862</v>
      </c>
      <c r="F183">
        <v>18.912529550827422</v>
      </c>
      <c r="G183" s="9">
        <v>0.54</v>
      </c>
      <c r="H183">
        <v>-1.7545871559633026</v>
      </c>
      <c r="I183" s="7">
        <v>17.82</v>
      </c>
      <c r="J183" s="11">
        <v>2.5500000000000002E-3</v>
      </c>
      <c r="K183">
        <v>-0.95546844680062548</v>
      </c>
    </row>
    <row r="184" spans="1:11" x14ac:dyDescent="0.3">
      <c r="A184">
        <f t="shared" si="0"/>
        <v>1.6666666666666667</v>
      </c>
      <c r="B184">
        <v>2</v>
      </c>
      <c r="C184">
        <v>10</v>
      </c>
      <c r="D184" s="16">
        <v>9.8000000000000007</v>
      </c>
      <c r="E184">
        <v>28.961753624821757</v>
      </c>
      <c r="F184">
        <v>19.306540583136332</v>
      </c>
      <c r="G184" s="9">
        <v>0.54</v>
      </c>
      <c r="H184">
        <v>-1.7545871559633026</v>
      </c>
      <c r="I184" s="7">
        <v>18.21</v>
      </c>
      <c r="J184" s="11">
        <v>2.5500000000000002E-3</v>
      </c>
      <c r="K184">
        <v>-0.98095452192494748</v>
      </c>
    </row>
    <row r="185" spans="1:11" x14ac:dyDescent="0.3">
      <c r="A185">
        <f t="shared" si="0"/>
        <v>1.6666666666666667</v>
      </c>
      <c r="B185">
        <v>4</v>
      </c>
      <c r="C185">
        <v>10</v>
      </c>
      <c r="D185" s="15">
        <v>1.6</v>
      </c>
      <c r="E185">
        <v>0</v>
      </c>
      <c r="F185">
        <v>3.1520882584712373</v>
      </c>
      <c r="G185" s="9">
        <v>0.54</v>
      </c>
      <c r="H185">
        <v>-0.77981651376146777</v>
      </c>
      <c r="I185" s="7">
        <v>0</v>
      </c>
      <c r="J185" s="11">
        <v>2.5500000000000002E-3</v>
      </c>
      <c r="K185">
        <v>19.936623459420002</v>
      </c>
    </row>
    <row r="186" spans="1:11" x14ac:dyDescent="0.3">
      <c r="A186">
        <f t="shared" si="0"/>
        <v>1.6666666666666667</v>
      </c>
      <c r="B186">
        <v>4</v>
      </c>
      <c r="C186">
        <v>10</v>
      </c>
      <c r="D186" s="15">
        <v>3.2</v>
      </c>
      <c r="E186">
        <v>5.2325189140946495</v>
      </c>
      <c r="F186">
        <v>6.3041765169424746</v>
      </c>
      <c r="G186" s="9">
        <v>0.54</v>
      </c>
      <c r="H186">
        <v>-1.7545871559633026</v>
      </c>
      <c r="I186" s="7">
        <v>3.29</v>
      </c>
      <c r="J186" s="11">
        <v>2.5500000000000002E-3</v>
      </c>
      <c r="K186">
        <v>4.5211526703210936</v>
      </c>
    </row>
    <row r="187" spans="1:11" x14ac:dyDescent="0.3">
      <c r="A187">
        <f t="shared" si="0"/>
        <v>1.6666666666666667</v>
      </c>
      <c r="B187">
        <v>4</v>
      </c>
      <c r="C187">
        <v>10</v>
      </c>
      <c r="D187" s="15">
        <v>4.8</v>
      </c>
      <c r="E187">
        <v>10.926262899644453</v>
      </c>
      <c r="F187">
        <v>9.456264775413711</v>
      </c>
      <c r="G187" s="9">
        <v>0.54</v>
      </c>
      <c r="H187">
        <v>-1.7545871559633026</v>
      </c>
      <c r="I187" s="7">
        <v>6.87</v>
      </c>
      <c r="J187" s="11">
        <v>2.5500000000000002E-3</v>
      </c>
      <c r="K187">
        <v>1.3179103841193753</v>
      </c>
    </row>
    <row r="188" spans="1:11" x14ac:dyDescent="0.3">
      <c r="A188">
        <f t="shared" si="0"/>
        <v>1.6666666666666667</v>
      </c>
      <c r="B188">
        <v>4</v>
      </c>
      <c r="C188">
        <v>10</v>
      </c>
      <c r="D188" s="15">
        <v>6.4</v>
      </c>
      <c r="E188">
        <v>19.085175370557995</v>
      </c>
      <c r="F188">
        <v>12.608353033884949</v>
      </c>
      <c r="G188" s="9">
        <v>0.54</v>
      </c>
      <c r="H188">
        <v>-1.7545871559633026</v>
      </c>
      <c r="I188" s="7">
        <v>12</v>
      </c>
      <c r="J188" s="11">
        <v>2.5500000000000002E-3</v>
      </c>
      <c r="K188">
        <v>-0.29386874003624974</v>
      </c>
    </row>
    <row r="189" spans="1:11" x14ac:dyDescent="0.3">
      <c r="A189">
        <f t="shared" si="0"/>
        <v>1.6666666666666667</v>
      </c>
      <c r="B189">
        <v>4</v>
      </c>
      <c r="C189">
        <v>10</v>
      </c>
      <c r="D189" s="15">
        <v>8</v>
      </c>
      <c r="E189">
        <v>27.307705092706733</v>
      </c>
      <c r="F189">
        <v>15.760441292356187</v>
      </c>
      <c r="G189" s="9">
        <v>0.54</v>
      </c>
      <c r="H189">
        <v>-1.7545871559633026</v>
      </c>
      <c r="I189" s="7">
        <v>17.170000000000002</v>
      </c>
      <c r="J189" s="11">
        <v>2.5500000000000002E-3</v>
      </c>
      <c r="K189">
        <v>-1.2202172704280252</v>
      </c>
    </row>
    <row r="190" spans="1:11" x14ac:dyDescent="0.3">
      <c r="A190">
        <f t="shared" si="0"/>
        <v>1.6666666666666667</v>
      </c>
      <c r="B190">
        <v>4</v>
      </c>
      <c r="C190">
        <v>10</v>
      </c>
      <c r="D190" s="15">
        <v>9.6</v>
      </c>
      <c r="E190">
        <v>39.90392083727501</v>
      </c>
      <c r="F190">
        <v>18.912529550827422</v>
      </c>
      <c r="G190" s="9">
        <v>0.54</v>
      </c>
      <c r="H190">
        <v>-1.7545871559633026</v>
      </c>
      <c r="I190" s="7">
        <v>25.09</v>
      </c>
      <c r="J190" s="11">
        <v>2.5500000000000002E-3</v>
      </c>
      <c r="K190">
        <v>-2.4381319851914065</v>
      </c>
    </row>
    <row r="191" spans="1:11" x14ac:dyDescent="0.3">
      <c r="A191">
        <f t="shared" si="0"/>
        <v>1.6666666666666667</v>
      </c>
      <c r="B191">
        <v>4</v>
      </c>
      <c r="C191">
        <v>10</v>
      </c>
      <c r="D191" s="16">
        <v>9.8000000000000007</v>
      </c>
      <c r="E191">
        <v>40.937701169846896</v>
      </c>
      <c r="F191">
        <v>19.306540583136332</v>
      </c>
      <c r="G191" s="9">
        <v>0.54</v>
      </c>
      <c r="H191">
        <v>-1.7545871559633026</v>
      </c>
      <c r="I191" s="7">
        <v>25.74</v>
      </c>
      <c r="J191" s="11">
        <v>2.5500000000000002E-3</v>
      </c>
      <c r="K191">
        <v>-2.490318052996916</v>
      </c>
    </row>
    <row r="192" spans="1:11" x14ac:dyDescent="0.3">
      <c r="A192">
        <f t="shared" si="0"/>
        <v>1.6666666666666667</v>
      </c>
      <c r="B192">
        <v>6</v>
      </c>
      <c r="C192">
        <v>10</v>
      </c>
      <c r="D192" s="15">
        <v>1.6</v>
      </c>
      <c r="E192">
        <v>0</v>
      </c>
      <c r="F192">
        <v>3.1520882584712373</v>
      </c>
      <c r="G192" s="9">
        <v>0.54</v>
      </c>
      <c r="H192">
        <v>-0.77981651376146777</v>
      </c>
      <c r="I192" s="7">
        <v>0</v>
      </c>
      <c r="J192" s="11">
        <v>2.5499999999999997E-3</v>
      </c>
      <c r="K192">
        <v>19.936623459420002</v>
      </c>
    </row>
    <row r="193" spans="1:11" x14ac:dyDescent="0.3">
      <c r="A193">
        <f t="shared" si="0"/>
        <v>1.6666666666666667</v>
      </c>
      <c r="B193">
        <v>6</v>
      </c>
      <c r="C193">
        <v>10</v>
      </c>
      <c r="D193" s="15">
        <v>3.2</v>
      </c>
      <c r="E193">
        <v>4.2146428943315559</v>
      </c>
      <c r="F193">
        <v>6.3041765169424746</v>
      </c>
      <c r="G193" s="9">
        <v>0.54</v>
      </c>
      <c r="H193">
        <v>-1.7545871559633026</v>
      </c>
      <c r="I193" s="7">
        <v>2.65</v>
      </c>
      <c r="J193" s="11">
        <v>2.5499999999999997E-3</v>
      </c>
      <c r="K193">
        <v>4.6837669241010937</v>
      </c>
    </row>
    <row r="194" spans="1:11" x14ac:dyDescent="0.3">
      <c r="A194">
        <f t="shared" si="0"/>
        <v>1.6666666666666667</v>
      </c>
      <c r="B194">
        <v>6</v>
      </c>
      <c r="C194">
        <v>10</v>
      </c>
      <c r="D194" s="15">
        <v>4.8</v>
      </c>
      <c r="E194">
        <v>9.908386879881359</v>
      </c>
      <c r="F194">
        <v>9.456264775413711</v>
      </c>
      <c r="G194" s="9">
        <v>0.54</v>
      </c>
      <c r="H194">
        <v>-1.7545871559633026</v>
      </c>
      <c r="I194" s="7">
        <v>6.23</v>
      </c>
      <c r="J194" s="11">
        <v>2.5499999999999997E-3</v>
      </c>
      <c r="K194">
        <v>1.4773003373193752</v>
      </c>
    </row>
    <row r="195" spans="1:11" x14ac:dyDescent="0.3">
      <c r="A195">
        <f t="shared" si="0"/>
        <v>1.6666666666666667</v>
      </c>
      <c r="B195">
        <v>6</v>
      </c>
      <c r="C195">
        <v>10</v>
      </c>
      <c r="D195" s="15">
        <v>6.4</v>
      </c>
      <c r="E195">
        <v>18.035490725177304</v>
      </c>
      <c r="F195">
        <v>12.608353033884949</v>
      </c>
      <c r="G195" s="9">
        <v>0.54</v>
      </c>
      <c r="H195">
        <v>-1.7545871559633026</v>
      </c>
      <c r="I195" s="7">
        <v>11.34</v>
      </c>
      <c r="J195" s="11">
        <v>2.5499999999999997E-3</v>
      </c>
      <c r="K195">
        <v>-0.12913711316015614</v>
      </c>
    </row>
    <row r="196" spans="1:11" x14ac:dyDescent="0.3">
      <c r="A196">
        <f t="shared" si="0"/>
        <v>1.6666666666666667</v>
      </c>
      <c r="B196">
        <v>6</v>
      </c>
      <c r="C196">
        <v>10</v>
      </c>
      <c r="D196" s="15">
        <v>8</v>
      </c>
      <c r="E196">
        <v>27.80073878977948</v>
      </c>
      <c r="F196">
        <v>15.760441292356187</v>
      </c>
      <c r="G196" s="9">
        <v>0.54</v>
      </c>
      <c r="H196">
        <v>-1.7545871559633026</v>
      </c>
      <c r="I196" s="7">
        <v>17.48</v>
      </c>
      <c r="J196" s="11">
        <v>2.5499999999999997E-3</v>
      </c>
      <c r="K196">
        <v>-1.2937324643243999</v>
      </c>
    </row>
    <row r="197" spans="1:11" x14ac:dyDescent="0.3">
      <c r="A197">
        <f t="shared" si="0"/>
        <v>1.6666666666666667</v>
      </c>
      <c r="B197">
        <v>6</v>
      </c>
      <c r="C197">
        <v>10</v>
      </c>
      <c r="D197" s="15">
        <v>9.6</v>
      </c>
      <c r="E197">
        <v>37.820455859322422</v>
      </c>
      <c r="F197">
        <v>18.912529550827422</v>
      </c>
      <c r="G197" s="9">
        <v>0.54</v>
      </c>
      <c r="H197">
        <v>-1.7545871559633026</v>
      </c>
      <c r="I197" s="7">
        <v>23.78</v>
      </c>
      <c r="J197" s="11">
        <v>2.5499999999999997E-3</v>
      </c>
      <c r="K197">
        <v>-2.133859055000626</v>
      </c>
    </row>
    <row r="198" spans="1:11" x14ac:dyDescent="0.3">
      <c r="A198">
        <f t="shared" si="0"/>
        <v>1.6666666666666667</v>
      </c>
      <c r="B198">
        <v>6</v>
      </c>
      <c r="C198">
        <v>10</v>
      </c>
      <c r="D198" s="16">
        <v>9.8000000000000007</v>
      </c>
      <c r="E198">
        <v>38.488436997291956</v>
      </c>
      <c r="F198">
        <v>19.306540583136332</v>
      </c>
      <c r="G198" s="9">
        <v>0.54</v>
      </c>
      <c r="H198">
        <v>-1.7545871559633026</v>
      </c>
      <c r="I198" s="7">
        <v>24.2</v>
      </c>
      <c r="J198" s="11">
        <v>2.5499999999999997E-3</v>
      </c>
      <c r="K198">
        <v>-2.1395587037355757</v>
      </c>
    </row>
    <row r="199" spans="1:11" x14ac:dyDescent="0.3">
      <c r="A199">
        <f t="shared" si="0"/>
        <v>1.6666666666666667</v>
      </c>
      <c r="B199">
        <v>1</v>
      </c>
      <c r="C199">
        <v>15</v>
      </c>
      <c r="D199" s="15">
        <v>1.9</v>
      </c>
      <c r="E199">
        <v>0</v>
      </c>
      <c r="F199">
        <v>2.4954032046230625</v>
      </c>
      <c r="G199" s="9">
        <v>0.81</v>
      </c>
      <c r="H199">
        <v>-0.77981651376146777</v>
      </c>
      <c r="I199" s="7">
        <v>0</v>
      </c>
      <c r="J199" s="11">
        <v>3.7299999999999998E-3</v>
      </c>
      <c r="K199">
        <v>31.810235769046876</v>
      </c>
    </row>
    <row r="200" spans="1:11" x14ac:dyDescent="0.3">
      <c r="A200">
        <f t="shared" si="0"/>
        <v>1.6666666666666667</v>
      </c>
      <c r="B200">
        <v>1</v>
      </c>
      <c r="C200">
        <v>15</v>
      </c>
      <c r="D200" s="15">
        <v>3.8</v>
      </c>
      <c r="E200">
        <v>2.815063367157304</v>
      </c>
      <c r="F200">
        <v>4.9908064092461251</v>
      </c>
      <c r="G200" s="9">
        <v>0.81</v>
      </c>
      <c r="H200">
        <v>-1.7545871559633026</v>
      </c>
      <c r="I200" s="7">
        <v>1.77</v>
      </c>
      <c r="J200" s="11">
        <v>3.7299999999999998E-3</v>
      </c>
      <c r="K200">
        <v>7.7387361454568167</v>
      </c>
    </row>
    <row r="201" spans="1:11" x14ac:dyDescent="0.3">
      <c r="A201">
        <f t="shared" si="0"/>
        <v>1.6666666666666667</v>
      </c>
      <c r="B201">
        <v>1</v>
      </c>
      <c r="C201">
        <v>15</v>
      </c>
      <c r="D201" s="15">
        <v>5.7</v>
      </c>
      <c r="E201">
        <v>5.0575714731978687</v>
      </c>
      <c r="F201">
        <v>7.486209613869188</v>
      </c>
      <c r="G201" s="9">
        <v>0.81</v>
      </c>
      <c r="H201">
        <v>-1.7545871559633026</v>
      </c>
      <c r="I201" s="7">
        <v>3.18</v>
      </c>
      <c r="J201" s="11">
        <v>3.7299999999999998E-3</v>
      </c>
      <c r="K201">
        <v>3.2277244384580617</v>
      </c>
    </row>
    <row r="202" spans="1:11" x14ac:dyDescent="0.3">
      <c r="A202">
        <f t="shared" si="0"/>
        <v>1.6666666666666667</v>
      </c>
      <c r="B202">
        <v>1</v>
      </c>
      <c r="C202">
        <v>15</v>
      </c>
      <c r="D202" s="15">
        <v>7.6</v>
      </c>
      <c r="E202">
        <v>8.4610944142807121</v>
      </c>
      <c r="F202">
        <v>9.9816128184922501</v>
      </c>
      <c r="G202" s="9">
        <v>0.81</v>
      </c>
      <c r="H202">
        <v>-1.7545871559633026</v>
      </c>
      <c r="I202" s="7">
        <v>5.32</v>
      </c>
      <c r="J202" s="11">
        <v>3.7299999999999998E-3</v>
      </c>
      <c r="K202">
        <v>1.5052246788854298</v>
      </c>
    </row>
    <row r="203" spans="1:11" x14ac:dyDescent="0.3">
      <c r="A203">
        <f t="shared" si="0"/>
        <v>1.6666666666666667</v>
      </c>
      <c r="B203">
        <v>1</v>
      </c>
      <c r="C203">
        <v>15</v>
      </c>
      <c r="D203" s="15">
        <v>9.5</v>
      </c>
      <c r="E203">
        <v>13.327814133773</v>
      </c>
      <c r="F203">
        <v>12.477016023115313</v>
      </c>
      <c r="G203" s="9">
        <v>0.81</v>
      </c>
      <c r="H203">
        <v>-1.7545871559633026</v>
      </c>
      <c r="I203" s="7">
        <v>8.3800000000000008</v>
      </c>
      <c r="J203" s="11">
        <v>3.7299999999999998E-3</v>
      </c>
      <c r="K203">
        <v>0.50555047646668594</v>
      </c>
    </row>
    <row r="204" spans="1:11" x14ac:dyDescent="0.3">
      <c r="A204">
        <f t="shared" si="0"/>
        <v>1.6666666666666667</v>
      </c>
      <c r="B204">
        <v>1</v>
      </c>
      <c r="C204">
        <v>15</v>
      </c>
      <c r="D204" s="15">
        <v>11.4</v>
      </c>
      <c r="E204">
        <v>17.113040582267001</v>
      </c>
      <c r="F204">
        <v>14.972419227738376</v>
      </c>
      <c r="G204" s="9">
        <v>0.81</v>
      </c>
      <c r="H204">
        <v>-1.7545871559633026</v>
      </c>
      <c r="I204" s="7">
        <v>10.76</v>
      </c>
      <c r="J204" s="11">
        <v>3.7299999999999998E-3</v>
      </c>
      <c r="K204">
        <v>5.6277879157895722E-3</v>
      </c>
    </row>
    <row r="205" spans="1:11" x14ac:dyDescent="0.3">
      <c r="A205">
        <f t="shared" si="0"/>
        <v>1.6666666666666667</v>
      </c>
      <c r="B205">
        <v>1</v>
      </c>
      <c r="C205">
        <v>15</v>
      </c>
      <c r="D205" s="16">
        <v>13.3</v>
      </c>
      <c r="E205">
        <v>21.025501533231392</v>
      </c>
      <c r="F205">
        <v>17.467822432361441</v>
      </c>
      <c r="G205" s="9">
        <v>0.81</v>
      </c>
      <c r="H205">
        <v>-1.7545871559633026</v>
      </c>
      <c r="I205" s="7">
        <v>13.22</v>
      </c>
      <c r="J205" s="11">
        <v>3.7299999999999998E-3</v>
      </c>
      <c r="K205">
        <v>-0.32453197294301311</v>
      </c>
    </row>
    <row r="206" spans="1:11" x14ac:dyDescent="0.3">
      <c r="A206">
        <f t="shared" si="0"/>
        <v>1.6666666666666667</v>
      </c>
      <c r="B206">
        <v>2</v>
      </c>
      <c r="C206">
        <v>15</v>
      </c>
      <c r="D206" s="15">
        <v>1.9</v>
      </c>
      <c r="E206">
        <v>0</v>
      </c>
      <c r="F206">
        <v>2.4954032046230625</v>
      </c>
      <c r="G206" s="9">
        <v>0.81</v>
      </c>
      <c r="H206">
        <v>-0.77981651376146777</v>
      </c>
      <c r="I206" s="7">
        <v>0</v>
      </c>
      <c r="J206" s="11">
        <v>3.7299999999999998E-3</v>
      </c>
      <c r="K206">
        <v>31.810235769046876</v>
      </c>
    </row>
    <row r="207" spans="1:11" x14ac:dyDescent="0.3">
      <c r="A207">
        <f t="shared" si="0"/>
        <v>1.6666666666666667</v>
      </c>
      <c r="B207">
        <v>2</v>
      </c>
      <c r="C207">
        <v>15</v>
      </c>
      <c r="D207" s="15">
        <v>3.8</v>
      </c>
      <c r="E207">
        <v>5.0575714731978687</v>
      </c>
      <c r="F207">
        <v>4.9908064092461251</v>
      </c>
      <c r="G207" s="9">
        <v>0.81</v>
      </c>
      <c r="H207">
        <v>-1.7545871559633026</v>
      </c>
      <c r="I207" s="7">
        <v>3.18</v>
      </c>
      <c r="J207" s="11">
        <v>3.7299999999999998E-3</v>
      </c>
      <c r="K207">
        <v>7.2623799865306387</v>
      </c>
    </row>
    <row r="208" spans="1:11" x14ac:dyDescent="0.3">
      <c r="A208">
        <f t="shared" si="0"/>
        <v>1.6666666666666667</v>
      </c>
      <c r="B208">
        <v>2</v>
      </c>
      <c r="C208">
        <v>15</v>
      </c>
      <c r="D208" s="15">
        <v>5.7</v>
      </c>
      <c r="E208">
        <v>12.134990673113125</v>
      </c>
      <c r="F208">
        <v>7.486209613869188</v>
      </c>
      <c r="G208" s="9">
        <v>0.81</v>
      </c>
      <c r="H208">
        <v>-1.7545871559633026</v>
      </c>
      <c r="I208" s="7">
        <v>7.63</v>
      </c>
      <c r="J208" s="11">
        <v>3.7299999999999998E-3</v>
      </c>
      <c r="K208">
        <v>1.7685384192708038</v>
      </c>
    </row>
    <row r="209" spans="1:11" x14ac:dyDescent="0.3">
      <c r="A209">
        <f t="shared" si="0"/>
        <v>1.6666666666666667</v>
      </c>
      <c r="B209">
        <v>2</v>
      </c>
      <c r="C209">
        <v>15</v>
      </c>
      <c r="D209" s="15">
        <v>7.6</v>
      </c>
      <c r="E209">
        <v>17.319796648781381</v>
      </c>
      <c r="F209">
        <v>9.9816128184922501</v>
      </c>
      <c r="G209" s="9">
        <v>0.81</v>
      </c>
      <c r="H209">
        <v>-1.7545871559633026</v>
      </c>
      <c r="I209" s="7">
        <v>10.89</v>
      </c>
      <c r="J209" s="11">
        <v>3.7299999999999998E-3</v>
      </c>
      <c r="K209">
        <v>-3.5360416128428065E-2</v>
      </c>
    </row>
    <row r="210" spans="1:11" x14ac:dyDescent="0.3">
      <c r="A210">
        <f t="shared" si="0"/>
        <v>1.6666666666666667</v>
      </c>
      <c r="B210">
        <v>2</v>
      </c>
      <c r="C210">
        <v>15</v>
      </c>
      <c r="D210" s="15">
        <v>9.5</v>
      </c>
      <c r="E210">
        <v>23.188488075227962</v>
      </c>
      <c r="F210">
        <v>12.477016023115313</v>
      </c>
      <c r="G210" s="9">
        <v>0.81</v>
      </c>
      <c r="H210">
        <v>-1.7545871559633026</v>
      </c>
      <c r="I210" s="7">
        <v>14.58</v>
      </c>
      <c r="J210" s="11">
        <v>3.7299999999999998E-3</v>
      </c>
      <c r="K210">
        <v>-1.0489506066586771</v>
      </c>
    </row>
    <row r="211" spans="1:11" x14ac:dyDescent="0.3">
      <c r="A211">
        <f t="shared" si="0"/>
        <v>1.6666666666666667</v>
      </c>
      <c r="B211">
        <v>2</v>
      </c>
      <c r="C211">
        <v>15</v>
      </c>
      <c r="D211" s="15">
        <v>11.4</v>
      </c>
      <c r="E211">
        <v>29.62973476279128</v>
      </c>
      <c r="F211">
        <v>14.972419227738376</v>
      </c>
      <c r="G211" s="9">
        <v>0.81</v>
      </c>
      <c r="H211">
        <v>-1.7545871559633026</v>
      </c>
      <c r="I211" s="7">
        <v>18.63</v>
      </c>
      <c r="J211" s="11">
        <v>3.7299999999999998E-3</v>
      </c>
      <c r="K211">
        <v>-1.7484113602293909</v>
      </c>
    </row>
    <row r="212" spans="1:11" x14ac:dyDescent="0.3">
      <c r="A212">
        <f t="shared" si="0"/>
        <v>1.6666666666666667</v>
      </c>
      <c r="B212">
        <v>2</v>
      </c>
      <c r="C212">
        <v>15</v>
      </c>
      <c r="D212" s="16">
        <v>13.3</v>
      </c>
      <c r="E212">
        <v>36.404972019339375</v>
      </c>
      <c r="F212">
        <v>17.467822432361441</v>
      </c>
      <c r="G212" s="9">
        <v>0.81</v>
      </c>
      <c r="H212">
        <v>-1.7545871559633026</v>
      </c>
      <c r="I212" s="7">
        <v>22.89</v>
      </c>
      <c r="J212" s="11">
        <v>3.7299999999999998E-3</v>
      </c>
      <c r="K212">
        <v>-2.2700055957436702</v>
      </c>
    </row>
    <row r="213" spans="1:11" x14ac:dyDescent="0.3">
      <c r="A213">
        <f t="shared" si="0"/>
        <v>1.6666666666666667</v>
      </c>
      <c r="B213">
        <v>4</v>
      </c>
      <c r="C213">
        <v>15</v>
      </c>
      <c r="D213" s="15">
        <v>1.9</v>
      </c>
      <c r="E213">
        <v>0</v>
      </c>
      <c r="F213">
        <v>2.4954032046230625</v>
      </c>
      <c r="G213" s="9">
        <v>0.81</v>
      </c>
      <c r="H213">
        <v>-0.77981651376146777</v>
      </c>
      <c r="I213" s="7">
        <v>0</v>
      </c>
      <c r="J213" s="11">
        <v>3.7299999999999998E-3</v>
      </c>
      <c r="K213">
        <v>31.810235769046876</v>
      </c>
    </row>
    <row r="214" spans="1:11" x14ac:dyDescent="0.3">
      <c r="A214">
        <f t="shared" si="0"/>
        <v>1.6666666666666667</v>
      </c>
      <c r="B214">
        <v>4</v>
      </c>
      <c r="C214">
        <v>15</v>
      </c>
      <c r="D214" s="15">
        <v>3.8</v>
      </c>
      <c r="E214">
        <v>4.7076765914043053</v>
      </c>
      <c r="F214">
        <v>4.9908064092461251</v>
      </c>
      <c r="G214" s="9">
        <v>0.81</v>
      </c>
      <c r="H214">
        <v>-1.7545871559633026</v>
      </c>
      <c r="I214" s="7">
        <v>2.96</v>
      </c>
      <c r="J214" s="11">
        <v>3.7299999999999998E-3</v>
      </c>
      <c r="K214">
        <v>7.3545731091722999</v>
      </c>
    </row>
    <row r="215" spans="1:11" x14ac:dyDescent="0.3">
      <c r="A215">
        <f t="shared" si="0"/>
        <v>1.6666666666666667</v>
      </c>
      <c r="B215">
        <v>4</v>
      </c>
      <c r="C215">
        <v>15</v>
      </c>
      <c r="D215" s="15">
        <v>5.7</v>
      </c>
      <c r="E215">
        <v>12.166799298730721</v>
      </c>
      <c r="F215">
        <v>7.486209613869188</v>
      </c>
      <c r="G215" s="9">
        <v>0.81</v>
      </c>
      <c r="H215">
        <v>-1.7545871559633026</v>
      </c>
      <c r="I215" s="7">
        <v>7.65</v>
      </c>
      <c r="J215" s="11">
        <v>3.7299999999999998E-3</v>
      </c>
      <c r="K215">
        <v>1.7592684497780613</v>
      </c>
    </row>
    <row r="216" spans="1:11" x14ac:dyDescent="0.3">
      <c r="A216">
        <f t="shared" si="0"/>
        <v>1.6666666666666667</v>
      </c>
      <c r="B216">
        <v>4</v>
      </c>
      <c r="C216">
        <v>15</v>
      </c>
      <c r="D216" s="15">
        <v>7.6</v>
      </c>
      <c r="E216">
        <v>20.961884281996195</v>
      </c>
      <c r="F216">
        <v>9.9816128184922501</v>
      </c>
      <c r="G216" s="9">
        <v>0.81</v>
      </c>
      <c r="H216">
        <v>-1.7545871559633026</v>
      </c>
      <c r="I216" s="7">
        <v>13.18</v>
      </c>
      <c r="J216" s="11">
        <v>3.7299999999999998E-3</v>
      </c>
      <c r="K216">
        <v>-0.97586096727315796</v>
      </c>
    </row>
    <row r="217" spans="1:11" x14ac:dyDescent="0.3">
      <c r="A217">
        <f t="shared" si="0"/>
        <v>1.6666666666666667</v>
      </c>
      <c r="B217">
        <v>4</v>
      </c>
      <c r="C217">
        <v>15</v>
      </c>
      <c r="D217" s="15">
        <v>9.5</v>
      </c>
      <c r="E217">
        <v>29.64563907560008</v>
      </c>
      <c r="F217">
        <v>12.477016023115313</v>
      </c>
      <c r="G217" s="9">
        <v>0.81</v>
      </c>
      <c r="H217">
        <v>-1.7545871559633026</v>
      </c>
      <c r="I217" s="7">
        <v>18.64</v>
      </c>
      <c r="J217" s="11">
        <v>3.7299999999999998E-3</v>
      </c>
      <c r="K217">
        <v>-2.5217822878755469</v>
      </c>
    </row>
    <row r="218" spans="1:11" x14ac:dyDescent="0.3">
      <c r="A218">
        <f t="shared" si="0"/>
        <v>1.6666666666666667</v>
      </c>
      <c r="B218">
        <v>4</v>
      </c>
      <c r="C218">
        <v>15</v>
      </c>
      <c r="D218" s="15">
        <v>11.4</v>
      </c>
      <c r="E218">
        <v>35.243957184297095</v>
      </c>
      <c r="F218">
        <v>14.972419227738376</v>
      </c>
      <c r="G218" s="9">
        <v>0.81</v>
      </c>
      <c r="H218">
        <v>-1.7545871559633026</v>
      </c>
      <c r="I218" s="7">
        <v>22.16</v>
      </c>
      <c r="J218" s="11">
        <v>3.7299999999999998E-3</v>
      </c>
      <c r="K218">
        <v>-2.8403377806315797</v>
      </c>
    </row>
    <row r="219" spans="1:11" x14ac:dyDescent="0.3">
      <c r="A219">
        <f t="shared" si="0"/>
        <v>1.6666666666666667</v>
      </c>
      <c r="B219">
        <v>4</v>
      </c>
      <c r="C219">
        <v>15</v>
      </c>
      <c r="D219" s="16">
        <v>13.3</v>
      </c>
      <c r="E219">
        <v>43.975424916327377</v>
      </c>
      <c r="F219">
        <v>17.467822432361441</v>
      </c>
      <c r="G219" s="9">
        <v>0.81</v>
      </c>
      <c r="H219">
        <v>-1.7545871559633026</v>
      </c>
      <c r="I219" s="7">
        <v>27.65</v>
      </c>
      <c r="J219" s="11">
        <v>3.7299999999999998E-3</v>
      </c>
      <c r="K219">
        <v>-3.61034126326367</v>
      </c>
    </row>
    <row r="220" spans="1:11" x14ac:dyDescent="0.3">
      <c r="A220">
        <f t="shared" si="0"/>
        <v>1.6666666666666667</v>
      </c>
      <c r="B220">
        <v>6</v>
      </c>
      <c r="C220">
        <v>15</v>
      </c>
      <c r="D220" s="15">
        <v>1.9</v>
      </c>
      <c r="E220">
        <v>0</v>
      </c>
      <c r="F220">
        <v>2.4954032046230625</v>
      </c>
      <c r="G220" s="9">
        <v>0.81</v>
      </c>
      <c r="H220">
        <v>-0.77981651376146777</v>
      </c>
      <c r="I220" s="7">
        <v>0</v>
      </c>
      <c r="J220" s="11">
        <v>3.7300199999999997E-3</v>
      </c>
      <c r="K220">
        <v>31.810235769046876</v>
      </c>
    </row>
    <row r="221" spans="1:11" x14ac:dyDescent="0.3">
      <c r="A221">
        <f t="shared" si="0"/>
        <v>1.6666666666666667</v>
      </c>
      <c r="B221">
        <v>6</v>
      </c>
      <c r="C221">
        <v>15</v>
      </c>
      <c r="D221" s="15">
        <v>3.8</v>
      </c>
      <c r="E221">
        <v>4.5327291505075236</v>
      </c>
      <c r="F221">
        <v>4.9908064092461251</v>
      </c>
      <c r="G221" s="9">
        <v>0.81</v>
      </c>
      <c r="H221">
        <v>-1.7545871559633026</v>
      </c>
      <c r="I221" s="7">
        <v>2.85</v>
      </c>
      <c r="J221" s="11">
        <v>3.7300199999999997E-3</v>
      </c>
      <c r="K221">
        <v>7.3981921680117191</v>
      </c>
    </row>
    <row r="222" spans="1:11" x14ac:dyDescent="0.3">
      <c r="A222">
        <f t="shared" si="0"/>
        <v>1.6666666666666667</v>
      </c>
      <c r="B222">
        <v>6</v>
      </c>
      <c r="C222">
        <v>15</v>
      </c>
      <c r="D222" s="15">
        <v>5.7</v>
      </c>
      <c r="E222">
        <v>8.9859367369710554</v>
      </c>
      <c r="F222">
        <v>7.486209613869188</v>
      </c>
      <c r="G222" s="9">
        <v>0.81</v>
      </c>
      <c r="H222">
        <v>-1.7545871559633026</v>
      </c>
      <c r="I222" s="7">
        <v>5.65</v>
      </c>
      <c r="J222" s="11">
        <v>3.7300199999999997E-3</v>
      </c>
      <c r="K222">
        <v>2.5661440666201667</v>
      </c>
    </row>
    <row r="223" spans="1:11" x14ac:dyDescent="0.3">
      <c r="A223">
        <f t="shared" si="0"/>
        <v>1.6666666666666667</v>
      </c>
      <c r="B223">
        <v>6</v>
      </c>
      <c r="C223">
        <v>15</v>
      </c>
      <c r="D223" s="15">
        <v>7.6</v>
      </c>
      <c r="E223">
        <v>18.576237360676448</v>
      </c>
      <c r="F223">
        <v>9.9816128184922501</v>
      </c>
      <c r="G223" s="9">
        <v>0.81</v>
      </c>
      <c r="H223">
        <v>-1.7545871559633026</v>
      </c>
      <c r="I223" s="7">
        <v>11.68</v>
      </c>
      <c r="J223" s="11">
        <v>3.7300199999999997E-3</v>
      </c>
      <c r="K223">
        <v>-0.33959328454670346</v>
      </c>
    </row>
    <row r="224" spans="1:11" x14ac:dyDescent="0.3">
      <c r="A224">
        <f t="shared" si="0"/>
        <v>1.6666666666666667</v>
      </c>
      <c r="B224">
        <v>6</v>
      </c>
      <c r="C224">
        <v>15</v>
      </c>
      <c r="D224" s="15">
        <v>9.5</v>
      </c>
      <c r="E224">
        <v>26.305733385752433</v>
      </c>
      <c r="F224">
        <v>12.477016023115313</v>
      </c>
      <c r="G224" s="9">
        <v>0.81</v>
      </c>
      <c r="H224">
        <v>-1.7545871559633026</v>
      </c>
      <c r="I224" s="7">
        <v>16.54</v>
      </c>
      <c r="J224" s="11">
        <v>3.7300199999999997E-3</v>
      </c>
      <c r="K224">
        <v>-1.7150255790190803</v>
      </c>
    </row>
    <row r="225" spans="1:11" x14ac:dyDescent="0.3">
      <c r="A225">
        <f t="shared" si="0"/>
        <v>1.6666666666666667</v>
      </c>
      <c r="B225">
        <v>6</v>
      </c>
      <c r="C225">
        <v>15</v>
      </c>
      <c r="D225" s="15">
        <v>11.4</v>
      </c>
      <c r="E225">
        <v>33.621717277799661</v>
      </c>
      <c r="F225">
        <v>14.972419227738376</v>
      </c>
      <c r="G225" s="9">
        <v>0.81</v>
      </c>
      <c r="H225">
        <v>-1.7545871559633026</v>
      </c>
      <c r="I225" s="7">
        <v>21.14</v>
      </c>
      <c r="J225" s="11">
        <v>3.7300199999999997E-3</v>
      </c>
      <c r="K225">
        <v>-2.5054085654675906</v>
      </c>
    </row>
    <row r="226" spans="1:11" x14ac:dyDescent="0.3">
      <c r="A226">
        <f t="shared" si="0"/>
        <v>1.6666666666666667</v>
      </c>
      <c r="B226">
        <v>6</v>
      </c>
      <c r="C226">
        <v>15</v>
      </c>
      <c r="D226" s="16">
        <v>13.3</v>
      </c>
      <c r="E226">
        <v>42.273663445785957</v>
      </c>
      <c r="F226">
        <v>17.467822432361441</v>
      </c>
      <c r="G226" s="9">
        <v>0.81</v>
      </c>
      <c r="H226">
        <v>-1.7545871559633026</v>
      </c>
      <c r="I226" s="7">
        <v>26.58</v>
      </c>
      <c r="J226" s="11">
        <v>3.7300199999999997E-3</v>
      </c>
      <c r="K226">
        <v>-3.2870494057571671</v>
      </c>
    </row>
    <row r="227" spans="1:11" x14ac:dyDescent="0.3">
      <c r="A227">
        <f t="shared" si="0"/>
        <v>1.6666666666666667</v>
      </c>
      <c r="B227">
        <v>1</v>
      </c>
      <c r="C227">
        <v>20</v>
      </c>
      <c r="D227" s="15">
        <v>2.2999999999999998</v>
      </c>
      <c r="E227">
        <v>0</v>
      </c>
      <c r="F227">
        <v>2.265563435776202</v>
      </c>
      <c r="G227" s="9">
        <v>1.08</v>
      </c>
      <c r="H227">
        <v>-0.77981651376146777</v>
      </c>
      <c r="I227" s="7">
        <v>0</v>
      </c>
      <c r="J227" s="11">
        <v>4.8399999999999997E-3</v>
      </c>
      <c r="K227">
        <v>38.591876034869706</v>
      </c>
    </row>
    <row r="228" spans="1:11" x14ac:dyDescent="0.3">
      <c r="A228">
        <f t="shared" si="0"/>
        <v>1.6666666666666667</v>
      </c>
      <c r="B228">
        <v>1</v>
      </c>
      <c r="C228">
        <v>20</v>
      </c>
      <c r="D228" s="15">
        <v>4.5999999999999996</v>
      </c>
      <c r="E228">
        <v>2.115273603570178</v>
      </c>
      <c r="F228">
        <v>4.531126871552404</v>
      </c>
      <c r="G228" s="9">
        <v>1.08</v>
      </c>
      <c r="H228">
        <v>-1.7545871559633026</v>
      </c>
      <c r="I228" s="7">
        <v>1.33</v>
      </c>
      <c r="J228" s="11">
        <v>4.8399999999999997E-3</v>
      </c>
      <c r="K228">
        <v>9.5015020182015864</v>
      </c>
    </row>
    <row r="229" spans="1:11" x14ac:dyDescent="0.3">
      <c r="A229">
        <f t="shared" si="0"/>
        <v>1.6666666666666667</v>
      </c>
      <c r="B229">
        <v>1</v>
      </c>
      <c r="C229">
        <v>20</v>
      </c>
      <c r="D229" s="15">
        <v>6.9</v>
      </c>
      <c r="E229">
        <v>4.2464515199491535</v>
      </c>
      <c r="F229">
        <v>6.796690307328606</v>
      </c>
      <c r="G229" s="9">
        <v>1.08</v>
      </c>
      <c r="H229">
        <v>-1.7545871559633026</v>
      </c>
      <c r="I229" s="7">
        <v>2.67</v>
      </c>
      <c r="J229" s="11">
        <v>4.8399999999999997E-3</v>
      </c>
      <c r="K229">
        <v>4.0256389974514928</v>
      </c>
    </row>
    <row r="230" spans="1:11" x14ac:dyDescent="0.3">
      <c r="A230">
        <f t="shared" si="0"/>
        <v>1.6666666666666667</v>
      </c>
      <c r="B230">
        <v>1</v>
      </c>
      <c r="C230">
        <v>20</v>
      </c>
      <c r="D230" s="15">
        <v>9.1999999999999993</v>
      </c>
      <c r="E230">
        <v>6.95018469744487</v>
      </c>
      <c r="F230">
        <v>9.062253743104808</v>
      </c>
      <c r="G230" s="9">
        <v>1.08</v>
      </c>
      <c r="H230">
        <v>-1.7545871559633026</v>
      </c>
      <c r="I230" s="7">
        <v>4.37</v>
      </c>
      <c r="J230" s="11">
        <v>4.8399999999999997E-3</v>
      </c>
      <c r="K230">
        <v>2.0166808338993563</v>
      </c>
    </row>
    <row r="231" spans="1:11" x14ac:dyDescent="0.3">
      <c r="A231">
        <f t="shared" si="0"/>
        <v>1.6666666666666667</v>
      </c>
      <c r="B231">
        <v>1</v>
      </c>
      <c r="C231">
        <v>20</v>
      </c>
      <c r="D231" s="15">
        <v>11.5</v>
      </c>
      <c r="E231">
        <v>10.512750766615696</v>
      </c>
      <c r="F231">
        <v>11.327817178881009</v>
      </c>
      <c r="G231" s="9">
        <v>1.08</v>
      </c>
      <c r="H231">
        <v>-1.7545871559633026</v>
      </c>
      <c r="I231" s="7">
        <v>6.61</v>
      </c>
      <c r="J231" s="11">
        <v>4.8399999999999997E-3</v>
      </c>
      <c r="K231">
        <v>0.96483391786561834</v>
      </c>
    </row>
    <row r="232" spans="1:11" x14ac:dyDescent="0.3">
      <c r="A232">
        <f t="shared" si="0"/>
        <v>1.6666666666666667</v>
      </c>
      <c r="B232">
        <v>1</v>
      </c>
      <c r="C232">
        <v>20</v>
      </c>
      <c r="D232" s="15">
        <v>13.8</v>
      </c>
      <c r="E232">
        <v>15.39537479891678</v>
      </c>
      <c r="F232">
        <v>13.593380614657212</v>
      </c>
      <c r="G232" s="9">
        <v>1.08</v>
      </c>
      <c r="H232">
        <v>-1.7545871559633026</v>
      </c>
      <c r="I232" s="7">
        <v>9.68</v>
      </c>
      <c r="J232" s="11">
        <v>4.8399999999999997E-3</v>
      </c>
      <c r="K232">
        <v>0.20992228989822315</v>
      </c>
    </row>
    <row r="233" spans="1:11" x14ac:dyDescent="0.3">
      <c r="A233">
        <f t="shared" si="0"/>
        <v>1.6666666666666667</v>
      </c>
      <c r="B233">
        <v>1</v>
      </c>
      <c r="C233">
        <v>20</v>
      </c>
      <c r="D233" s="16">
        <v>17.3</v>
      </c>
      <c r="E233">
        <v>25.224240114754146</v>
      </c>
      <c r="F233">
        <v>17.040977147360127</v>
      </c>
      <c r="G233" s="9">
        <v>1.08</v>
      </c>
      <c r="H233">
        <v>-1.7545871559633026</v>
      </c>
      <c r="I233" s="7">
        <v>15.86</v>
      </c>
      <c r="J233" s="11">
        <v>4.8399999999999997E-3</v>
      </c>
      <c r="K233">
        <v>-0.79041952290137274</v>
      </c>
    </row>
    <row r="234" spans="1:11" x14ac:dyDescent="0.3">
      <c r="A234">
        <f t="shared" si="0"/>
        <v>1.6666666666666667</v>
      </c>
      <c r="B234">
        <v>2</v>
      </c>
      <c r="C234">
        <v>20</v>
      </c>
      <c r="D234" s="15">
        <v>2.2999999999999998</v>
      </c>
      <c r="E234">
        <v>0.90654583010150458</v>
      </c>
      <c r="F234">
        <v>2.265563435776202</v>
      </c>
      <c r="G234" s="9">
        <v>1.08</v>
      </c>
      <c r="H234">
        <v>-1.7545871559633026</v>
      </c>
      <c r="I234" s="7">
        <v>0.56999999999999995</v>
      </c>
      <c r="J234" s="11">
        <v>4.8399999999999997E-3</v>
      </c>
      <c r="K234">
        <v>38.484267633674392</v>
      </c>
    </row>
    <row r="235" spans="1:11" x14ac:dyDescent="0.3">
      <c r="A235">
        <f t="shared" si="0"/>
        <v>1.6666666666666667</v>
      </c>
      <c r="B235">
        <v>2</v>
      </c>
      <c r="C235">
        <v>20</v>
      </c>
      <c r="D235" s="15">
        <v>4.5999999999999996</v>
      </c>
      <c r="E235">
        <v>3.5466617563620275</v>
      </c>
      <c r="F235">
        <v>4.531126871552404</v>
      </c>
      <c r="G235" s="9">
        <v>1.08</v>
      </c>
      <c r="H235">
        <v>-1.7545871559633026</v>
      </c>
      <c r="I235" s="7">
        <v>2.23</v>
      </c>
      <c r="J235" s="11">
        <v>4.8399999999999997E-3</v>
      </c>
      <c r="K235">
        <v>9.2362070678862747</v>
      </c>
    </row>
    <row r="236" spans="1:11" x14ac:dyDescent="0.3">
      <c r="A236">
        <f t="shared" ref="A236:A299" si="1">100/60</f>
        <v>1.6666666666666667</v>
      </c>
      <c r="B236">
        <v>2</v>
      </c>
      <c r="C236">
        <v>20</v>
      </c>
      <c r="D236" s="15">
        <v>6.9</v>
      </c>
      <c r="E236">
        <v>8.1907210965311403</v>
      </c>
      <c r="F236">
        <v>6.796690307328606</v>
      </c>
      <c r="G236" s="9">
        <v>1.08</v>
      </c>
      <c r="H236">
        <v>-1.7545871559633026</v>
      </c>
      <c r="I236" s="7">
        <v>5.15</v>
      </c>
      <c r="J236" s="11">
        <v>4.8399999999999997E-3</v>
      </c>
      <c r="K236">
        <v>3.3119444283801882</v>
      </c>
    </row>
    <row r="237" spans="1:11" x14ac:dyDescent="0.3">
      <c r="A237">
        <f t="shared" si="1"/>
        <v>1.6666666666666667</v>
      </c>
      <c r="B237">
        <v>2</v>
      </c>
      <c r="C237">
        <v>20</v>
      </c>
      <c r="D237" s="15">
        <v>9.1999999999999993</v>
      </c>
      <c r="E237">
        <v>13.280101195346603</v>
      </c>
      <c r="F237">
        <v>9.062253743104808</v>
      </c>
      <c r="G237" s="9">
        <v>1.08</v>
      </c>
      <c r="H237">
        <v>-1.7545871559633026</v>
      </c>
      <c r="I237" s="7">
        <v>8.35</v>
      </c>
      <c r="J237" s="11">
        <v>4.8399999999999997E-3</v>
      </c>
      <c r="K237">
        <v>0.96871609945156889</v>
      </c>
    </row>
    <row r="238" spans="1:11" x14ac:dyDescent="0.3">
      <c r="A238">
        <f t="shared" si="1"/>
        <v>1.6666666666666667</v>
      </c>
      <c r="B238">
        <v>2</v>
      </c>
      <c r="C238">
        <v>20</v>
      </c>
      <c r="D238" s="15">
        <v>11.5</v>
      </c>
      <c r="E238">
        <v>24.937962484195776</v>
      </c>
      <c r="F238">
        <v>11.327817178881009</v>
      </c>
      <c r="G238" s="9">
        <v>1.08</v>
      </c>
      <c r="H238">
        <v>-1.7545871559633026</v>
      </c>
      <c r="I238" s="7">
        <v>15.68</v>
      </c>
      <c r="J238" s="11">
        <v>4.8399999999999997E-3</v>
      </c>
      <c r="K238">
        <v>-1.7135560793244793</v>
      </c>
    </row>
    <row r="239" spans="1:11" x14ac:dyDescent="0.3">
      <c r="A239">
        <f t="shared" si="1"/>
        <v>1.6666666666666667</v>
      </c>
      <c r="B239">
        <v>2</v>
      </c>
      <c r="C239">
        <v>20</v>
      </c>
      <c r="D239" s="15">
        <v>13.8</v>
      </c>
      <c r="E239">
        <v>34.210176851725201</v>
      </c>
      <c r="F239">
        <v>13.593380614657212</v>
      </c>
      <c r="G239" s="9">
        <v>1.08</v>
      </c>
      <c r="H239">
        <v>-1.7545871559633026</v>
      </c>
      <c r="I239" s="7">
        <v>21.51</v>
      </c>
      <c r="J239" s="11">
        <v>4.8399999999999997E-3</v>
      </c>
      <c r="K239">
        <v>-3.184720538127789</v>
      </c>
    </row>
    <row r="240" spans="1:11" x14ac:dyDescent="0.3">
      <c r="A240">
        <f t="shared" si="1"/>
        <v>1.6666666666666667</v>
      </c>
      <c r="B240">
        <v>2</v>
      </c>
      <c r="C240">
        <v>20</v>
      </c>
      <c r="D240" s="16">
        <v>17.399999999999999</v>
      </c>
      <c r="E240">
        <v>47.235809042131038</v>
      </c>
      <c r="F240">
        <v>17.139479905437351</v>
      </c>
      <c r="G240" s="9">
        <v>1.08</v>
      </c>
      <c r="H240">
        <v>-1.7545871559633026</v>
      </c>
      <c r="I240" s="7">
        <v>29.7</v>
      </c>
      <c r="J240" s="11">
        <v>4.8399999999999997E-3</v>
      </c>
      <c r="K240">
        <v>-4.4303568625335545</v>
      </c>
    </row>
    <row r="241" spans="1:11" x14ac:dyDescent="0.3">
      <c r="A241">
        <f t="shared" si="1"/>
        <v>1.6666666666666667</v>
      </c>
      <c r="B241">
        <v>4</v>
      </c>
      <c r="C241">
        <v>20</v>
      </c>
      <c r="D241" s="15">
        <v>2.2999999999999998</v>
      </c>
      <c r="E241">
        <v>1.1928234606598747</v>
      </c>
      <c r="F241">
        <v>2.265563435776202</v>
      </c>
      <c r="G241" s="9">
        <v>1.08</v>
      </c>
      <c r="H241">
        <v>-1.7545871559633026</v>
      </c>
      <c r="I241" s="7">
        <v>0.75</v>
      </c>
      <c r="J241" s="11">
        <v>4.8399999999999997E-3</v>
      </c>
      <c r="K241">
        <v>38.405573401221311</v>
      </c>
    </row>
    <row r="242" spans="1:11" x14ac:dyDescent="0.3">
      <c r="A242">
        <f t="shared" si="1"/>
        <v>1.6666666666666667</v>
      </c>
      <c r="B242">
        <v>4</v>
      </c>
      <c r="C242">
        <v>20</v>
      </c>
      <c r="D242" s="15">
        <v>4.5999999999999996</v>
      </c>
      <c r="E242">
        <v>4.3895903352283376</v>
      </c>
      <c r="F242">
        <v>4.531126871552404</v>
      </c>
      <c r="G242" s="9">
        <v>1.08</v>
      </c>
      <c r="H242">
        <v>-1.7545871559633026</v>
      </c>
      <c r="I242" s="7">
        <v>2.76</v>
      </c>
      <c r="J242" s="11">
        <v>4.8399999999999997E-3</v>
      </c>
      <c r="K242">
        <v>9.0172228122374261</v>
      </c>
    </row>
    <row r="243" spans="1:11" x14ac:dyDescent="0.3">
      <c r="A243">
        <f t="shared" si="1"/>
        <v>1.6666666666666667</v>
      </c>
      <c r="B243">
        <v>4</v>
      </c>
      <c r="C243">
        <v>20</v>
      </c>
      <c r="D243" s="15">
        <v>6.9</v>
      </c>
      <c r="E243">
        <v>9.097266926632642</v>
      </c>
      <c r="F243">
        <v>6.796690307328606</v>
      </c>
      <c r="G243" s="9">
        <v>1.08</v>
      </c>
      <c r="H243">
        <v>-1.7545871559633026</v>
      </c>
      <c r="I243" s="7">
        <v>5.72</v>
      </c>
      <c r="J243" s="11">
        <v>4.8399999999999997E-3</v>
      </c>
      <c r="K243">
        <v>3.0839320851066914</v>
      </c>
    </row>
    <row r="244" spans="1:11" x14ac:dyDescent="0.3">
      <c r="A244">
        <f t="shared" si="1"/>
        <v>1.6666666666666667</v>
      </c>
      <c r="B244">
        <v>4</v>
      </c>
      <c r="C244">
        <v>20</v>
      </c>
      <c r="D244" s="15">
        <v>9.1999999999999993</v>
      </c>
      <c r="E244">
        <v>17.033519018223011</v>
      </c>
      <c r="F244">
        <v>9.062253743104808</v>
      </c>
      <c r="G244" s="9">
        <v>1.08</v>
      </c>
      <c r="H244">
        <v>-1.7545871559633026</v>
      </c>
      <c r="I244" s="7">
        <v>10.71</v>
      </c>
      <c r="J244" s="11">
        <v>4.8399999999999997E-3</v>
      </c>
      <c r="K244">
        <v>3.7583816593950603E-2</v>
      </c>
    </row>
    <row r="245" spans="1:11" x14ac:dyDescent="0.3">
      <c r="A245">
        <f t="shared" si="1"/>
        <v>1.6666666666666667</v>
      </c>
      <c r="B245">
        <v>4</v>
      </c>
      <c r="C245">
        <v>20</v>
      </c>
      <c r="D245" s="15">
        <v>11.5</v>
      </c>
      <c r="E245">
        <v>28.357389738087413</v>
      </c>
      <c r="F245">
        <v>11.327817178881009</v>
      </c>
      <c r="G245" s="9">
        <v>1.08</v>
      </c>
      <c r="H245">
        <v>-1.7545871559633026</v>
      </c>
      <c r="I245" s="7">
        <v>17.829999999999998</v>
      </c>
      <c r="J245" s="11">
        <v>4.8399999999999997E-3</v>
      </c>
      <c r="K245">
        <v>-2.6680416043128496</v>
      </c>
    </row>
    <row r="246" spans="1:11" x14ac:dyDescent="0.3">
      <c r="A246">
        <f t="shared" si="1"/>
        <v>1.6666666666666667</v>
      </c>
      <c r="B246">
        <v>4</v>
      </c>
      <c r="C246">
        <v>20</v>
      </c>
      <c r="D246" s="15">
        <v>13.8</v>
      </c>
      <c r="E246">
        <v>36.102790075972202</v>
      </c>
      <c r="F246">
        <v>13.593380614657212</v>
      </c>
      <c r="G246" s="9">
        <v>1.08</v>
      </c>
      <c r="H246">
        <v>-1.7545871559633026</v>
      </c>
      <c r="I246" s="7">
        <v>22.7</v>
      </c>
      <c r="J246" s="11">
        <v>4.8399999999999997E-3</v>
      </c>
      <c r="K246">
        <v>-3.6687384603983353</v>
      </c>
    </row>
    <row r="247" spans="1:11" x14ac:dyDescent="0.3">
      <c r="A247">
        <f t="shared" si="1"/>
        <v>1.6666666666666667</v>
      </c>
      <c r="B247">
        <v>4</v>
      </c>
      <c r="C247">
        <v>20</v>
      </c>
      <c r="D247" s="16">
        <v>17</v>
      </c>
      <c r="E247">
        <v>44.516171551826517</v>
      </c>
      <c r="F247">
        <v>16.745468873128448</v>
      </c>
      <c r="G247" s="9">
        <v>1.08</v>
      </c>
      <c r="H247">
        <v>-1.7545871559633026</v>
      </c>
      <c r="I247" s="7">
        <v>27.99</v>
      </c>
      <c r="J247" s="11">
        <v>4.8399999999999997E-3</v>
      </c>
      <c r="K247">
        <v>-4.0432285133035828</v>
      </c>
    </row>
    <row r="248" spans="1:11" x14ac:dyDescent="0.3">
      <c r="A248">
        <f t="shared" si="1"/>
        <v>1.6666666666666667</v>
      </c>
      <c r="B248">
        <v>6</v>
      </c>
      <c r="C248">
        <v>20</v>
      </c>
      <c r="D248" s="15">
        <v>2.2999999999999998</v>
      </c>
      <c r="E248">
        <v>0</v>
      </c>
      <c r="F248">
        <v>2.265563435776202</v>
      </c>
      <c r="G248" s="9">
        <v>1.08</v>
      </c>
      <c r="H248">
        <v>-0.77981651376146777</v>
      </c>
      <c r="I248" s="7">
        <v>0</v>
      </c>
      <c r="J248" s="11">
        <v>4.8400200000000004E-3</v>
      </c>
      <c r="K248">
        <v>38.591876034869706</v>
      </c>
    </row>
    <row r="249" spans="1:11" x14ac:dyDescent="0.3">
      <c r="A249">
        <f t="shared" si="1"/>
        <v>1.6666666666666667</v>
      </c>
      <c r="B249">
        <v>6</v>
      </c>
      <c r="C249">
        <v>20</v>
      </c>
      <c r="D249" s="15">
        <v>4.5999999999999996</v>
      </c>
      <c r="E249">
        <v>3.9442695765819855</v>
      </c>
      <c r="F249">
        <v>4.531126871552404</v>
      </c>
      <c r="G249" s="9">
        <v>1.08</v>
      </c>
      <c r="H249">
        <v>-1.7545871559633026</v>
      </c>
      <c r="I249" s="7">
        <v>2.48</v>
      </c>
      <c r="J249" s="11">
        <v>4.8400200000000004E-3</v>
      </c>
      <c r="K249">
        <v>9.1387086896102812</v>
      </c>
    </row>
    <row r="250" spans="1:11" x14ac:dyDescent="0.3">
      <c r="A250">
        <f t="shared" si="1"/>
        <v>1.6666666666666667</v>
      </c>
      <c r="B250">
        <v>6</v>
      </c>
      <c r="C250">
        <v>20</v>
      </c>
      <c r="D250" s="15">
        <v>6.9</v>
      </c>
      <c r="E250">
        <v>8.2702426605751302</v>
      </c>
      <c r="F250">
        <v>6.796690307328606</v>
      </c>
      <c r="G250" s="9">
        <v>1.08</v>
      </c>
      <c r="H250">
        <v>-1.7545871559633026</v>
      </c>
      <c r="I250" s="7">
        <v>5.2</v>
      </c>
      <c r="J250" s="11">
        <v>4.8400200000000004E-3</v>
      </c>
      <c r="K250">
        <v>3.2929001591627971</v>
      </c>
    </row>
    <row r="251" spans="1:11" x14ac:dyDescent="0.3">
      <c r="A251">
        <f t="shared" si="1"/>
        <v>1.6666666666666667</v>
      </c>
      <c r="B251">
        <v>6</v>
      </c>
      <c r="C251">
        <v>20</v>
      </c>
      <c r="D251" s="15">
        <v>9.1999999999999993</v>
      </c>
      <c r="E251">
        <v>15.506704988578369</v>
      </c>
      <c r="F251">
        <v>9.062253743104808</v>
      </c>
      <c r="G251" s="9">
        <v>1.08</v>
      </c>
      <c r="H251">
        <v>-1.7545871559633026</v>
      </c>
      <c r="I251" s="7">
        <v>9.75</v>
      </c>
      <c r="J251" s="11">
        <v>4.8400200000000004E-3</v>
      </c>
      <c r="K251">
        <v>0.44417068426820444</v>
      </c>
    </row>
    <row r="252" spans="1:11" x14ac:dyDescent="0.3">
      <c r="A252">
        <f t="shared" si="1"/>
        <v>1.6666666666666667</v>
      </c>
      <c r="B252">
        <v>6</v>
      </c>
      <c r="C252">
        <v>20</v>
      </c>
      <c r="D252" s="15">
        <v>11.5</v>
      </c>
      <c r="E252">
        <v>24.254077033417452</v>
      </c>
      <c r="F252">
        <v>11.327817178881009</v>
      </c>
      <c r="G252" s="9">
        <v>1.08</v>
      </c>
      <c r="H252">
        <v>-1.7545871559633026</v>
      </c>
      <c r="I252" s="7">
        <v>15.25</v>
      </c>
      <c r="J252" s="11">
        <v>4.8400200000000004E-3</v>
      </c>
      <c r="K252">
        <v>-1.5373565132970828</v>
      </c>
    </row>
    <row r="253" spans="1:11" x14ac:dyDescent="0.3">
      <c r="A253">
        <f t="shared" si="1"/>
        <v>1.6666666666666667</v>
      </c>
      <c r="B253">
        <v>6</v>
      </c>
      <c r="C253">
        <v>20</v>
      </c>
      <c r="D253" s="15">
        <v>13.8</v>
      </c>
      <c r="E253">
        <v>24.524450351167022</v>
      </c>
      <c r="F253">
        <v>13.593380614657212</v>
      </c>
      <c r="G253" s="9">
        <v>1.08</v>
      </c>
      <c r="H253">
        <v>-1.7545871559633026</v>
      </c>
      <c r="I253" s="7">
        <v>15.42</v>
      </c>
      <c r="J253" s="11">
        <v>4.8400200000000004E-3</v>
      </c>
      <c r="K253">
        <v>-1.1155772478923249</v>
      </c>
    </row>
    <row r="254" spans="1:11" x14ac:dyDescent="0.3">
      <c r="A254">
        <f t="shared" si="1"/>
        <v>1.6666666666666667</v>
      </c>
      <c r="B254">
        <v>6</v>
      </c>
      <c r="C254">
        <v>20</v>
      </c>
      <c r="D254" s="16">
        <v>16.899999999999999</v>
      </c>
      <c r="E254">
        <v>34.432837231048374</v>
      </c>
      <c r="F254">
        <v>16.646966115051221</v>
      </c>
      <c r="G254" s="9">
        <v>1.08</v>
      </c>
      <c r="H254">
        <v>-1.7545871559633026</v>
      </c>
      <c r="I254" s="7">
        <v>21.65</v>
      </c>
      <c r="J254" s="11">
        <v>4.8400200000000004E-3</v>
      </c>
      <c r="K254">
        <v>-2.1605857770190786</v>
      </c>
    </row>
    <row r="255" spans="1:11" x14ac:dyDescent="0.3">
      <c r="A255">
        <f t="shared" si="1"/>
        <v>1.6666666666666667</v>
      </c>
      <c r="B255">
        <v>1</v>
      </c>
      <c r="C255">
        <v>30</v>
      </c>
      <c r="D255" s="15">
        <v>3.3</v>
      </c>
      <c r="E255">
        <v>0.63617251235193317</v>
      </c>
      <c r="F255">
        <v>2.1670606776989754</v>
      </c>
      <c r="G255" s="9">
        <v>1.62</v>
      </c>
      <c r="H255">
        <v>-1.7545871559633026</v>
      </c>
      <c r="I255" s="7">
        <v>0.4</v>
      </c>
      <c r="J255" s="11">
        <v>6.9100000000000003E-3</v>
      </c>
      <c r="K255">
        <v>42.122043921814218</v>
      </c>
    </row>
    <row r="256" spans="1:11" x14ac:dyDescent="0.3">
      <c r="A256">
        <f t="shared" si="1"/>
        <v>1.6666666666666667</v>
      </c>
      <c r="B256">
        <v>1</v>
      </c>
      <c r="C256">
        <v>30</v>
      </c>
      <c r="D256" s="15">
        <v>6.6</v>
      </c>
      <c r="E256">
        <v>2.4810727981725389</v>
      </c>
      <c r="F256">
        <v>4.3341213553979507</v>
      </c>
      <c r="G256" s="9">
        <v>1.62</v>
      </c>
      <c r="H256">
        <v>-1.7545871559633026</v>
      </c>
      <c r="I256" s="7">
        <v>1.56</v>
      </c>
      <c r="J256" s="11">
        <v>6.9100000000000003E-3</v>
      </c>
      <c r="K256">
        <v>10.32475102976529</v>
      </c>
    </row>
    <row r="257" spans="1:11" x14ac:dyDescent="0.3">
      <c r="A257">
        <f t="shared" si="1"/>
        <v>1.6666666666666667</v>
      </c>
      <c r="B257">
        <v>1</v>
      </c>
      <c r="C257">
        <v>30</v>
      </c>
      <c r="D257" s="15">
        <v>9.9</v>
      </c>
      <c r="E257">
        <v>5.8368828008289864</v>
      </c>
      <c r="F257">
        <v>6.501182033096927</v>
      </c>
      <c r="G257" s="9">
        <v>1.62</v>
      </c>
      <c r="H257">
        <v>-1.7545871559633026</v>
      </c>
      <c r="I257" s="7">
        <v>3.67</v>
      </c>
      <c r="J257" s="11">
        <v>6.9100000000000003E-3</v>
      </c>
      <c r="K257">
        <v>4.1449157786856201</v>
      </c>
    </row>
    <row r="258" spans="1:11" x14ac:dyDescent="0.3">
      <c r="A258">
        <f t="shared" si="1"/>
        <v>1.6666666666666667</v>
      </c>
      <c r="B258">
        <v>1</v>
      </c>
      <c r="C258">
        <v>30</v>
      </c>
      <c r="D258" s="15">
        <v>13.2</v>
      </c>
      <c r="E258">
        <v>12.071373421877929</v>
      </c>
      <c r="F258">
        <v>8.6682427107959015</v>
      </c>
      <c r="G258" s="9">
        <v>1.62</v>
      </c>
      <c r="H258">
        <v>-1.7545871559633026</v>
      </c>
      <c r="I258" s="7">
        <v>7.59</v>
      </c>
      <c r="J258" s="11">
        <v>6.9100000000000003E-3</v>
      </c>
      <c r="K258">
        <v>1.3328698476012399</v>
      </c>
    </row>
    <row r="259" spans="1:11" x14ac:dyDescent="0.3">
      <c r="A259">
        <f t="shared" si="1"/>
        <v>1.6666666666666667</v>
      </c>
      <c r="B259">
        <v>1</v>
      </c>
      <c r="C259">
        <v>30</v>
      </c>
      <c r="D259" s="15">
        <v>16.5</v>
      </c>
      <c r="E259">
        <v>19.276027124263571</v>
      </c>
      <c r="F259">
        <v>10.835303388494877</v>
      </c>
      <c r="G259" s="9">
        <v>1.62</v>
      </c>
      <c r="H259">
        <v>-1.7545871559633026</v>
      </c>
      <c r="I259" s="7">
        <v>12.12</v>
      </c>
      <c r="J259" s="11">
        <v>6.9100000000000003E-3</v>
      </c>
      <c r="K259">
        <v>-0.43982358501849894</v>
      </c>
    </row>
    <row r="260" spans="1:11" x14ac:dyDescent="0.3">
      <c r="A260">
        <f t="shared" si="1"/>
        <v>1.6666666666666667</v>
      </c>
      <c r="B260">
        <v>1</v>
      </c>
      <c r="C260">
        <v>30</v>
      </c>
      <c r="D260" s="15">
        <v>19.8</v>
      </c>
      <c r="E260">
        <v>25.160622863518956</v>
      </c>
      <c r="F260">
        <v>13.002364066193854</v>
      </c>
      <c r="G260" s="9">
        <v>1.62</v>
      </c>
      <c r="H260">
        <v>-1.7545871559633026</v>
      </c>
      <c r="I260" s="7">
        <v>15.82</v>
      </c>
      <c r="J260" s="11">
        <v>6.9100000000000003E-3</v>
      </c>
      <c r="K260">
        <v>-1.3449519765699169</v>
      </c>
    </row>
    <row r="261" spans="1:11" x14ac:dyDescent="0.3">
      <c r="A261">
        <f t="shared" si="1"/>
        <v>1.6666666666666667</v>
      </c>
      <c r="B261">
        <v>1</v>
      </c>
      <c r="C261">
        <v>30</v>
      </c>
      <c r="D261" s="16">
        <v>23.1</v>
      </c>
      <c r="E261">
        <v>33.271822396006101</v>
      </c>
      <c r="F261">
        <v>15.169424743892829</v>
      </c>
      <c r="G261" s="9">
        <v>1.62</v>
      </c>
      <c r="H261">
        <v>-1.7545871559633026</v>
      </c>
      <c r="I261" s="7">
        <v>20.92</v>
      </c>
      <c r="J261" s="11">
        <v>6.9100000000000003E-3</v>
      </c>
      <c r="K261">
        <v>-2.3723954934591607</v>
      </c>
    </row>
    <row r="262" spans="1:11" x14ac:dyDescent="0.3">
      <c r="A262">
        <f t="shared" si="1"/>
        <v>1.6666666666666667</v>
      </c>
      <c r="B262">
        <v>2</v>
      </c>
      <c r="C262">
        <v>30</v>
      </c>
      <c r="D262" s="15">
        <v>3.3</v>
      </c>
      <c r="E262">
        <v>1.065588958189488</v>
      </c>
      <c r="F262">
        <v>2.1670606776989754</v>
      </c>
      <c r="G262" s="9">
        <v>1.62</v>
      </c>
      <c r="H262">
        <v>-1.7545871559633026</v>
      </c>
      <c r="I262" s="7">
        <v>0.67</v>
      </c>
      <c r="J262" s="11">
        <v>6.9100000000000003E-3</v>
      </c>
      <c r="K262">
        <v>42.017462553492898</v>
      </c>
    </row>
    <row r="263" spans="1:11" x14ac:dyDescent="0.3">
      <c r="A263">
        <f t="shared" si="1"/>
        <v>1.6666666666666667</v>
      </c>
      <c r="B263">
        <v>2</v>
      </c>
      <c r="C263">
        <v>30</v>
      </c>
      <c r="D263" s="15">
        <v>6.6</v>
      </c>
      <c r="E263">
        <v>4.3577817096107427</v>
      </c>
      <c r="F263">
        <v>4.3341213553979507</v>
      </c>
      <c r="G263" s="9">
        <v>1.62</v>
      </c>
      <c r="H263">
        <v>-1.7545871559633026</v>
      </c>
      <c r="I263" s="7">
        <v>2.74</v>
      </c>
      <c r="J263" s="11">
        <v>6.9100000000000003E-3</v>
      </c>
      <c r="K263">
        <v>9.8655559251768619</v>
      </c>
    </row>
    <row r="264" spans="1:11" x14ac:dyDescent="0.3">
      <c r="A264">
        <f t="shared" si="1"/>
        <v>1.6666666666666667</v>
      </c>
      <c r="B264">
        <v>2</v>
      </c>
      <c r="C264">
        <v>30</v>
      </c>
      <c r="D264" s="15">
        <v>9.9</v>
      </c>
      <c r="E264">
        <v>10.226473136057324</v>
      </c>
      <c r="F264">
        <v>6.501182033096927</v>
      </c>
      <c r="G264" s="9">
        <v>1.62</v>
      </c>
      <c r="H264">
        <v>-1.7545871559633026</v>
      </c>
      <c r="I264" s="7">
        <v>6.43</v>
      </c>
      <c r="J264" s="11">
        <v>6.9100000000000003E-3</v>
      </c>
      <c r="K264">
        <v>3.0236857401004955</v>
      </c>
    </row>
    <row r="265" spans="1:11" x14ac:dyDescent="0.3">
      <c r="A265">
        <f t="shared" si="1"/>
        <v>1.6666666666666667</v>
      </c>
      <c r="B265">
        <v>2</v>
      </c>
      <c r="C265">
        <v>30</v>
      </c>
      <c r="D265" s="15">
        <v>13.2</v>
      </c>
      <c r="E265">
        <v>19.260122811454771</v>
      </c>
      <c r="F265">
        <v>8.6682427107959015</v>
      </c>
      <c r="G265" s="9">
        <v>1.62</v>
      </c>
      <c r="H265">
        <v>-1.7545871559633026</v>
      </c>
      <c r="I265" s="7">
        <v>12.11</v>
      </c>
      <c r="J265" s="11">
        <v>6.9100000000000003E-3</v>
      </c>
      <c r="K265">
        <v>-0.68174233671942119</v>
      </c>
    </row>
    <row r="266" spans="1:11" x14ac:dyDescent="0.3">
      <c r="A266">
        <f t="shared" si="1"/>
        <v>1.6666666666666667</v>
      </c>
      <c r="B266">
        <v>2</v>
      </c>
      <c r="C266">
        <v>30</v>
      </c>
      <c r="D266" s="15">
        <v>16.5</v>
      </c>
      <c r="E266">
        <v>27.75302585135308</v>
      </c>
      <c r="F266">
        <v>10.835303388494877</v>
      </c>
      <c r="G266" s="9">
        <v>1.62</v>
      </c>
      <c r="H266">
        <v>-1.7545871559633026</v>
      </c>
      <c r="I266" s="7">
        <v>17.45</v>
      </c>
      <c r="J266" s="11">
        <v>6.9100000000000003E-3</v>
      </c>
      <c r="K266">
        <v>-2.721979453003796</v>
      </c>
    </row>
    <row r="267" spans="1:11" x14ac:dyDescent="0.3">
      <c r="A267">
        <f t="shared" si="1"/>
        <v>1.6666666666666667</v>
      </c>
      <c r="B267">
        <v>2</v>
      </c>
      <c r="C267">
        <v>30</v>
      </c>
      <c r="D267" s="15">
        <v>19.8</v>
      </c>
      <c r="E267">
        <v>36.198215952824995</v>
      </c>
      <c r="F267">
        <v>13.002364066193854</v>
      </c>
      <c r="G267" s="9">
        <v>1.62</v>
      </c>
      <c r="H267">
        <v>-1.7545871559633026</v>
      </c>
      <c r="I267" s="7">
        <v>22.76</v>
      </c>
      <c r="J267" s="11">
        <v>6.9100000000000003E-3</v>
      </c>
      <c r="K267">
        <v>-4.0372675968793388</v>
      </c>
    </row>
    <row r="268" spans="1:11" x14ac:dyDescent="0.3">
      <c r="A268">
        <f t="shared" si="1"/>
        <v>1.6666666666666667</v>
      </c>
      <c r="B268">
        <v>2</v>
      </c>
      <c r="C268">
        <v>30</v>
      </c>
      <c r="D268" s="16">
        <v>23.1</v>
      </c>
      <c r="E268">
        <v>43.546008470489824</v>
      </c>
      <c r="F268">
        <v>15.169424743892829</v>
      </c>
      <c r="G268" s="9">
        <v>1.62</v>
      </c>
      <c r="H268">
        <v>-1.7545871559633026</v>
      </c>
      <c r="I268" s="7">
        <v>27.38</v>
      </c>
      <c r="J268" s="11">
        <v>6.9100000000000003E-3</v>
      </c>
      <c r="K268">
        <v>-4.6774985501543194</v>
      </c>
    </row>
    <row r="269" spans="1:11" x14ac:dyDescent="0.3">
      <c r="A269">
        <f t="shared" si="1"/>
        <v>1.6666666666666667</v>
      </c>
      <c r="B269">
        <v>4</v>
      </c>
      <c r="C269">
        <v>30</v>
      </c>
      <c r="D269" s="15">
        <v>3.3</v>
      </c>
      <c r="E269">
        <v>1.2087277734686728</v>
      </c>
      <c r="F269">
        <v>2.1670606776989754</v>
      </c>
      <c r="G269" s="9">
        <v>1.62</v>
      </c>
      <c r="H269">
        <v>-1.7545871559633026</v>
      </c>
      <c r="I269" s="7">
        <v>0.76</v>
      </c>
      <c r="J269" s="11">
        <v>6.9100000000000003E-3</v>
      </c>
      <c r="K269">
        <v>41.970873345798353</v>
      </c>
    </row>
    <row r="270" spans="1:11" x14ac:dyDescent="0.3">
      <c r="A270">
        <f t="shared" si="1"/>
        <v>1.6666666666666667</v>
      </c>
      <c r="B270">
        <v>4</v>
      </c>
      <c r="C270">
        <v>30</v>
      </c>
      <c r="D270" s="15">
        <v>6.6</v>
      </c>
      <c r="E270">
        <v>4.0078868278171784</v>
      </c>
      <c r="F270">
        <v>4.3341213553979507</v>
      </c>
      <c r="G270" s="9">
        <v>1.62</v>
      </c>
      <c r="H270">
        <v>-1.7545871559633026</v>
      </c>
      <c r="I270" s="7">
        <v>2.52</v>
      </c>
      <c r="J270" s="11">
        <v>6.9100000000000003E-3</v>
      </c>
      <c r="K270">
        <v>9.9702820929004989</v>
      </c>
    </row>
    <row r="271" spans="1:11" x14ac:dyDescent="0.3">
      <c r="A271">
        <f t="shared" si="1"/>
        <v>1.6666666666666667</v>
      </c>
      <c r="B271">
        <v>4</v>
      </c>
      <c r="C271">
        <v>30</v>
      </c>
      <c r="D271" s="15">
        <v>9.9</v>
      </c>
      <c r="E271">
        <v>8.2702426605751302</v>
      </c>
      <c r="F271">
        <v>6.501182033096927</v>
      </c>
      <c r="G271" s="9">
        <v>1.62</v>
      </c>
      <c r="H271">
        <v>-1.7545871559633026</v>
      </c>
      <c r="I271" s="7">
        <v>5.2</v>
      </c>
      <c r="J271" s="11">
        <v>6.9100000000000003E-3</v>
      </c>
      <c r="K271">
        <v>3.5990582318122315</v>
      </c>
    </row>
    <row r="272" spans="1:11" x14ac:dyDescent="0.3">
      <c r="A272">
        <f t="shared" si="1"/>
        <v>1.6666666666666667</v>
      </c>
      <c r="B272">
        <v>4</v>
      </c>
      <c r="C272">
        <v>30</v>
      </c>
      <c r="D272" s="15">
        <v>13.2</v>
      </c>
      <c r="E272">
        <v>15.31585323487279</v>
      </c>
      <c r="F272">
        <v>8.6682427107959015</v>
      </c>
      <c r="G272" s="9">
        <v>1.62</v>
      </c>
      <c r="H272">
        <v>-1.7545871559633026</v>
      </c>
      <c r="I272" s="7">
        <v>9.6300000000000008</v>
      </c>
      <c r="J272" s="11">
        <v>6.9100000000000003E-3</v>
      </c>
      <c r="K272">
        <v>0.53808402822471069</v>
      </c>
    </row>
    <row r="273" spans="1:11" x14ac:dyDescent="0.3">
      <c r="A273">
        <f t="shared" si="1"/>
        <v>1.6666666666666667</v>
      </c>
      <c r="B273">
        <v>4</v>
      </c>
      <c r="C273">
        <v>30</v>
      </c>
      <c r="D273" s="15">
        <v>16.5</v>
      </c>
      <c r="E273">
        <v>21.184544661319372</v>
      </c>
      <c r="F273">
        <v>10.835303388494877</v>
      </c>
      <c r="G273" s="9">
        <v>1.62</v>
      </c>
      <c r="H273">
        <v>-1.7545871559633026</v>
      </c>
      <c r="I273" s="7">
        <v>13.32</v>
      </c>
      <c r="J273" s="11">
        <v>6.9100000000000003E-3</v>
      </c>
      <c r="K273">
        <v>-0.88186720040283006</v>
      </c>
    </row>
    <row r="274" spans="1:11" x14ac:dyDescent="0.3">
      <c r="A274">
        <f t="shared" si="1"/>
        <v>1.6666666666666667</v>
      </c>
      <c r="B274">
        <v>4</v>
      </c>
      <c r="C274">
        <v>30</v>
      </c>
      <c r="D274" s="15">
        <v>19.8</v>
      </c>
      <c r="E274">
        <v>26.703341205972389</v>
      </c>
      <c r="F274">
        <v>13.002364066193854</v>
      </c>
      <c r="G274" s="9">
        <v>1.62</v>
      </c>
      <c r="H274">
        <v>-1.7545871559633026</v>
      </c>
      <c r="I274" s="7">
        <v>16.79</v>
      </c>
      <c r="J274" s="11">
        <v>6.9100000000000003E-3</v>
      </c>
      <c r="K274">
        <v>-1.6630249803322308</v>
      </c>
    </row>
    <row r="275" spans="1:11" x14ac:dyDescent="0.3">
      <c r="A275">
        <f t="shared" si="1"/>
        <v>1.6666666666666667</v>
      </c>
      <c r="B275">
        <v>4</v>
      </c>
      <c r="C275">
        <v>30</v>
      </c>
      <c r="D275" s="16">
        <v>23.5</v>
      </c>
      <c r="E275">
        <v>34.703210548797955</v>
      </c>
      <c r="F275">
        <v>15.432098765432098</v>
      </c>
      <c r="G275" s="9">
        <v>1.62</v>
      </c>
      <c r="H275">
        <v>-1.7545871559633026</v>
      </c>
      <c r="I275" s="7">
        <v>21.82</v>
      </c>
      <c r="J275" s="11">
        <v>6.9100000000000003E-3</v>
      </c>
      <c r="K275">
        <v>-2.5669048967424004</v>
      </c>
    </row>
    <row r="276" spans="1:11" x14ac:dyDescent="0.3">
      <c r="A276">
        <f t="shared" si="1"/>
        <v>1.6666666666666667</v>
      </c>
      <c r="B276">
        <v>6</v>
      </c>
      <c r="C276">
        <v>30</v>
      </c>
      <c r="D276" s="15">
        <v>3.3</v>
      </c>
      <c r="E276">
        <v>0</v>
      </c>
      <c r="F276">
        <v>2.1670606776989754</v>
      </c>
      <c r="G276" s="9">
        <v>1.62</v>
      </c>
      <c r="H276">
        <v>-0.77981651376146777</v>
      </c>
      <c r="I276" s="7">
        <v>0</v>
      </c>
      <c r="J276" s="11">
        <v>6.9100200000000002E-3</v>
      </c>
      <c r="K276">
        <v>42.179963682739846</v>
      </c>
    </row>
    <row r="277" spans="1:11" x14ac:dyDescent="0.3">
      <c r="A277">
        <f t="shared" si="1"/>
        <v>1.6666666666666667</v>
      </c>
      <c r="B277">
        <v>6</v>
      </c>
      <c r="C277">
        <v>30</v>
      </c>
      <c r="D277" s="15">
        <v>6.6</v>
      </c>
      <c r="E277">
        <v>3.5784703819796233</v>
      </c>
      <c r="F277">
        <v>4.3341213553979507</v>
      </c>
      <c r="G277" s="9">
        <v>1.62</v>
      </c>
      <c r="H277">
        <v>-1.7545871559633026</v>
      </c>
      <c r="I277" s="7">
        <v>2.25</v>
      </c>
      <c r="J277" s="11">
        <v>6.9100200000000002E-3</v>
      </c>
      <c r="K277">
        <v>10.086836561800665</v>
      </c>
    </row>
    <row r="278" spans="1:11" x14ac:dyDescent="0.3">
      <c r="A278">
        <f t="shared" si="1"/>
        <v>1.6666666666666667</v>
      </c>
      <c r="B278">
        <v>6</v>
      </c>
      <c r="C278">
        <v>30</v>
      </c>
      <c r="D278" s="15">
        <v>9.9</v>
      </c>
      <c r="E278">
        <v>7.3636968304736259</v>
      </c>
      <c r="F278">
        <v>6.501182033096927</v>
      </c>
      <c r="G278" s="9">
        <v>1.62</v>
      </c>
      <c r="H278">
        <v>-1.7545871559633026</v>
      </c>
      <c r="I278" s="7">
        <v>4.63</v>
      </c>
      <c r="J278" s="11">
        <v>6.9100200000000002E-3</v>
      </c>
      <c r="K278">
        <v>3.8244264348971901</v>
      </c>
    </row>
    <row r="279" spans="1:11" x14ac:dyDescent="0.3">
      <c r="A279">
        <f t="shared" si="1"/>
        <v>1.6666666666666667</v>
      </c>
      <c r="B279">
        <v>6</v>
      </c>
      <c r="C279">
        <v>30</v>
      </c>
      <c r="D279" s="15">
        <v>13.2</v>
      </c>
      <c r="E279">
        <v>12.962014939170638</v>
      </c>
      <c r="F279">
        <v>8.6682427107959015</v>
      </c>
      <c r="G279" s="9">
        <v>1.62</v>
      </c>
      <c r="H279">
        <v>-1.7545871559633026</v>
      </c>
      <c r="I279" s="7">
        <v>8.15</v>
      </c>
      <c r="J279" s="11">
        <v>6.9100200000000002E-3</v>
      </c>
      <c r="K279">
        <v>1.1334448707642151</v>
      </c>
    </row>
    <row r="280" spans="1:11" x14ac:dyDescent="0.3">
      <c r="A280">
        <f t="shared" si="1"/>
        <v>1.6666666666666667</v>
      </c>
      <c r="B280">
        <v>6</v>
      </c>
      <c r="C280">
        <v>30</v>
      </c>
      <c r="D280" s="15">
        <v>16.5</v>
      </c>
      <c r="E280">
        <v>13.121058067258621</v>
      </c>
      <c r="F280">
        <v>10.835303388494877</v>
      </c>
      <c r="G280" s="9">
        <v>1.62</v>
      </c>
      <c r="H280">
        <v>-1.7545871559633026</v>
      </c>
      <c r="I280" s="7">
        <v>8.25</v>
      </c>
      <c r="J280" s="11">
        <v>6.9100200000000002E-3</v>
      </c>
      <c r="K280">
        <v>0.70165761530959359</v>
      </c>
    </row>
    <row r="281" spans="1:11" x14ac:dyDescent="0.3">
      <c r="A281">
        <f t="shared" si="1"/>
        <v>1.6666666666666667</v>
      </c>
      <c r="B281">
        <v>6</v>
      </c>
      <c r="C281">
        <v>30</v>
      </c>
      <c r="D281" s="15">
        <v>19.8</v>
      </c>
      <c r="E281">
        <v>20.357520395261862</v>
      </c>
      <c r="F281">
        <v>13.002364066193854</v>
      </c>
      <c r="G281" s="9">
        <v>1.62</v>
      </c>
      <c r="H281">
        <v>-1.7545871559633026</v>
      </c>
      <c r="I281" s="7">
        <v>12.8</v>
      </c>
      <c r="J281" s="11">
        <v>6.9100200000000002E-3</v>
      </c>
      <c r="K281">
        <v>-0.47582976403041327</v>
      </c>
    </row>
    <row r="282" spans="1:11" x14ac:dyDescent="0.3">
      <c r="A282">
        <f t="shared" si="1"/>
        <v>1.6666666666666667</v>
      </c>
      <c r="B282">
        <v>6</v>
      </c>
      <c r="C282">
        <v>30</v>
      </c>
      <c r="D282" s="16">
        <v>23.5</v>
      </c>
      <c r="E282">
        <v>24.110938218138266</v>
      </c>
      <c r="F282">
        <v>15.432098765432098</v>
      </c>
      <c r="G282" s="9">
        <v>1.62</v>
      </c>
      <c r="H282">
        <v>-1.7545871559633026</v>
      </c>
      <c r="I282" s="7">
        <v>15.16</v>
      </c>
      <c r="J282" s="11">
        <v>6.9100200000000002E-3</v>
      </c>
      <c r="K282">
        <v>-0.8088190848000002</v>
      </c>
    </row>
    <row r="283" spans="1:11" x14ac:dyDescent="0.3">
      <c r="A283">
        <f t="shared" si="1"/>
        <v>1.6666666666666667</v>
      </c>
      <c r="B283">
        <v>1</v>
      </c>
      <c r="C283">
        <v>40</v>
      </c>
      <c r="D283" s="15">
        <v>3.9</v>
      </c>
      <c r="E283">
        <v>0</v>
      </c>
      <c r="F283">
        <v>1.9208037825059101</v>
      </c>
      <c r="G283" s="9">
        <v>2.16</v>
      </c>
      <c r="H283">
        <v>-0.77981651376146777</v>
      </c>
      <c r="I283" s="7">
        <v>0</v>
      </c>
      <c r="J283" s="11">
        <v>8.7799999999999996E-3</v>
      </c>
      <c r="K283">
        <v>53.688632274677403</v>
      </c>
    </row>
    <row r="284" spans="1:11" x14ac:dyDescent="0.3">
      <c r="A284">
        <f t="shared" si="1"/>
        <v>1.6666666666666667</v>
      </c>
      <c r="B284">
        <v>1</v>
      </c>
      <c r="C284">
        <v>40</v>
      </c>
      <c r="D284" s="15">
        <v>7.8</v>
      </c>
      <c r="E284">
        <v>2.1470822291877742</v>
      </c>
      <c r="F284">
        <v>3.8416075650118202</v>
      </c>
      <c r="G284" s="9">
        <v>2.16</v>
      </c>
      <c r="H284">
        <v>-1.7545871559633026</v>
      </c>
      <c r="I284" s="7">
        <v>1.35</v>
      </c>
      <c r="J284" s="11">
        <v>8.7799999999999996E-3</v>
      </c>
      <c r="K284">
        <v>13.212220355343906</v>
      </c>
    </row>
    <row r="285" spans="1:11" x14ac:dyDescent="0.3">
      <c r="A285">
        <f t="shared" si="1"/>
        <v>1.6666666666666667</v>
      </c>
      <c r="B285">
        <v>1</v>
      </c>
      <c r="C285">
        <v>40</v>
      </c>
      <c r="D285" s="15">
        <v>11.7</v>
      </c>
      <c r="E285">
        <v>4.5645377761251202</v>
      </c>
      <c r="F285">
        <v>5.7624113475177312</v>
      </c>
      <c r="G285" s="9">
        <v>2.16</v>
      </c>
      <c r="H285">
        <v>-1.7545871559633026</v>
      </c>
      <c r="I285" s="7">
        <v>2.87</v>
      </c>
      <c r="J285" s="11">
        <v>8.7799999999999996E-3</v>
      </c>
      <c r="K285">
        <v>5.5437030036298225</v>
      </c>
    </row>
    <row r="286" spans="1:11" x14ac:dyDescent="0.3">
      <c r="A286">
        <f t="shared" si="1"/>
        <v>1.6666666666666667</v>
      </c>
      <c r="B286">
        <v>1</v>
      </c>
      <c r="C286">
        <v>40</v>
      </c>
      <c r="D286" s="15">
        <v>15.6</v>
      </c>
      <c r="E286">
        <v>8.1271038452959452</v>
      </c>
      <c r="F286">
        <v>7.6832151300236404</v>
      </c>
      <c r="G286" s="9">
        <v>2.16</v>
      </c>
      <c r="H286">
        <v>-1.7545871559633026</v>
      </c>
      <c r="I286" s="7">
        <v>5.1100000000000003</v>
      </c>
      <c r="J286" s="11">
        <v>8.7799999999999996E-3</v>
      </c>
      <c r="K286">
        <v>2.6035622107029588</v>
      </c>
    </row>
    <row r="287" spans="1:11" x14ac:dyDescent="0.3">
      <c r="A287">
        <f t="shared" si="1"/>
        <v>1.6666666666666667</v>
      </c>
      <c r="B287">
        <v>1</v>
      </c>
      <c r="C287">
        <v>40</v>
      </c>
      <c r="D287" s="15">
        <v>19.5</v>
      </c>
      <c r="E287">
        <v>13.868560769272142</v>
      </c>
      <c r="F287">
        <v>9.6040189125295505</v>
      </c>
      <c r="G287" s="9">
        <v>2.16</v>
      </c>
      <c r="H287">
        <v>-1.7545871559633026</v>
      </c>
      <c r="I287" s="7">
        <v>8.7200000000000006</v>
      </c>
      <c r="J287" s="11">
        <v>8.7799999999999996E-3</v>
      </c>
      <c r="K287">
        <v>0.74610087323781304</v>
      </c>
    </row>
    <row r="288" spans="1:11" x14ac:dyDescent="0.3">
      <c r="A288">
        <f t="shared" si="1"/>
        <v>1.6666666666666667</v>
      </c>
      <c r="B288">
        <v>1</v>
      </c>
      <c r="C288">
        <v>40</v>
      </c>
      <c r="D288" s="15">
        <v>23.4</v>
      </c>
      <c r="E288">
        <v>19.753156508527525</v>
      </c>
      <c r="F288">
        <v>11.524822695035462</v>
      </c>
      <c r="G288" s="9">
        <v>2.16</v>
      </c>
      <c r="H288">
        <v>-1.7545871559633026</v>
      </c>
      <c r="I288" s="7">
        <v>12.42</v>
      </c>
      <c r="J288" s="11">
        <v>8.7799999999999996E-3</v>
      </c>
      <c r="K288">
        <v>-0.48299666524402307</v>
      </c>
    </row>
    <row r="289" spans="1:11" x14ac:dyDescent="0.3">
      <c r="A289">
        <f t="shared" si="1"/>
        <v>1.6666666666666667</v>
      </c>
      <c r="B289">
        <v>1</v>
      </c>
      <c r="C289">
        <v>40</v>
      </c>
      <c r="D289" s="16">
        <v>26.8</v>
      </c>
      <c r="E289">
        <v>23.808756274771095</v>
      </c>
      <c r="F289">
        <v>13.199369582348307</v>
      </c>
      <c r="G289" s="9">
        <v>2.16</v>
      </c>
      <c r="H289">
        <v>-1.7545871559633026</v>
      </c>
      <c r="I289" s="7">
        <v>14.97</v>
      </c>
      <c r="J289" s="11">
        <v>8.7799999999999996E-3</v>
      </c>
      <c r="K289">
        <v>-1.0497330137549028</v>
      </c>
    </row>
    <row r="290" spans="1:11" x14ac:dyDescent="0.3">
      <c r="A290">
        <f t="shared" si="1"/>
        <v>1.6666666666666667</v>
      </c>
      <c r="B290">
        <v>2</v>
      </c>
      <c r="C290">
        <v>40</v>
      </c>
      <c r="D290" s="15">
        <v>3.9</v>
      </c>
      <c r="E290">
        <v>1.0337803325718913</v>
      </c>
      <c r="F290">
        <v>1.9208037825059101</v>
      </c>
      <c r="G290" s="9">
        <v>2.16</v>
      </c>
      <c r="H290">
        <v>-1.7545871559633026</v>
      </c>
      <c r="I290" s="7">
        <v>0.65</v>
      </c>
      <c r="J290" s="11">
        <v>8.7799999999999996E-3</v>
      </c>
      <c r="K290">
        <v>53.493957522677398</v>
      </c>
    </row>
    <row r="291" spans="1:11" x14ac:dyDescent="0.3">
      <c r="A291">
        <f t="shared" si="1"/>
        <v>1.6666666666666667</v>
      </c>
      <c r="B291">
        <v>2</v>
      </c>
      <c r="C291">
        <v>40</v>
      </c>
      <c r="D291" s="15">
        <v>7.8</v>
      </c>
      <c r="E291">
        <v>3.4353315667004387</v>
      </c>
      <c r="F291">
        <v>3.8416075650118202</v>
      </c>
      <c r="G291" s="9">
        <v>2.16</v>
      </c>
      <c r="H291">
        <v>-1.7545871559633026</v>
      </c>
      <c r="I291" s="7">
        <v>2.16</v>
      </c>
      <c r="J291" s="11">
        <v>8.7799999999999996E-3</v>
      </c>
      <c r="K291">
        <v>12.884717522556215</v>
      </c>
    </row>
    <row r="292" spans="1:11" x14ac:dyDescent="0.3">
      <c r="A292">
        <f t="shared" si="1"/>
        <v>1.6666666666666667</v>
      </c>
      <c r="B292">
        <v>2</v>
      </c>
      <c r="C292">
        <v>40</v>
      </c>
      <c r="D292" s="15">
        <v>11.7</v>
      </c>
      <c r="E292">
        <v>7.6817830866495926</v>
      </c>
      <c r="F292">
        <v>5.7624113475177312</v>
      </c>
      <c r="G292" s="9">
        <v>2.16</v>
      </c>
      <c r="H292">
        <v>-1.7545871559633026</v>
      </c>
      <c r="I292" s="7">
        <v>4.83</v>
      </c>
      <c r="J292" s="11">
        <v>8.7799999999999996E-3</v>
      </c>
      <c r="K292">
        <v>4.771045184515029</v>
      </c>
    </row>
    <row r="293" spans="1:11" x14ac:dyDescent="0.3">
      <c r="A293">
        <f t="shared" si="1"/>
        <v>1.6666666666666667</v>
      </c>
      <c r="B293">
        <v>2</v>
      </c>
      <c r="C293">
        <v>40</v>
      </c>
      <c r="D293" s="15">
        <v>15.6</v>
      </c>
      <c r="E293">
        <v>14.123029774212915</v>
      </c>
      <c r="F293">
        <v>7.6832151300236404</v>
      </c>
      <c r="G293" s="9">
        <v>2.16</v>
      </c>
      <c r="H293">
        <v>-1.7545871559633026</v>
      </c>
      <c r="I293" s="7">
        <v>8.8800000000000008</v>
      </c>
      <c r="J293" s="11">
        <v>8.7799999999999996E-3</v>
      </c>
      <c r="K293">
        <v>1.0846873331275737</v>
      </c>
    </row>
    <row r="294" spans="1:11" x14ac:dyDescent="0.3">
      <c r="A294">
        <f t="shared" si="1"/>
        <v>1.6666666666666667</v>
      </c>
      <c r="B294">
        <v>2</v>
      </c>
      <c r="C294">
        <v>40</v>
      </c>
      <c r="D294" s="15">
        <v>19.5</v>
      </c>
      <c r="E294">
        <v>20.182572954365078</v>
      </c>
      <c r="F294">
        <v>9.6040189125295505</v>
      </c>
      <c r="G294" s="9">
        <v>2.16</v>
      </c>
      <c r="H294">
        <v>-1.7545871559633026</v>
      </c>
      <c r="I294" s="7">
        <v>12.69</v>
      </c>
      <c r="J294" s="11">
        <v>8.7799999999999996E-3</v>
      </c>
      <c r="K294">
        <v>-0.82047012492269777</v>
      </c>
    </row>
    <row r="295" spans="1:11" x14ac:dyDescent="0.3">
      <c r="A295">
        <f t="shared" si="1"/>
        <v>1.6666666666666667</v>
      </c>
      <c r="B295">
        <v>2</v>
      </c>
      <c r="C295">
        <v>40</v>
      </c>
      <c r="D295" s="15">
        <v>23.4</v>
      </c>
      <c r="E295">
        <v>25.351474617224532</v>
      </c>
      <c r="F295">
        <v>11.524822695035462</v>
      </c>
      <c r="G295" s="9">
        <v>2.16</v>
      </c>
      <c r="H295">
        <v>-1.7545871559633026</v>
      </c>
      <c r="I295" s="7">
        <v>15.94</v>
      </c>
      <c r="J295" s="11">
        <v>8.7799999999999996E-3</v>
      </c>
      <c r="K295">
        <v>-1.7606978751621296</v>
      </c>
    </row>
    <row r="296" spans="1:11" x14ac:dyDescent="0.3">
      <c r="A296">
        <f t="shared" si="1"/>
        <v>1.6666666666666667</v>
      </c>
      <c r="B296">
        <v>2</v>
      </c>
      <c r="C296">
        <v>40</v>
      </c>
      <c r="D296" s="16">
        <v>26.8</v>
      </c>
      <c r="E296">
        <v>30.122768459864034</v>
      </c>
      <c r="F296">
        <v>13.199369582348307</v>
      </c>
      <c r="G296" s="9">
        <v>2.16</v>
      </c>
      <c r="H296">
        <v>-1.7545871559633026</v>
      </c>
      <c r="I296" s="7">
        <v>18.940000000000001</v>
      </c>
      <c r="J296" s="11">
        <v>8.7799999999999996E-3</v>
      </c>
      <c r="K296">
        <v>-2.3633260557722426</v>
      </c>
    </row>
    <row r="297" spans="1:11" x14ac:dyDescent="0.3">
      <c r="A297">
        <f t="shared" si="1"/>
        <v>1.6666666666666667</v>
      </c>
      <c r="B297">
        <v>4</v>
      </c>
      <c r="C297">
        <v>40</v>
      </c>
      <c r="D297" s="15">
        <v>3.9</v>
      </c>
      <c r="E297">
        <v>0.9542587685278997</v>
      </c>
      <c r="F297">
        <v>1.9208037825059101</v>
      </c>
      <c r="G297" s="9">
        <v>2.16</v>
      </c>
      <c r="H297">
        <v>-1.7545871559633026</v>
      </c>
      <c r="I297" s="7">
        <v>0.6</v>
      </c>
      <c r="J297" s="11">
        <v>8.7799999999999996E-3</v>
      </c>
      <c r="K297">
        <v>53.522755562914085</v>
      </c>
    </row>
    <row r="298" spans="1:11" x14ac:dyDescent="0.3">
      <c r="A298">
        <f t="shared" si="1"/>
        <v>1.6666666666666667</v>
      </c>
      <c r="B298">
        <v>4</v>
      </c>
      <c r="C298">
        <v>40</v>
      </c>
      <c r="D298" s="15">
        <v>7.8</v>
      </c>
      <c r="E298">
        <v>3.7534178228764055</v>
      </c>
      <c r="F298">
        <v>3.8416075650118202</v>
      </c>
      <c r="G298" s="9">
        <v>2.16</v>
      </c>
      <c r="H298">
        <v>-1.7545871559633026</v>
      </c>
      <c r="I298" s="7">
        <v>2.36</v>
      </c>
      <c r="J298" s="11">
        <v>8.7799999999999996E-3</v>
      </c>
      <c r="K298">
        <v>12.780583809060355</v>
      </c>
    </row>
    <row r="299" spans="1:11" x14ac:dyDescent="0.3">
      <c r="A299">
        <f t="shared" si="1"/>
        <v>1.6666666666666667</v>
      </c>
      <c r="B299">
        <v>4</v>
      </c>
      <c r="C299">
        <v>40</v>
      </c>
      <c r="D299" s="15">
        <v>11.7</v>
      </c>
      <c r="E299">
        <v>8.0157736556343568</v>
      </c>
      <c r="F299">
        <v>5.7624113475177312</v>
      </c>
      <c r="G299" s="9">
        <v>2.16</v>
      </c>
      <c r="H299">
        <v>-1.7545871559633026</v>
      </c>
      <c r="I299" s="7">
        <v>5.04</v>
      </c>
      <c r="J299" s="11">
        <v>8.7799999999999996E-3</v>
      </c>
      <c r="K299">
        <v>4.6649301658508868</v>
      </c>
    </row>
    <row r="300" spans="1:11" x14ac:dyDescent="0.3">
      <c r="A300">
        <f t="shared" ref="A300:A338" si="2">100/60</f>
        <v>1.6666666666666667</v>
      </c>
      <c r="B300">
        <v>4</v>
      </c>
      <c r="C300">
        <v>40</v>
      </c>
      <c r="D300" s="15">
        <v>15.6</v>
      </c>
      <c r="E300">
        <v>12.119086360304326</v>
      </c>
      <c r="F300">
        <v>7.6832151300236404</v>
      </c>
      <c r="G300" s="9">
        <v>2.16</v>
      </c>
      <c r="H300">
        <v>-1.7545871559633026</v>
      </c>
      <c r="I300" s="7">
        <v>7.62</v>
      </c>
      <c r="J300" s="11">
        <v>8.7799999999999996E-3</v>
      </c>
      <c r="K300">
        <v>1.6833985896482841</v>
      </c>
    </row>
    <row r="301" spans="1:11" x14ac:dyDescent="0.3">
      <c r="A301">
        <f t="shared" si="2"/>
        <v>1.6666666666666667</v>
      </c>
      <c r="B301">
        <v>4</v>
      </c>
      <c r="C301">
        <v>40</v>
      </c>
      <c r="D301" s="15">
        <v>19.5</v>
      </c>
      <c r="E301">
        <v>14.297977215109697</v>
      </c>
      <c r="F301">
        <v>9.6040189125295505</v>
      </c>
      <c r="G301" s="9">
        <v>2.16</v>
      </c>
      <c r="H301">
        <v>-1.7545871559633026</v>
      </c>
      <c r="I301" s="7">
        <v>8.99</v>
      </c>
      <c r="J301" s="11">
        <v>8.7799999999999996E-3</v>
      </c>
      <c r="K301">
        <v>0.65797057627796462</v>
      </c>
    </row>
    <row r="302" spans="1:11" x14ac:dyDescent="0.3">
      <c r="A302">
        <f t="shared" si="2"/>
        <v>1.6666666666666667</v>
      </c>
      <c r="B302">
        <v>4</v>
      </c>
      <c r="C302">
        <v>40</v>
      </c>
      <c r="D302" s="15">
        <v>23.4</v>
      </c>
      <c r="E302">
        <v>18.798897739999624</v>
      </c>
      <c r="F302">
        <v>11.524822695035462</v>
      </c>
      <c r="G302" s="9">
        <v>2.16</v>
      </c>
      <c r="H302">
        <v>-1.7545871559633026</v>
      </c>
      <c r="I302" s="7">
        <v>11.82</v>
      </c>
      <c r="J302" s="11">
        <v>8.7799999999999996E-3</v>
      </c>
      <c r="K302">
        <v>-0.29684613315408259</v>
      </c>
    </row>
    <row r="303" spans="1:11" x14ac:dyDescent="0.3">
      <c r="A303">
        <f t="shared" si="2"/>
        <v>1.6666666666666667</v>
      </c>
      <c r="B303">
        <v>4</v>
      </c>
      <c r="C303">
        <v>40</v>
      </c>
      <c r="D303" s="16">
        <v>26.9</v>
      </c>
      <c r="E303">
        <v>23.204392388036759</v>
      </c>
      <c r="F303">
        <v>13.248620961386919</v>
      </c>
      <c r="G303" s="9">
        <v>2.16</v>
      </c>
      <c r="H303">
        <v>-1.7545871559633026</v>
      </c>
      <c r="I303" s="7">
        <v>14.59</v>
      </c>
      <c r="J303" s="11">
        <v>8.7799999999999996E-3</v>
      </c>
      <c r="K303">
        <v>-0.93315115579629893</v>
      </c>
    </row>
    <row r="304" spans="1:11" x14ac:dyDescent="0.3">
      <c r="A304">
        <f t="shared" si="2"/>
        <v>1.6666666666666667</v>
      </c>
      <c r="B304">
        <v>6</v>
      </c>
      <c r="C304">
        <v>40</v>
      </c>
      <c r="D304" s="15">
        <v>3.9</v>
      </c>
      <c r="E304">
        <v>0.92245014291030292</v>
      </c>
      <c r="F304">
        <v>1.9208037825059101</v>
      </c>
      <c r="G304" s="9">
        <v>2.16</v>
      </c>
      <c r="H304">
        <v>-1.7545871559633026</v>
      </c>
      <c r="I304" s="7">
        <v>0.57999999999999996</v>
      </c>
      <c r="J304" s="11">
        <v>8.7799799999999997E-3</v>
      </c>
      <c r="K304">
        <v>53.533629702907461</v>
      </c>
    </row>
    <row r="305" spans="1:11" x14ac:dyDescent="0.3">
      <c r="A305">
        <f t="shared" si="2"/>
        <v>1.6666666666666667</v>
      </c>
      <c r="B305">
        <v>6</v>
      </c>
      <c r="C305">
        <v>40</v>
      </c>
      <c r="D305" s="15">
        <v>7.8</v>
      </c>
      <c r="E305">
        <v>3.5784703819796233</v>
      </c>
      <c r="F305">
        <v>3.8416075650118202</v>
      </c>
      <c r="G305" s="9">
        <v>2.16</v>
      </c>
      <c r="H305">
        <v>-1.7545871559633026</v>
      </c>
      <c r="I305" s="7">
        <v>2.25</v>
      </c>
      <c r="J305" s="11">
        <v>8.7799799999999997E-3</v>
      </c>
      <c r="K305">
        <v>12.838997753876452</v>
      </c>
    </row>
    <row r="306" spans="1:11" x14ac:dyDescent="0.3">
      <c r="A306">
        <f t="shared" si="2"/>
        <v>1.6666666666666667</v>
      </c>
      <c r="B306">
        <v>6</v>
      </c>
      <c r="C306">
        <v>40</v>
      </c>
      <c r="D306" s="15">
        <v>11.7</v>
      </c>
      <c r="E306">
        <v>6.6957156925040966</v>
      </c>
      <c r="F306">
        <v>5.7624113475177312</v>
      </c>
      <c r="G306" s="9">
        <v>2.16</v>
      </c>
      <c r="H306">
        <v>-1.7545871559633026</v>
      </c>
      <c r="I306" s="7">
        <v>4.21</v>
      </c>
      <c r="J306" s="11">
        <v>8.7799799999999997E-3</v>
      </c>
      <c r="K306">
        <v>5.0579914172591716</v>
      </c>
    </row>
    <row r="307" spans="1:11" x14ac:dyDescent="0.3">
      <c r="A307">
        <f t="shared" si="2"/>
        <v>1.6666666666666667</v>
      </c>
      <c r="B307">
        <v>6</v>
      </c>
      <c r="C307">
        <v>40</v>
      </c>
      <c r="D307" s="15">
        <v>15.6</v>
      </c>
      <c r="E307">
        <v>8.9223194857358621</v>
      </c>
      <c r="F307">
        <v>7.6832151300236404</v>
      </c>
      <c r="G307" s="9">
        <v>2.16</v>
      </c>
      <c r="H307">
        <v>-1.7545871559633026</v>
      </c>
      <c r="I307" s="7">
        <v>5.61</v>
      </c>
      <c r="J307" s="11">
        <v>8.7799799999999997E-3</v>
      </c>
      <c r="K307">
        <v>2.4492047150343197</v>
      </c>
    </row>
    <row r="308" spans="1:11" x14ac:dyDescent="0.3">
      <c r="A308">
        <f t="shared" si="2"/>
        <v>1.6666666666666667</v>
      </c>
      <c r="B308">
        <v>6</v>
      </c>
      <c r="C308">
        <v>40</v>
      </c>
      <c r="D308" s="15">
        <v>19.5</v>
      </c>
      <c r="E308">
        <v>9.9242911926901556</v>
      </c>
      <c r="F308">
        <v>9.6040189125295505</v>
      </c>
      <c r="G308" s="9">
        <v>2.16</v>
      </c>
      <c r="H308">
        <v>-1.7545871559633026</v>
      </c>
      <c r="I308" s="7">
        <v>6.24</v>
      </c>
      <c r="J308" s="11">
        <v>8.7799799999999997E-3</v>
      </c>
      <c r="K308">
        <v>1.4298962852142962</v>
      </c>
    </row>
    <row r="309" spans="1:11" x14ac:dyDescent="0.3">
      <c r="A309">
        <f t="shared" si="2"/>
        <v>1.6666666666666667</v>
      </c>
      <c r="B309">
        <v>6</v>
      </c>
      <c r="C309">
        <v>40</v>
      </c>
      <c r="D309" s="15">
        <v>23.4</v>
      </c>
      <c r="E309">
        <v>14.218455651065705</v>
      </c>
      <c r="F309">
        <v>11.524822695035462</v>
      </c>
      <c r="G309" s="9">
        <v>2.16</v>
      </c>
      <c r="H309">
        <v>-1.7545871559633026</v>
      </c>
      <c r="I309" s="7">
        <v>8.94</v>
      </c>
      <c r="J309" s="11">
        <v>8.7799799999999997E-3</v>
      </c>
      <c r="K309">
        <v>0.46839843044733737</v>
      </c>
    </row>
    <row r="310" spans="1:11" x14ac:dyDescent="0.3">
      <c r="A310">
        <f t="shared" si="2"/>
        <v>1.6666666666666667</v>
      </c>
      <c r="B310">
        <v>6</v>
      </c>
      <c r="C310">
        <v>40</v>
      </c>
      <c r="D310" s="16">
        <v>26.7</v>
      </c>
      <c r="E310">
        <v>16.874475890135024</v>
      </c>
      <c r="F310">
        <v>13.150118203309693</v>
      </c>
      <c r="G310" s="9">
        <v>2.16</v>
      </c>
      <c r="H310">
        <v>-1.7545871559633026</v>
      </c>
      <c r="I310" s="7">
        <v>10.61</v>
      </c>
      <c r="J310" s="11">
        <v>8.7799799999999997E-3</v>
      </c>
      <c r="K310">
        <v>3.880830634677454E-2</v>
      </c>
    </row>
    <row r="311" spans="1:11" x14ac:dyDescent="0.3">
      <c r="A311">
        <f t="shared" si="2"/>
        <v>1.6666666666666667</v>
      </c>
      <c r="B311">
        <v>1</v>
      </c>
      <c r="C311">
        <v>60</v>
      </c>
      <c r="D311" s="15">
        <v>4.5999999999999996</v>
      </c>
      <c r="E311">
        <v>0</v>
      </c>
      <c r="F311">
        <v>1.510375623850801</v>
      </c>
      <c r="G311" s="9">
        <v>3.24</v>
      </c>
      <c r="H311">
        <v>-0.77981651376146777</v>
      </c>
      <c r="I311" s="7">
        <v>0</v>
      </c>
      <c r="J311" s="11">
        <v>1.205E-2</v>
      </c>
      <c r="K311">
        <v>86.83172107845688</v>
      </c>
    </row>
    <row r="312" spans="1:11" x14ac:dyDescent="0.3">
      <c r="A312">
        <f t="shared" si="2"/>
        <v>1.6666666666666667</v>
      </c>
      <c r="B312">
        <v>1</v>
      </c>
      <c r="C312">
        <v>60</v>
      </c>
      <c r="D312" s="15">
        <v>9.1999999999999993</v>
      </c>
      <c r="E312">
        <v>1.0337803325718913</v>
      </c>
      <c r="F312">
        <v>3.0207512477016021</v>
      </c>
      <c r="G312" s="9">
        <v>3.24</v>
      </c>
      <c r="H312">
        <v>-1.7545871559633026</v>
      </c>
      <c r="I312" s="7">
        <v>0.65</v>
      </c>
      <c r="J312" s="11">
        <v>1.205E-2</v>
      </c>
      <c r="K312">
        <v>21.629217406897773</v>
      </c>
    </row>
    <row r="313" spans="1:11" x14ac:dyDescent="0.3">
      <c r="A313">
        <f t="shared" si="2"/>
        <v>1.6666666666666667</v>
      </c>
      <c r="B313">
        <v>1</v>
      </c>
      <c r="C313">
        <v>60</v>
      </c>
      <c r="D313" s="15">
        <v>13.8</v>
      </c>
      <c r="E313">
        <v>3.3240013770388499</v>
      </c>
      <c r="F313">
        <v>4.5311268715524031</v>
      </c>
      <c r="G313" s="9">
        <v>3.24</v>
      </c>
      <c r="H313">
        <v>-1.7545871559633026</v>
      </c>
      <c r="I313" s="7">
        <v>2.09</v>
      </c>
      <c r="J313" s="11">
        <v>1.205E-2</v>
      </c>
      <c r="K313">
        <v>9.2862852158109668</v>
      </c>
    </row>
    <row r="314" spans="1:11" x14ac:dyDescent="0.3">
      <c r="A314">
        <f t="shared" si="2"/>
        <v>1.6666666666666667</v>
      </c>
      <c r="B314">
        <v>1</v>
      </c>
      <c r="C314">
        <v>60</v>
      </c>
      <c r="D314" s="15">
        <v>18.399999999999999</v>
      </c>
      <c r="E314">
        <v>6.5843855028425065</v>
      </c>
      <c r="F314">
        <v>6.0415024954032042</v>
      </c>
      <c r="G314" s="9">
        <v>3.24</v>
      </c>
      <c r="H314">
        <v>-1.7545871559633026</v>
      </c>
      <c r="I314" s="7">
        <v>4.1399999999999997</v>
      </c>
      <c r="J314" s="11">
        <v>1.205E-2</v>
      </c>
      <c r="K314">
        <v>4.6286944124835552</v>
      </c>
    </row>
    <row r="315" spans="1:11" x14ac:dyDescent="0.3">
      <c r="A315">
        <f t="shared" si="2"/>
        <v>1.6666666666666667</v>
      </c>
      <c r="B315">
        <v>1</v>
      </c>
      <c r="C315">
        <v>60</v>
      </c>
      <c r="D315" s="15">
        <v>23</v>
      </c>
      <c r="E315">
        <v>10.480942140998097</v>
      </c>
      <c r="F315">
        <v>7.5518781192540052</v>
      </c>
      <c r="G315" s="9">
        <v>3.24</v>
      </c>
      <c r="H315">
        <v>-1.7545871559633026</v>
      </c>
      <c r="I315" s="7">
        <v>6.59</v>
      </c>
      <c r="J315" s="11">
        <v>1.205E-2</v>
      </c>
      <c r="K315">
        <v>2.1787457384429496</v>
      </c>
    </row>
    <row r="316" spans="1:11" x14ac:dyDescent="0.3">
      <c r="A316">
        <f t="shared" si="2"/>
        <v>1.6666666666666667</v>
      </c>
      <c r="B316">
        <v>1</v>
      </c>
      <c r="C316">
        <v>60</v>
      </c>
      <c r="D316" s="15">
        <v>27.6</v>
      </c>
      <c r="E316">
        <v>14.791010912182447</v>
      </c>
      <c r="F316">
        <v>9.0622537431048062</v>
      </c>
      <c r="G316" s="9">
        <v>3.24</v>
      </c>
      <c r="H316">
        <v>-1.7545871559633026</v>
      </c>
      <c r="I316" s="7">
        <v>9.3000000000000007</v>
      </c>
      <c r="J316" s="11">
        <v>1.205E-2</v>
      </c>
      <c r="K316">
        <v>0.62162394281829869</v>
      </c>
    </row>
    <row r="317" spans="1:11" x14ac:dyDescent="0.3">
      <c r="A317">
        <f t="shared" si="2"/>
        <v>1.6666666666666667</v>
      </c>
      <c r="B317">
        <v>1</v>
      </c>
      <c r="C317">
        <v>60</v>
      </c>
      <c r="D317" s="16">
        <v>32.6</v>
      </c>
      <c r="E317">
        <v>18.782993427190824</v>
      </c>
      <c r="F317">
        <v>10.703966377725243</v>
      </c>
      <c r="G317" s="9">
        <v>3.24</v>
      </c>
      <c r="H317">
        <v>-1.7545871559633026</v>
      </c>
      <c r="I317" s="7">
        <v>11.81</v>
      </c>
      <c r="J317" s="11">
        <v>1.205E-2</v>
      </c>
      <c r="K317">
        <v>-0.34061431682736992</v>
      </c>
    </row>
    <row r="318" spans="1:11" x14ac:dyDescent="0.3">
      <c r="A318">
        <f t="shared" si="2"/>
        <v>1.6666666666666667</v>
      </c>
      <c r="B318">
        <v>2</v>
      </c>
      <c r="C318">
        <v>60</v>
      </c>
      <c r="D318" s="15">
        <v>4.5999999999999996</v>
      </c>
      <c r="E318">
        <v>0</v>
      </c>
      <c r="F318">
        <v>1.510375623850801</v>
      </c>
      <c r="G318" s="9">
        <v>3.24</v>
      </c>
      <c r="H318">
        <v>-0.77981651376146777</v>
      </c>
      <c r="I318" s="7">
        <v>0</v>
      </c>
      <c r="J318" s="11">
        <v>1.205E-2</v>
      </c>
      <c r="K318">
        <v>86.83172107845688</v>
      </c>
    </row>
    <row r="319" spans="1:11" x14ac:dyDescent="0.3">
      <c r="A319">
        <f t="shared" si="2"/>
        <v>1.6666666666666667</v>
      </c>
      <c r="B319">
        <v>2</v>
      </c>
      <c r="C319">
        <v>60</v>
      </c>
      <c r="D319" s="15">
        <v>9.1999999999999993</v>
      </c>
      <c r="E319">
        <v>2.1947951676141688</v>
      </c>
      <c r="F319">
        <v>3.0207512477016021</v>
      </c>
      <c r="G319" s="9">
        <v>3.24</v>
      </c>
      <c r="H319">
        <v>-1.7545871559633026</v>
      </c>
      <c r="I319" s="7">
        <v>1.38</v>
      </c>
      <c r="J319" s="11">
        <v>1.205E-2</v>
      </c>
      <c r="K319">
        <v>21.353135534094221</v>
      </c>
    </row>
    <row r="320" spans="1:11" x14ac:dyDescent="0.3">
      <c r="A320">
        <f t="shared" si="2"/>
        <v>1.6666666666666667</v>
      </c>
      <c r="B320">
        <v>2</v>
      </c>
      <c r="C320">
        <v>60</v>
      </c>
      <c r="D320" s="15">
        <v>13.8</v>
      </c>
      <c r="E320">
        <v>4.2623558327579518</v>
      </c>
      <c r="F320">
        <v>4.5311268715524031</v>
      </c>
      <c r="G320" s="9">
        <v>3.24</v>
      </c>
      <c r="H320">
        <v>-1.7545871559633026</v>
      </c>
      <c r="I320" s="7">
        <v>2.68</v>
      </c>
      <c r="J320" s="11">
        <v>1.205E-2</v>
      </c>
      <c r="K320">
        <v>9.0532578816435567</v>
      </c>
    </row>
    <row r="321" spans="1:11" x14ac:dyDescent="0.3">
      <c r="A321">
        <f t="shared" si="2"/>
        <v>1.6666666666666667</v>
      </c>
      <c r="B321">
        <v>2</v>
      </c>
      <c r="C321">
        <v>60</v>
      </c>
      <c r="D321" s="15">
        <v>18.399999999999999</v>
      </c>
      <c r="E321">
        <v>7.0297062614888599</v>
      </c>
      <c r="F321">
        <v>6.0415024954032042</v>
      </c>
      <c r="G321" s="9">
        <v>3.24</v>
      </c>
      <c r="H321">
        <v>-1.7545871559633026</v>
      </c>
      <c r="I321" s="7">
        <v>4.42</v>
      </c>
      <c r="J321" s="11">
        <v>1.205E-2</v>
      </c>
      <c r="K321">
        <v>4.5170618744014375</v>
      </c>
    </row>
    <row r="322" spans="1:11" x14ac:dyDescent="0.3">
      <c r="A322">
        <f t="shared" si="2"/>
        <v>1.6666666666666667</v>
      </c>
      <c r="B322">
        <v>2</v>
      </c>
      <c r="C322">
        <v>60</v>
      </c>
      <c r="D322" s="15">
        <v>23</v>
      </c>
      <c r="E322">
        <v>8.8746065473094671</v>
      </c>
      <c r="F322">
        <v>7.5518781192540052</v>
      </c>
      <c r="G322" s="9">
        <v>3.24</v>
      </c>
      <c r="H322">
        <v>-1.7545871559633026</v>
      </c>
      <c r="I322" s="7">
        <v>5.58</v>
      </c>
      <c r="J322" s="11">
        <v>1.205E-2</v>
      </c>
      <c r="K322">
        <v>2.5451419115655023</v>
      </c>
    </row>
    <row r="323" spans="1:11" x14ac:dyDescent="0.3">
      <c r="A323">
        <f t="shared" si="2"/>
        <v>1.6666666666666667</v>
      </c>
      <c r="B323">
        <v>2</v>
      </c>
      <c r="C323">
        <v>60</v>
      </c>
      <c r="D323" s="15">
        <v>27.6</v>
      </c>
      <c r="E323">
        <v>12.08727773468673</v>
      </c>
      <c r="F323">
        <v>9.0622537431048062</v>
      </c>
      <c r="G323" s="9">
        <v>3.24</v>
      </c>
      <c r="H323">
        <v>-1.7545871559633026</v>
      </c>
      <c r="I323" s="7">
        <v>7.6</v>
      </c>
      <c r="J323" s="11">
        <v>1.205E-2</v>
      </c>
      <c r="K323">
        <v>1.2163433500092256</v>
      </c>
    </row>
    <row r="324" spans="1:11" x14ac:dyDescent="0.3">
      <c r="A324">
        <f t="shared" si="2"/>
        <v>1.6666666666666667</v>
      </c>
      <c r="B324">
        <v>2</v>
      </c>
      <c r="C324">
        <v>60</v>
      </c>
      <c r="D324" s="16">
        <v>32.5</v>
      </c>
      <c r="E324">
        <v>13.963986646124932</v>
      </c>
      <c r="F324">
        <v>10.671132125032834</v>
      </c>
      <c r="G324" s="9">
        <v>3.24</v>
      </c>
      <c r="H324">
        <v>-1.7545871559633026</v>
      </c>
      <c r="I324" s="7">
        <v>8.7799999999999994</v>
      </c>
      <c r="J324" s="11">
        <v>1.205E-2</v>
      </c>
      <c r="K324">
        <v>0.58866635806099565</v>
      </c>
    </row>
    <row r="325" spans="1:11" x14ac:dyDescent="0.3">
      <c r="A325">
        <f t="shared" si="2"/>
        <v>1.6666666666666667</v>
      </c>
      <c r="B325">
        <v>4</v>
      </c>
      <c r="C325">
        <v>60</v>
      </c>
      <c r="D325" s="15">
        <v>4.5999999999999996</v>
      </c>
      <c r="E325">
        <v>0</v>
      </c>
      <c r="F325">
        <v>1.510375623850801</v>
      </c>
      <c r="G325" s="9">
        <v>3.24</v>
      </c>
      <c r="H325">
        <v>-0.77981651376146777</v>
      </c>
      <c r="I325" s="7">
        <v>0</v>
      </c>
      <c r="J325" s="11">
        <v>1.205E-2</v>
      </c>
      <c r="K325">
        <v>86.83172107845688</v>
      </c>
    </row>
    <row r="326" spans="1:11" x14ac:dyDescent="0.3">
      <c r="A326">
        <f t="shared" si="2"/>
        <v>1.6666666666666667</v>
      </c>
      <c r="B326">
        <v>4</v>
      </c>
      <c r="C326">
        <v>60</v>
      </c>
      <c r="D326" s="15">
        <v>9.1999999999999993</v>
      </c>
      <c r="E326">
        <v>1.7176657833502194</v>
      </c>
      <c r="F326">
        <v>3.0207512477016021</v>
      </c>
      <c r="G326" s="9">
        <v>3.24</v>
      </c>
      <c r="H326">
        <v>-1.7545871559633026</v>
      </c>
      <c r="I326" s="7">
        <v>1.08</v>
      </c>
      <c r="J326" s="11">
        <v>1.205E-2</v>
      </c>
      <c r="K326">
        <v>21.490626877726733</v>
      </c>
    </row>
    <row r="327" spans="1:11" x14ac:dyDescent="0.3">
      <c r="A327">
        <f t="shared" si="2"/>
        <v>1.6666666666666667</v>
      </c>
      <c r="B327">
        <v>4</v>
      </c>
      <c r="C327">
        <v>60</v>
      </c>
      <c r="D327" s="15">
        <v>13.8</v>
      </c>
      <c r="E327">
        <v>3.1331496233332703</v>
      </c>
      <c r="F327">
        <v>4.5311268715524031</v>
      </c>
      <c r="G327" s="9">
        <v>3.24</v>
      </c>
      <c r="H327">
        <v>-1.7545871559633026</v>
      </c>
      <c r="I327" s="7">
        <v>1.97</v>
      </c>
      <c r="J327" s="11">
        <v>1.205E-2</v>
      </c>
      <c r="K327">
        <v>9.3266259460836327</v>
      </c>
    </row>
    <row r="328" spans="1:11" x14ac:dyDescent="0.3">
      <c r="A328">
        <f t="shared" si="2"/>
        <v>1.6666666666666667</v>
      </c>
      <c r="B328">
        <v>4</v>
      </c>
      <c r="C328">
        <v>60</v>
      </c>
      <c r="D328" s="15">
        <v>18.399999999999999</v>
      </c>
      <c r="E328">
        <v>3.2921927514212532</v>
      </c>
      <c r="F328">
        <v>6.0415024954032042</v>
      </c>
      <c r="G328" s="9">
        <v>3.24</v>
      </c>
      <c r="H328">
        <v>-1.7545871559633026</v>
      </c>
      <c r="I328" s="7">
        <v>2.0699999999999998</v>
      </c>
      <c r="J328" s="11">
        <v>1.205E-2</v>
      </c>
      <c r="K328">
        <v>5.2274105286735555</v>
      </c>
    </row>
    <row r="329" spans="1:11" x14ac:dyDescent="0.3">
      <c r="A329">
        <f t="shared" si="2"/>
        <v>1.6666666666666667</v>
      </c>
      <c r="B329">
        <v>4</v>
      </c>
      <c r="C329">
        <v>60</v>
      </c>
      <c r="D329" s="15">
        <v>23</v>
      </c>
      <c r="E329">
        <v>3.7216091972588083</v>
      </c>
      <c r="F329">
        <v>7.5518781192540052</v>
      </c>
      <c r="G329" s="9">
        <v>3.24</v>
      </c>
      <c r="H329">
        <v>-1.7545871559633026</v>
      </c>
      <c r="I329" s="7">
        <v>2.34</v>
      </c>
      <c r="J329" s="11">
        <v>1.205E-2</v>
      </c>
      <c r="K329">
        <v>3.3100498510094525</v>
      </c>
    </row>
    <row r="330" spans="1:11" x14ac:dyDescent="0.3">
      <c r="A330">
        <f t="shared" si="2"/>
        <v>1.6666666666666667</v>
      </c>
      <c r="B330">
        <v>4</v>
      </c>
      <c r="C330">
        <v>60</v>
      </c>
      <c r="D330" s="15">
        <v>27.6</v>
      </c>
      <c r="E330">
        <v>4.7553895298306994</v>
      </c>
      <c r="F330">
        <v>9.0622537431048062</v>
      </c>
      <c r="G330" s="9">
        <v>3.24</v>
      </c>
      <c r="H330">
        <v>-1.7545871559633026</v>
      </c>
      <c r="I330" s="7">
        <v>2.99</v>
      </c>
      <c r="J330" s="11">
        <v>1.205E-2</v>
      </c>
      <c r="K330">
        <v>2.2269295660593578</v>
      </c>
    </row>
    <row r="331" spans="1:11" x14ac:dyDescent="0.3">
      <c r="A331">
        <f t="shared" si="2"/>
        <v>1.6666666666666667</v>
      </c>
      <c r="B331">
        <v>4</v>
      </c>
      <c r="C331">
        <v>60</v>
      </c>
      <c r="D331" s="16">
        <v>32.5</v>
      </c>
      <c r="E331">
        <v>6.0277345545345664</v>
      </c>
      <c r="F331">
        <v>10.671132125032834</v>
      </c>
      <c r="G331" s="9">
        <v>3.24</v>
      </c>
      <c r="H331">
        <v>-1.7545871559633026</v>
      </c>
      <c r="I331" s="7">
        <v>3.79</v>
      </c>
      <c r="J331" s="11">
        <v>1.205E-2</v>
      </c>
      <c r="K331">
        <v>1.5250714149100004</v>
      </c>
    </row>
    <row r="332" spans="1:11" x14ac:dyDescent="0.3">
      <c r="A332">
        <f t="shared" si="2"/>
        <v>1.6666666666666667</v>
      </c>
      <c r="B332">
        <v>6</v>
      </c>
      <c r="C332">
        <v>60</v>
      </c>
      <c r="D332" s="15">
        <v>4.5999999999999996</v>
      </c>
      <c r="E332">
        <v>0</v>
      </c>
      <c r="F332">
        <v>1.510375623850801</v>
      </c>
      <c r="G332" s="9">
        <v>3.24</v>
      </c>
      <c r="H332">
        <v>-0.77981651376146777</v>
      </c>
      <c r="I332" s="7">
        <v>0</v>
      </c>
      <c r="J332" s="11">
        <v>1.204998E-2</v>
      </c>
      <c r="K332">
        <v>86.83172107845688</v>
      </c>
    </row>
    <row r="333" spans="1:11" x14ac:dyDescent="0.3">
      <c r="A333">
        <f t="shared" si="2"/>
        <v>1.6666666666666667</v>
      </c>
      <c r="B333">
        <v>6</v>
      </c>
      <c r="C333">
        <v>60</v>
      </c>
      <c r="D333" s="15">
        <v>9.1999999999999993</v>
      </c>
      <c r="E333">
        <v>0</v>
      </c>
      <c r="F333">
        <v>3.0207512477016021</v>
      </c>
      <c r="G333" s="9">
        <v>3.24</v>
      </c>
      <c r="H333">
        <v>-0.77981651376146777</v>
      </c>
      <c r="I333" s="7">
        <v>0</v>
      </c>
      <c r="J333" s="11">
        <v>1.204998E-2</v>
      </c>
      <c r="K333">
        <v>21.70793026961422</v>
      </c>
    </row>
    <row r="334" spans="1:11" x14ac:dyDescent="0.3">
      <c r="A334">
        <f t="shared" si="2"/>
        <v>1.6666666666666667</v>
      </c>
      <c r="B334">
        <v>6</v>
      </c>
      <c r="C334">
        <v>60</v>
      </c>
      <c r="D334" s="15">
        <v>13.8</v>
      </c>
      <c r="E334">
        <v>0.33222342311712061</v>
      </c>
      <c r="F334">
        <v>4.5311268715524031</v>
      </c>
      <c r="G334" s="9">
        <v>3.24</v>
      </c>
      <c r="H334">
        <v>-0.77981651376146777</v>
      </c>
      <c r="I334" s="7">
        <v>0.47</v>
      </c>
      <c r="J334" s="11">
        <v>1.204998E-2</v>
      </c>
      <c r="K334">
        <v>9.6296782301516863</v>
      </c>
    </row>
    <row r="335" spans="1:11" x14ac:dyDescent="0.3">
      <c r="A335">
        <f t="shared" si="2"/>
        <v>1.6666666666666667</v>
      </c>
      <c r="B335">
        <v>6</v>
      </c>
      <c r="C335">
        <v>60</v>
      </c>
      <c r="D335" s="15">
        <v>18.399999999999999</v>
      </c>
      <c r="E335">
        <v>0.72099551399885753</v>
      </c>
      <c r="F335">
        <v>6.0415024954032042</v>
      </c>
      <c r="G335" s="9">
        <v>3.24</v>
      </c>
      <c r="H335">
        <v>-0.77981651376146777</v>
      </c>
      <c r="I335" s="7">
        <v>1.02</v>
      </c>
      <c r="J335" s="11">
        <v>1.204998E-2</v>
      </c>
      <c r="K335">
        <v>5.3785252523916078</v>
      </c>
    </row>
    <row r="336" spans="1:11" x14ac:dyDescent="0.3">
      <c r="A336">
        <f t="shared" si="2"/>
        <v>1.6666666666666667</v>
      </c>
      <c r="B336">
        <v>6</v>
      </c>
      <c r="C336">
        <v>60</v>
      </c>
      <c r="D336" s="15">
        <v>23</v>
      </c>
      <c r="E336">
        <v>0.87473720448390824</v>
      </c>
      <c r="F336">
        <v>7.5518781192540052</v>
      </c>
      <c r="G336" s="9">
        <v>3.24</v>
      </c>
      <c r="H336">
        <v>-1.7545871559633026</v>
      </c>
      <c r="I336" s="7">
        <v>0.55000000000000004</v>
      </c>
      <c r="J336" s="11">
        <v>1.204998E-2</v>
      </c>
      <c r="K336">
        <v>3.4642517956696928</v>
      </c>
    </row>
    <row r="337" spans="1:11" x14ac:dyDescent="0.3">
      <c r="A337">
        <f t="shared" si="2"/>
        <v>1.6666666666666667</v>
      </c>
      <c r="B337">
        <v>6</v>
      </c>
      <c r="C337">
        <v>60</v>
      </c>
      <c r="D337" s="15">
        <v>27.6</v>
      </c>
      <c r="E337">
        <v>1.5109097168358412</v>
      </c>
      <c r="F337">
        <v>9.0622537431048062</v>
      </c>
      <c r="G337" s="9">
        <v>3.24</v>
      </c>
      <c r="H337">
        <v>-1.7545871559633026</v>
      </c>
      <c r="I337" s="7">
        <v>0.95</v>
      </c>
      <c r="J337" s="11">
        <v>1.204998E-2</v>
      </c>
      <c r="K337">
        <v>2.3933102380829494</v>
      </c>
    </row>
    <row r="338" spans="1:11" x14ac:dyDescent="0.3">
      <c r="A338">
        <f t="shared" si="2"/>
        <v>1.6666666666666667</v>
      </c>
      <c r="B338">
        <v>6</v>
      </c>
      <c r="C338">
        <v>60</v>
      </c>
      <c r="D338" s="16">
        <v>32</v>
      </c>
      <c r="E338">
        <v>1.5904312808798327</v>
      </c>
      <c r="F338">
        <v>10.506960861570789</v>
      </c>
      <c r="G338" s="9">
        <v>3.24</v>
      </c>
      <c r="H338">
        <v>-1.7545871559633026</v>
      </c>
      <c r="I338" s="7">
        <v>1</v>
      </c>
      <c r="J338" s="11">
        <v>1.204998E-2</v>
      </c>
      <c r="K338">
        <v>1.7788970342853008</v>
      </c>
    </row>
    <row r="339" spans="1:11" x14ac:dyDescent="0.3">
      <c r="A339">
        <v>1</v>
      </c>
      <c r="B339">
        <v>1</v>
      </c>
      <c r="C339">
        <v>10</v>
      </c>
      <c r="D339" s="16">
        <v>1.8</v>
      </c>
      <c r="E339">
        <v>0</v>
      </c>
      <c r="F339">
        <v>3.5017535733314595</v>
      </c>
      <c r="G339" s="6">
        <v>5.8784999999999998</v>
      </c>
      <c r="H339">
        <v>-1.7545871559633026</v>
      </c>
      <c r="I339" s="7">
        <v>0</v>
      </c>
      <c r="J339" s="11">
        <v>5.5425099999999996E-3</v>
      </c>
      <c r="K339">
        <v>16.153892333298177</v>
      </c>
    </row>
    <row r="340" spans="1:11" x14ac:dyDescent="0.3">
      <c r="A340">
        <v>1</v>
      </c>
      <c r="B340">
        <v>1</v>
      </c>
      <c r="C340">
        <v>10</v>
      </c>
      <c r="D340" s="16">
        <v>3.6</v>
      </c>
      <c r="E340">
        <v>2.5764986750253294</v>
      </c>
      <c r="F340">
        <v>7.0035071466629191</v>
      </c>
      <c r="G340" s="6">
        <v>5.8784999999999998</v>
      </c>
      <c r="H340">
        <v>-1.7545871559633026</v>
      </c>
      <c r="I340" s="7">
        <v>1.62</v>
      </c>
      <c r="J340" s="11">
        <v>5.5425099999999996E-3</v>
      </c>
      <c r="K340">
        <v>3.9475136390871297</v>
      </c>
    </row>
    <row r="341" spans="1:11" x14ac:dyDescent="0.3">
      <c r="A341">
        <v>1</v>
      </c>
      <c r="B341">
        <v>1</v>
      </c>
      <c r="C341">
        <v>10</v>
      </c>
      <c r="D341" s="16">
        <v>5.4</v>
      </c>
      <c r="E341">
        <v>5.3279447909474396</v>
      </c>
      <c r="F341">
        <v>10.505260719994377</v>
      </c>
      <c r="G341" s="6">
        <v>5.8784999999999998</v>
      </c>
      <c r="H341">
        <v>-1.7545871559633026</v>
      </c>
      <c r="I341" s="7">
        <v>3.35</v>
      </c>
      <c r="J341" s="11">
        <v>5.5425099999999996E-3</v>
      </c>
      <c r="K341">
        <v>1.6220048429139446</v>
      </c>
    </row>
    <row r="342" spans="1:11" x14ac:dyDescent="0.3">
      <c r="A342">
        <v>1</v>
      </c>
      <c r="B342">
        <v>1</v>
      </c>
      <c r="C342">
        <v>10</v>
      </c>
      <c r="D342" s="16">
        <v>7.2</v>
      </c>
      <c r="E342">
        <v>10.735411145938871</v>
      </c>
      <c r="F342">
        <v>14.007014293325838</v>
      </c>
      <c r="G342" s="6">
        <v>5.8784999999999998</v>
      </c>
      <c r="H342">
        <v>-1.7545871559633026</v>
      </c>
      <c r="I342" s="7">
        <v>6.75</v>
      </c>
      <c r="J342" s="11">
        <v>5.5425099999999996E-3</v>
      </c>
      <c r="K342">
        <v>0.61482901632846887</v>
      </c>
    </row>
    <row r="343" spans="1:11" x14ac:dyDescent="0.3">
      <c r="A343">
        <v>1</v>
      </c>
      <c r="B343">
        <v>1</v>
      </c>
      <c r="C343">
        <v>10</v>
      </c>
      <c r="D343" s="16">
        <v>9</v>
      </c>
      <c r="E343">
        <v>25.924029878341276</v>
      </c>
      <c r="F343">
        <v>17.508767866657298</v>
      </c>
      <c r="G343" s="6">
        <v>5.8784999999999998</v>
      </c>
      <c r="H343">
        <v>-1.7545871559633026</v>
      </c>
      <c r="I343" s="7">
        <v>16.3</v>
      </c>
      <c r="J343" s="11">
        <v>5.5425099999999996E-3</v>
      </c>
      <c r="K343">
        <v>-0.82721816671615511</v>
      </c>
    </row>
    <row r="344" spans="1:11" x14ac:dyDescent="0.3">
      <c r="A344">
        <v>1</v>
      </c>
      <c r="B344">
        <v>1</v>
      </c>
      <c r="C344">
        <v>10</v>
      </c>
      <c r="D344" s="16">
        <v>10.8</v>
      </c>
      <c r="E344">
        <v>33.717143154652447</v>
      </c>
      <c r="F344">
        <v>21.010521439988754</v>
      </c>
      <c r="G344" s="6">
        <v>5.8784999999999998</v>
      </c>
      <c r="H344">
        <v>-1.7545871559633026</v>
      </c>
      <c r="I344" s="7">
        <v>21.2</v>
      </c>
      <c r="J344" s="11">
        <v>5.5425099999999996E-3</v>
      </c>
      <c r="K344">
        <v>-1.282081146936725</v>
      </c>
    </row>
    <row r="345" spans="1:11" x14ac:dyDescent="0.3">
      <c r="A345">
        <v>1</v>
      </c>
      <c r="B345">
        <v>1</v>
      </c>
      <c r="C345">
        <v>10</v>
      </c>
      <c r="D345" s="16">
        <v>12.5</v>
      </c>
      <c r="E345">
        <v>40.078868278171782</v>
      </c>
      <c r="F345">
        <v>24.317733148135133</v>
      </c>
      <c r="G345" s="6">
        <v>5.8784999999999998</v>
      </c>
      <c r="H345">
        <v>-1.7545871559633026</v>
      </c>
      <c r="I345" s="7">
        <v>25.2</v>
      </c>
      <c r="J345" s="11">
        <v>5.5425099999999996E-3</v>
      </c>
      <c r="K345">
        <v>-1.4906253181993339</v>
      </c>
    </row>
    <row r="346" spans="1:11" x14ac:dyDescent="0.3">
      <c r="A346">
        <v>1</v>
      </c>
      <c r="B346">
        <v>2</v>
      </c>
      <c r="C346">
        <v>10</v>
      </c>
      <c r="D346" s="16">
        <v>1.8</v>
      </c>
      <c r="E346">
        <v>0.77931132763111799</v>
      </c>
      <c r="F346">
        <v>3.5017535733314595</v>
      </c>
      <c r="G346" s="6">
        <v>5.8784999999999998</v>
      </c>
      <c r="H346">
        <v>-1.7545871559633026</v>
      </c>
      <c r="I346" s="7">
        <v>0.49</v>
      </c>
      <c r="J346" s="11">
        <v>5.5424999999999997E-3</v>
      </c>
      <c r="K346">
        <v>16.120605696259002</v>
      </c>
    </row>
    <row r="347" spans="1:11" x14ac:dyDescent="0.3">
      <c r="A347">
        <v>1</v>
      </c>
      <c r="B347">
        <v>2</v>
      </c>
      <c r="C347">
        <v>10</v>
      </c>
      <c r="D347" s="16">
        <v>3.6</v>
      </c>
      <c r="E347">
        <v>4.1510256430963635</v>
      </c>
      <c r="F347">
        <v>7.0035071466629191</v>
      </c>
      <c r="G347" s="6">
        <v>5.8784999999999998</v>
      </c>
      <c r="H347">
        <v>-1.7545871559633026</v>
      </c>
      <c r="I347" s="7">
        <v>2.61</v>
      </c>
      <c r="J347" s="11">
        <v>5.5424999999999997E-3</v>
      </c>
      <c r="K347">
        <v>3.8023715629428603</v>
      </c>
    </row>
    <row r="348" spans="1:11" x14ac:dyDescent="0.3">
      <c r="A348">
        <v>1</v>
      </c>
      <c r="B348">
        <v>2</v>
      </c>
      <c r="C348">
        <v>10</v>
      </c>
      <c r="D348" s="16">
        <v>5.4</v>
      </c>
      <c r="E348">
        <v>9.7811523774109723</v>
      </c>
      <c r="F348">
        <v>10.505260719994377</v>
      </c>
      <c r="G348" s="6">
        <v>5.8784999999999998</v>
      </c>
      <c r="H348">
        <v>-1.7545871559633026</v>
      </c>
      <c r="I348" s="7">
        <v>6.15</v>
      </c>
      <c r="J348" s="11">
        <v>5.5424999999999997E-3</v>
      </c>
      <c r="K348">
        <v>1.2122568003196199</v>
      </c>
    </row>
    <row r="349" spans="1:11" x14ac:dyDescent="0.3">
      <c r="A349">
        <v>1</v>
      </c>
      <c r="B349">
        <v>2</v>
      </c>
      <c r="C349">
        <v>10</v>
      </c>
      <c r="D349" s="16">
        <v>7.2</v>
      </c>
      <c r="E349">
        <v>18.305864042926878</v>
      </c>
      <c r="F349">
        <v>14.007014293325838</v>
      </c>
      <c r="G349" s="6">
        <v>5.8784999999999998</v>
      </c>
      <c r="H349">
        <v>-1.7545871559633026</v>
      </c>
      <c r="I349" s="7">
        <v>11.51</v>
      </c>
      <c r="J349" s="11">
        <v>5.5424999999999997E-3</v>
      </c>
      <c r="K349">
        <v>-0.13829327738151251</v>
      </c>
    </row>
    <row r="350" spans="1:11" x14ac:dyDescent="0.3">
      <c r="A350">
        <v>1</v>
      </c>
      <c r="B350">
        <v>2</v>
      </c>
      <c r="C350">
        <v>10</v>
      </c>
      <c r="D350" s="16">
        <v>9</v>
      </c>
      <c r="E350">
        <v>36.420876332148168</v>
      </c>
      <c r="F350">
        <v>17.508767866657298</v>
      </c>
      <c r="G350" s="6">
        <v>5.8784999999999998</v>
      </c>
      <c r="H350">
        <v>-1.7545871559633026</v>
      </c>
      <c r="I350" s="7">
        <v>22.9</v>
      </c>
      <c r="J350" s="11">
        <v>5.5424999999999997E-3</v>
      </c>
      <c r="K350">
        <v>-2.2619401550169562</v>
      </c>
    </row>
    <row r="351" spans="1:11" x14ac:dyDescent="0.3">
      <c r="A351">
        <v>1</v>
      </c>
      <c r="B351">
        <v>2</v>
      </c>
      <c r="C351">
        <v>10</v>
      </c>
      <c r="D351" s="16">
        <v>10.8</v>
      </c>
      <c r="E351">
        <v>50.257628475802719</v>
      </c>
      <c r="F351">
        <v>21.010521439988754</v>
      </c>
      <c r="G351" s="6">
        <v>5.8784999999999998</v>
      </c>
      <c r="H351">
        <v>-1.7545871559633026</v>
      </c>
      <c r="I351" s="7">
        <v>31.6</v>
      </c>
      <c r="J351" s="11">
        <v>5.5424999999999997E-3</v>
      </c>
      <c r="K351">
        <v>-3.3967507442054798</v>
      </c>
    </row>
    <row r="352" spans="1:11" x14ac:dyDescent="0.3">
      <c r="A352">
        <v>1</v>
      </c>
      <c r="B352">
        <v>2</v>
      </c>
      <c r="C352">
        <v>10</v>
      </c>
      <c r="D352" s="16">
        <v>12.5</v>
      </c>
      <c r="E352">
        <v>58.925478956597807</v>
      </c>
      <c r="F352">
        <v>24.317733148135133</v>
      </c>
      <c r="G352" s="6">
        <v>5.8784999999999998</v>
      </c>
      <c r="H352">
        <v>-1.7545871559633026</v>
      </c>
      <c r="I352" s="7">
        <v>37.049999999999997</v>
      </c>
      <c r="J352" s="11">
        <v>5.5424999999999997E-3</v>
      </c>
      <c r="K352">
        <v>-3.611233587940585</v>
      </c>
    </row>
    <row r="353" spans="1:11" x14ac:dyDescent="0.3">
      <c r="A353">
        <v>1</v>
      </c>
      <c r="B353">
        <v>4</v>
      </c>
      <c r="C353">
        <v>10</v>
      </c>
      <c r="D353" s="16">
        <v>1.8</v>
      </c>
      <c r="E353">
        <v>0.9542587685278997</v>
      </c>
      <c r="F353">
        <v>3.5017535733314595</v>
      </c>
      <c r="G353" s="6">
        <v>5.8784999999999998</v>
      </c>
      <c r="H353">
        <v>-1.7545871559633026</v>
      </c>
      <c r="I353" s="7">
        <v>0.6</v>
      </c>
      <c r="J353" s="11">
        <v>5.5425200000000004E-3</v>
      </c>
      <c r="K353">
        <v>16.103983173222776</v>
      </c>
    </row>
    <row r="354" spans="1:11" x14ac:dyDescent="0.3">
      <c r="A354">
        <v>1</v>
      </c>
      <c r="B354">
        <v>4</v>
      </c>
      <c r="C354">
        <v>10</v>
      </c>
      <c r="D354" s="16">
        <v>3.6</v>
      </c>
      <c r="E354">
        <v>4.3418773968019426</v>
      </c>
      <c r="F354">
        <v>7.0035071466629191</v>
      </c>
      <c r="G354" s="6">
        <v>5.8784999999999998</v>
      </c>
      <c r="H354">
        <v>-1.7545871559633026</v>
      </c>
      <c r="I354" s="7">
        <v>2.73</v>
      </c>
      <c r="J354" s="11">
        <v>5.5425200000000004E-3</v>
      </c>
      <c r="K354">
        <v>3.7801619867093073</v>
      </c>
    </row>
    <row r="355" spans="1:11" x14ac:dyDescent="0.3">
      <c r="A355">
        <v>1</v>
      </c>
      <c r="B355">
        <v>4</v>
      </c>
      <c r="C355">
        <v>10</v>
      </c>
      <c r="D355" s="16">
        <v>5.4</v>
      </c>
      <c r="E355">
        <v>12.866589062317848</v>
      </c>
      <c r="F355">
        <v>10.505260719994377</v>
      </c>
      <c r="G355" s="6">
        <v>5.8784999999999998</v>
      </c>
      <c r="H355">
        <v>-1.7545871559633026</v>
      </c>
      <c r="I355" s="7">
        <v>8.09</v>
      </c>
      <c r="J355" s="11">
        <v>5.5425200000000004E-3</v>
      </c>
      <c r="K355">
        <v>0.78671035199278661</v>
      </c>
    </row>
    <row r="356" spans="1:11" x14ac:dyDescent="0.3">
      <c r="A356">
        <v>1</v>
      </c>
      <c r="B356">
        <v>4</v>
      </c>
      <c r="C356">
        <v>10</v>
      </c>
      <c r="D356" s="16">
        <v>7.2</v>
      </c>
      <c r="E356">
        <v>24.349502910270239</v>
      </c>
      <c r="F356">
        <v>14.007014293325838</v>
      </c>
      <c r="G356" s="6">
        <v>5.8784999999999998</v>
      </c>
      <c r="H356">
        <v>-1.7545871559633026</v>
      </c>
      <c r="I356" s="7">
        <v>15.31</v>
      </c>
      <c r="J356" s="11">
        <v>5.5425200000000004E-3</v>
      </c>
      <c r="K356">
        <v>-1.0213734784656026</v>
      </c>
    </row>
    <row r="357" spans="1:11" x14ac:dyDescent="0.3">
      <c r="A357">
        <v>1</v>
      </c>
      <c r="B357">
        <v>4</v>
      </c>
      <c r="C357">
        <v>10</v>
      </c>
      <c r="D357" s="16">
        <v>9</v>
      </c>
      <c r="E357">
        <v>35.911938322266622</v>
      </c>
      <c r="F357">
        <v>17.508767866657298</v>
      </c>
      <c r="G357" s="6">
        <v>5.8784999999999998</v>
      </c>
      <c r="H357">
        <v>-1.7545871559633026</v>
      </c>
      <c r="I357" s="7">
        <v>22.58</v>
      </c>
      <c r="J357" s="11">
        <v>5.5425200000000004E-3</v>
      </c>
      <c r="K357">
        <v>-2.1812337158976978</v>
      </c>
    </row>
    <row r="358" spans="1:11" x14ac:dyDescent="0.3">
      <c r="A358">
        <v>1</v>
      </c>
      <c r="B358">
        <v>4</v>
      </c>
      <c r="C358">
        <v>10</v>
      </c>
      <c r="D358" s="16">
        <v>10.8</v>
      </c>
      <c r="E358">
        <v>48.635388569305285</v>
      </c>
      <c r="F358">
        <v>21.010521439988754</v>
      </c>
      <c r="G358" s="6">
        <v>5.8784999999999998</v>
      </c>
      <c r="H358">
        <v>-1.7545871559633026</v>
      </c>
      <c r="I358" s="7">
        <v>30.58</v>
      </c>
      <c r="J358" s="11">
        <v>5.5425200000000004E-3</v>
      </c>
      <c r="K358">
        <v>-3.1525054814772329</v>
      </c>
    </row>
    <row r="359" spans="1:11" x14ac:dyDescent="0.3">
      <c r="A359">
        <v>1</v>
      </c>
      <c r="B359">
        <v>4</v>
      </c>
      <c r="C359">
        <v>10</v>
      </c>
      <c r="D359" s="16">
        <v>12.4</v>
      </c>
      <c r="E359">
        <v>57.525899429423553</v>
      </c>
      <c r="F359">
        <v>24.123191282950053</v>
      </c>
      <c r="G359" s="6">
        <v>5.8784999999999998</v>
      </c>
      <c r="H359">
        <v>-1.7545871559633026</v>
      </c>
      <c r="I359" s="7">
        <v>36.17</v>
      </c>
      <c r="J359" s="11">
        <v>5.5425200000000004E-3</v>
      </c>
      <c r="K359">
        <v>-3.481482872047402</v>
      </c>
    </row>
    <row r="360" spans="1:11" x14ac:dyDescent="0.3">
      <c r="A360">
        <v>1</v>
      </c>
      <c r="B360">
        <v>6</v>
      </c>
      <c r="C360">
        <v>10</v>
      </c>
      <c r="D360" s="16">
        <v>1.8</v>
      </c>
      <c r="E360">
        <v>1.1769191478510763</v>
      </c>
      <c r="F360">
        <v>3.5017535733314595</v>
      </c>
      <c r="G360" s="6">
        <v>5.8784999999999998</v>
      </c>
      <c r="H360">
        <v>-1.7545871559633026</v>
      </c>
      <c r="I360" s="7">
        <v>0.74</v>
      </c>
      <c r="J360" s="11">
        <v>5.5424999999999997E-3</v>
      </c>
      <c r="K360">
        <v>16.077974955361263</v>
      </c>
    </row>
    <row r="361" spans="1:11" x14ac:dyDescent="0.3">
      <c r="A361">
        <v>1</v>
      </c>
      <c r="B361">
        <v>6</v>
      </c>
      <c r="C361">
        <v>10</v>
      </c>
      <c r="D361" s="16">
        <v>3.6</v>
      </c>
      <c r="E361">
        <v>4.8985283451098853</v>
      </c>
      <c r="F361">
        <v>7.0035071466629191</v>
      </c>
      <c r="G361" s="6">
        <v>5.8784999999999998</v>
      </c>
      <c r="H361">
        <v>-1.7545871559633026</v>
      </c>
      <c r="I361" s="7">
        <v>3.08</v>
      </c>
      <c r="J361" s="11">
        <v>5.5424999999999997E-3</v>
      </c>
      <c r="K361">
        <v>3.7096826276722776</v>
      </c>
    </row>
    <row r="362" spans="1:11" x14ac:dyDescent="0.3">
      <c r="A362">
        <v>1</v>
      </c>
      <c r="B362">
        <v>6</v>
      </c>
      <c r="C362">
        <v>10</v>
      </c>
      <c r="D362" s="16">
        <v>5.4</v>
      </c>
      <c r="E362">
        <v>12.75525887265626</v>
      </c>
      <c r="F362">
        <v>10.505260719994377</v>
      </c>
      <c r="G362" s="6">
        <v>5.8784999999999998</v>
      </c>
      <c r="H362">
        <v>-1.7545871559633026</v>
      </c>
      <c r="I362" s="7">
        <v>8.02</v>
      </c>
      <c r="J362" s="11">
        <v>5.5424999999999997E-3</v>
      </c>
      <c r="K362">
        <v>0.80408151243014081</v>
      </c>
    </row>
    <row r="363" spans="1:11" x14ac:dyDescent="0.3">
      <c r="A363">
        <v>1</v>
      </c>
      <c r="B363">
        <v>6</v>
      </c>
      <c r="C363">
        <v>10</v>
      </c>
      <c r="D363" s="16">
        <v>7.2</v>
      </c>
      <c r="E363">
        <v>25.081101299474962</v>
      </c>
      <c r="F363">
        <v>14.007014293325838</v>
      </c>
      <c r="G363" s="6">
        <v>5.8784999999999998</v>
      </c>
      <c r="H363">
        <v>-1.7545871559633026</v>
      </c>
      <c r="I363" s="7">
        <v>15.77</v>
      </c>
      <c r="J363" s="11">
        <v>5.5424999999999997E-3</v>
      </c>
      <c r="K363">
        <v>-1.1452521728694152</v>
      </c>
    </row>
    <row r="364" spans="1:11" x14ac:dyDescent="0.3">
      <c r="A364">
        <v>1</v>
      </c>
      <c r="B364">
        <v>6</v>
      </c>
      <c r="C364">
        <v>10</v>
      </c>
      <c r="D364" s="16">
        <v>9</v>
      </c>
      <c r="E364">
        <v>37.041144531691302</v>
      </c>
      <c r="F364">
        <v>17.508767866657298</v>
      </c>
      <c r="G364" s="6">
        <v>5.8784999999999998</v>
      </c>
      <c r="H364">
        <v>-1.7545871559633026</v>
      </c>
      <c r="I364" s="7">
        <v>23.29</v>
      </c>
      <c r="J364" s="11">
        <v>5.5424999999999997E-3</v>
      </c>
      <c r="K364">
        <v>-2.3618366661852055</v>
      </c>
    </row>
    <row r="365" spans="1:11" x14ac:dyDescent="0.3">
      <c r="A365">
        <v>1</v>
      </c>
      <c r="B365">
        <v>6</v>
      </c>
      <c r="C365">
        <v>10</v>
      </c>
      <c r="D365" s="16">
        <v>10.8</v>
      </c>
      <c r="E365">
        <v>48.555867005261298</v>
      </c>
      <c r="F365">
        <v>21.010521439988754</v>
      </c>
      <c r="G365" s="6">
        <v>5.8784999999999998</v>
      </c>
      <c r="H365">
        <v>-1.7545871559633026</v>
      </c>
      <c r="I365" s="7">
        <v>30.53</v>
      </c>
      <c r="J365" s="11">
        <v>5.5424999999999997E-3</v>
      </c>
      <c r="K365">
        <v>-3.1407387038066794</v>
      </c>
    </row>
    <row r="366" spans="1:11" x14ac:dyDescent="0.3">
      <c r="A366">
        <v>1</v>
      </c>
      <c r="B366">
        <v>6</v>
      </c>
      <c r="C366">
        <v>10</v>
      </c>
      <c r="D366" s="16">
        <v>12.4</v>
      </c>
      <c r="E366">
        <v>51.657208002976958</v>
      </c>
      <c r="F366">
        <v>24.123191282950053</v>
      </c>
      <c r="G366" s="6">
        <v>5.8784999999999998</v>
      </c>
      <c r="H366">
        <v>-1.7545871559633026</v>
      </c>
      <c r="I366" s="7">
        <v>32.479999999999997</v>
      </c>
      <c r="J366" s="11">
        <v>5.5424999999999997E-3</v>
      </c>
      <c r="K366">
        <v>-2.7414580144834084</v>
      </c>
    </row>
    <row r="367" spans="1:11" x14ac:dyDescent="0.3">
      <c r="A367">
        <v>1</v>
      </c>
      <c r="B367">
        <v>1</v>
      </c>
      <c r="C367">
        <v>15</v>
      </c>
      <c r="D367" s="16">
        <v>2.5</v>
      </c>
      <c r="E367">
        <v>0</v>
      </c>
      <c r="F367">
        <v>3.2423644197513508</v>
      </c>
      <c r="G367" s="6">
        <v>6.5609999999999999</v>
      </c>
      <c r="H367">
        <v>-1.7545871559633026</v>
      </c>
      <c r="I367" s="7">
        <v>0</v>
      </c>
      <c r="J367" s="11">
        <v>6.6530699999999996E-3</v>
      </c>
      <c r="K367">
        <v>18.841900017558999</v>
      </c>
    </row>
    <row r="368" spans="1:11" x14ac:dyDescent="0.3">
      <c r="A368">
        <v>1</v>
      </c>
      <c r="B368">
        <v>1</v>
      </c>
      <c r="C368">
        <v>15</v>
      </c>
      <c r="D368" s="16">
        <v>5</v>
      </c>
      <c r="E368">
        <v>2.4969771109813377</v>
      </c>
      <c r="F368">
        <v>6.4847288395027016</v>
      </c>
      <c r="G368" s="6">
        <v>6.5609999999999999</v>
      </c>
      <c r="H368">
        <v>-1.7545871559633026</v>
      </c>
      <c r="I368" s="7">
        <v>1.57</v>
      </c>
      <c r="J368" s="11">
        <v>6.6530699999999996E-3</v>
      </c>
      <c r="K368">
        <v>4.6108279225671698</v>
      </c>
    </row>
    <row r="369" spans="1:11" x14ac:dyDescent="0.3">
      <c r="A369">
        <v>1</v>
      </c>
      <c r="B369">
        <v>1</v>
      </c>
      <c r="C369">
        <v>15</v>
      </c>
      <c r="D369" s="16">
        <v>7.5</v>
      </c>
      <c r="E369">
        <v>5.5665094830794146</v>
      </c>
      <c r="F369">
        <v>9.7270932592540529</v>
      </c>
      <c r="G369" s="6">
        <v>6.5609999999999999</v>
      </c>
      <c r="H369">
        <v>-1.7545871559633026</v>
      </c>
      <c r="I369" s="7">
        <v>3.5</v>
      </c>
      <c r="J369" s="11">
        <v>6.6530699999999996E-3</v>
      </c>
      <c r="K369">
        <v>1.873445050462935</v>
      </c>
    </row>
    <row r="370" spans="1:11" x14ac:dyDescent="0.3">
      <c r="A370">
        <v>1</v>
      </c>
      <c r="B370">
        <v>1</v>
      </c>
      <c r="C370">
        <v>15</v>
      </c>
      <c r="D370" s="16">
        <v>10</v>
      </c>
      <c r="E370">
        <v>11.562435411996383</v>
      </c>
      <c r="F370">
        <v>12.969457679005403</v>
      </c>
      <c r="G370" s="6">
        <v>6.5609999999999999</v>
      </c>
      <c r="H370">
        <v>-1.7545871559633026</v>
      </c>
      <c r="I370" s="7">
        <v>7.27</v>
      </c>
      <c r="J370" s="11">
        <v>6.6530699999999996E-3</v>
      </c>
      <c r="K370">
        <v>0.64345537217125437</v>
      </c>
    </row>
    <row r="371" spans="1:11" x14ac:dyDescent="0.3">
      <c r="A371">
        <v>1</v>
      </c>
      <c r="B371">
        <v>1</v>
      </c>
      <c r="C371">
        <v>15</v>
      </c>
      <c r="D371" s="16">
        <v>12.5</v>
      </c>
      <c r="E371">
        <v>15.824791244754334</v>
      </c>
      <c r="F371">
        <v>16.211822098756755</v>
      </c>
      <c r="G371" s="6">
        <v>6.5609999999999999</v>
      </c>
      <c r="H371">
        <v>-1.7545871559633026</v>
      </c>
      <c r="I371" s="7">
        <v>9.9499999999999993</v>
      </c>
      <c r="J371" s="11">
        <v>6.6530699999999996E-3</v>
      </c>
      <c r="K371">
        <v>0.11330534270309718</v>
      </c>
    </row>
    <row r="372" spans="1:11" x14ac:dyDescent="0.3">
      <c r="A372">
        <v>1</v>
      </c>
      <c r="B372">
        <v>1</v>
      </c>
      <c r="C372">
        <v>15</v>
      </c>
      <c r="D372" s="16">
        <v>15</v>
      </c>
      <c r="E372">
        <v>23.538382957021525</v>
      </c>
      <c r="F372">
        <v>19.454186518508106</v>
      </c>
      <c r="G372" s="6">
        <v>6.5609999999999999</v>
      </c>
      <c r="H372">
        <v>-1.7545871559633026</v>
      </c>
      <c r="I372" s="7">
        <v>14.8</v>
      </c>
      <c r="J372" s="11">
        <v>6.6530699999999996E-3</v>
      </c>
      <c r="K372">
        <v>-0.46050310646352338</v>
      </c>
    </row>
    <row r="373" spans="1:11" x14ac:dyDescent="0.3">
      <c r="A373">
        <v>1</v>
      </c>
      <c r="B373">
        <v>1</v>
      </c>
      <c r="C373">
        <v>15</v>
      </c>
      <c r="D373" s="16">
        <v>17.7</v>
      </c>
      <c r="E373">
        <v>32.142616186581421</v>
      </c>
      <c r="F373">
        <v>22.955940091839565</v>
      </c>
      <c r="G373" s="6">
        <v>6.5609999999999999</v>
      </c>
      <c r="H373">
        <v>-1.7545871559633026</v>
      </c>
      <c r="I373" s="7">
        <v>20.21</v>
      </c>
      <c r="J373" s="11">
        <v>6.6530699999999996E-3</v>
      </c>
      <c r="K373">
        <v>-0.94173589887161868</v>
      </c>
    </row>
    <row r="374" spans="1:11" x14ac:dyDescent="0.3">
      <c r="A374">
        <v>1</v>
      </c>
      <c r="B374">
        <v>2</v>
      </c>
      <c r="C374">
        <v>15</v>
      </c>
      <c r="D374" s="16">
        <v>2.5</v>
      </c>
      <c r="E374">
        <v>0.68388545077832807</v>
      </c>
      <c r="F374">
        <v>3.2423644197513508</v>
      </c>
      <c r="G374" s="6">
        <v>6.5609999999999999</v>
      </c>
      <c r="H374">
        <v>-1.7545871559633026</v>
      </c>
      <c r="I374" s="7">
        <v>0.43</v>
      </c>
      <c r="J374" s="11">
        <v>6.6530799999999996E-3</v>
      </c>
      <c r="K374">
        <v>18.812000637577668</v>
      </c>
    </row>
    <row r="375" spans="1:11" x14ac:dyDescent="0.3">
      <c r="A375">
        <v>1</v>
      </c>
      <c r="B375">
        <v>2</v>
      </c>
      <c r="C375">
        <v>15</v>
      </c>
      <c r="D375" s="16">
        <v>5</v>
      </c>
      <c r="E375">
        <v>6.6002898156513066</v>
      </c>
      <c r="F375">
        <v>6.4847288395027016</v>
      </c>
      <c r="G375" s="6">
        <v>6.5609999999999999</v>
      </c>
      <c r="H375">
        <v>-1.7545871559633026</v>
      </c>
      <c r="I375" s="7">
        <v>4.1500000000000004</v>
      </c>
      <c r="J375" s="11">
        <v>6.6530799999999996E-3</v>
      </c>
      <c r="K375">
        <v>4.014230991776917</v>
      </c>
    </row>
    <row r="376" spans="1:11" x14ac:dyDescent="0.3">
      <c r="A376">
        <v>1</v>
      </c>
      <c r="B376">
        <v>2</v>
      </c>
      <c r="C376">
        <v>15</v>
      </c>
      <c r="D376" s="16">
        <v>7.5</v>
      </c>
      <c r="E376">
        <v>17.908256222706918</v>
      </c>
      <c r="F376">
        <v>9.7270932592540529</v>
      </c>
      <c r="G376" s="6">
        <v>6.5609999999999999</v>
      </c>
      <c r="H376">
        <v>-1.7545871559633026</v>
      </c>
      <c r="I376" s="7">
        <v>11.26</v>
      </c>
      <c r="J376" s="11">
        <v>6.6530799999999996E-3</v>
      </c>
      <c r="K376">
        <v>-0.1844860982357896</v>
      </c>
    </row>
    <row r="377" spans="1:11" x14ac:dyDescent="0.3">
      <c r="A377">
        <v>1</v>
      </c>
      <c r="B377">
        <v>2</v>
      </c>
      <c r="C377">
        <v>15</v>
      </c>
      <c r="D377" s="16">
        <v>10</v>
      </c>
      <c r="E377">
        <v>28.198346609999437</v>
      </c>
      <c r="F377">
        <v>12.969457679005403</v>
      </c>
      <c r="G377" s="6">
        <v>6.5609999999999999</v>
      </c>
      <c r="H377">
        <v>-1.7545871559633026</v>
      </c>
      <c r="I377" s="7">
        <v>17.73</v>
      </c>
      <c r="J377" s="11">
        <v>6.6530799999999996E-3</v>
      </c>
      <c r="K377">
        <v>-1.9994218131714023</v>
      </c>
    </row>
    <row r="378" spans="1:11" x14ac:dyDescent="0.3">
      <c r="A378">
        <v>1</v>
      </c>
      <c r="B378">
        <v>2</v>
      </c>
      <c r="C378">
        <v>15</v>
      </c>
      <c r="D378" s="16">
        <v>12.5</v>
      </c>
      <c r="E378">
        <v>34.607784671945168</v>
      </c>
      <c r="F378">
        <v>16.211822098756755</v>
      </c>
      <c r="G378" s="6">
        <v>6.5609999999999999</v>
      </c>
      <c r="H378">
        <v>-1.7545871559633026</v>
      </c>
      <c r="I378" s="7">
        <v>21.76</v>
      </c>
      <c r="J378" s="11">
        <v>6.6530799999999996E-3</v>
      </c>
      <c r="K378">
        <v>-2.3090140290753913</v>
      </c>
    </row>
    <row r="379" spans="1:11" x14ac:dyDescent="0.3">
      <c r="A379">
        <v>1</v>
      </c>
      <c r="B379">
        <v>2</v>
      </c>
      <c r="C379">
        <v>15</v>
      </c>
      <c r="D379" s="16">
        <v>15</v>
      </c>
      <c r="E379">
        <v>41.92376856399239</v>
      </c>
      <c r="F379">
        <v>19.454186518508106</v>
      </c>
      <c r="G379" s="6">
        <v>6.5609999999999999</v>
      </c>
      <c r="H379">
        <v>-1.7545871559633026</v>
      </c>
      <c r="I379" s="7">
        <v>26.36</v>
      </c>
      <c r="J379" s="11">
        <v>6.6530799999999996E-3</v>
      </c>
      <c r="K379">
        <v>-2.597756280726562</v>
      </c>
    </row>
    <row r="380" spans="1:11" x14ac:dyDescent="0.3">
      <c r="A380">
        <v>1</v>
      </c>
      <c r="B380">
        <v>2</v>
      </c>
      <c r="C380">
        <v>15</v>
      </c>
      <c r="D380" s="16">
        <v>17.7</v>
      </c>
      <c r="E380">
        <v>52.850031463636832</v>
      </c>
      <c r="F380">
        <v>22.955940091839565</v>
      </c>
      <c r="G380" s="6">
        <v>6.5609999999999999</v>
      </c>
      <c r="H380">
        <v>-1.7545871559633026</v>
      </c>
      <c r="I380" s="7">
        <v>33.229999999999997</v>
      </c>
      <c r="J380" s="11">
        <v>6.6530799999999996E-3</v>
      </c>
      <c r="K380">
        <v>-3.1863215881909763</v>
      </c>
    </row>
    <row r="381" spans="1:11" x14ac:dyDescent="0.3">
      <c r="A381">
        <v>1</v>
      </c>
      <c r="B381">
        <v>4</v>
      </c>
      <c r="C381">
        <v>15</v>
      </c>
      <c r="D381" s="16">
        <v>2.5</v>
      </c>
      <c r="E381">
        <v>1.1292062094246813</v>
      </c>
      <c r="F381">
        <v>3.2423644197513508</v>
      </c>
      <c r="G381" s="6">
        <v>6.5609999999999999</v>
      </c>
      <c r="H381">
        <v>-1.7545871559633026</v>
      </c>
      <c r="I381" s="7">
        <v>0.71</v>
      </c>
      <c r="J381" s="11">
        <v>6.6530799999999996E-3</v>
      </c>
      <c r="K381">
        <v>18.760384184954408</v>
      </c>
    </row>
    <row r="382" spans="1:11" x14ac:dyDescent="0.3">
      <c r="A382">
        <v>1</v>
      </c>
      <c r="B382">
        <v>4</v>
      </c>
      <c r="C382">
        <v>15</v>
      </c>
      <c r="D382" s="16">
        <v>5</v>
      </c>
      <c r="E382">
        <v>6.9183760718272724</v>
      </c>
      <c r="F382">
        <v>6.4847288395027016</v>
      </c>
      <c r="G382" s="6">
        <v>6.5609999999999999</v>
      </c>
      <c r="H382">
        <v>-1.7545871559633026</v>
      </c>
      <c r="I382" s="7">
        <v>4.3499999999999996</v>
      </c>
      <c r="J382" s="11">
        <v>6.6530799999999996E-3</v>
      </c>
      <c r="K382">
        <v>3.9455060783530933</v>
      </c>
    </row>
    <row r="383" spans="1:11" x14ac:dyDescent="0.3">
      <c r="A383">
        <v>1</v>
      </c>
      <c r="B383">
        <v>4</v>
      </c>
      <c r="C383">
        <v>15</v>
      </c>
      <c r="D383" s="16">
        <v>7.5</v>
      </c>
      <c r="E383">
        <v>18.321768355735674</v>
      </c>
      <c r="F383">
        <v>9.7270932592540529</v>
      </c>
      <c r="G383" s="6">
        <v>6.5609999999999999</v>
      </c>
      <c r="H383">
        <v>-1.7545871559633026</v>
      </c>
      <c r="I383" s="7">
        <v>11.52</v>
      </c>
      <c r="J383" s="11">
        <v>6.6530799999999996E-3</v>
      </c>
      <c r="K383">
        <v>-0.29090280862183587</v>
      </c>
    </row>
    <row r="384" spans="1:11" x14ac:dyDescent="0.3">
      <c r="A384">
        <v>1</v>
      </c>
      <c r="B384">
        <v>4</v>
      </c>
      <c r="C384">
        <v>15</v>
      </c>
      <c r="D384" s="16">
        <v>10</v>
      </c>
      <c r="E384">
        <v>25.924029878341276</v>
      </c>
      <c r="F384">
        <v>12.969457679005403</v>
      </c>
      <c r="G384" s="6">
        <v>6.5609999999999999</v>
      </c>
      <c r="H384">
        <v>-1.7545871559633026</v>
      </c>
      <c r="I384" s="7">
        <v>16.3</v>
      </c>
      <c r="J384" s="11">
        <v>6.6530799999999996E-3</v>
      </c>
      <c r="K384">
        <v>-1.5076051088401929</v>
      </c>
    </row>
    <row r="385" spans="1:11" x14ac:dyDescent="0.3">
      <c r="A385">
        <v>1</v>
      </c>
      <c r="B385">
        <v>4</v>
      </c>
      <c r="C385">
        <v>15</v>
      </c>
      <c r="D385" s="16">
        <v>12.5</v>
      </c>
      <c r="E385">
        <v>35.387095999576282</v>
      </c>
      <c r="F385">
        <v>16.211822098756755</v>
      </c>
      <c r="G385" s="6">
        <v>6.5609999999999999</v>
      </c>
      <c r="H385">
        <v>-1.7545871559633026</v>
      </c>
      <c r="I385" s="7">
        <v>22.25</v>
      </c>
      <c r="J385" s="11">
        <v>6.6530799999999996E-3</v>
      </c>
      <c r="K385">
        <v>-2.4485007006512429</v>
      </c>
    </row>
    <row r="386" spans="1:11" x14ac:dyDescent="0.3">
      <c r="A386">
        <v>1</v>
      </c>
      <c r="B386">
        <v>4</v>
      </c>
      <c r="C386">
        <v>15</v>
      </c>
      <c r="D386" s="16">
        <v>15</v>
      </c>
      <c r="E386">
        <v>42.71898420443231</v>
      </c>
      <c r="F386">
        <v>19.454186518508106</v>
      </c>
      <c r="G386" s="6">
        <v>6.5609999999999999</v>
      </c>
      <c r="H386">
        <v>-1.7545871559633026</v>
      </c>
      <c r="I386" s="7">
        <v>26.86</v>
      </c>
      <c r="J386" s="11">
        <v>6.6530799999999996E-3</v>
      </c>
      <c r="K386">
        <v>-2.7172837281911346</v>
      </c>
    </row>
    <row r="387" spans="1:11" x14ac:dyDescent="0.3">
      <c r="A387">
        <v>1</v>
      </c>
      <c r="B387">
        <v>4</v>
      </c>
      <c r="C387">
        <v>15</v>
      </c>
      <c r="D387" s="16">
        <v>17.7</v>
      </c>
      <c r="E387">
        <v>52.675084022740052</v>
      </c>
      <c r="F387">
        <v>22.955940091839565</v>
      </c>
      <c r="G387" s="6">
        <v>6.5609999999999999</v>
      </c>
      <c r="H387">
        <v>-1.7545871559633026</v>
      </c>
      <c r="I387" s="7">
        <v>33.119999999999997</v>
      </c>
      <c r="J387" s="11">
        <v>6.6530799999999996E-3</v>
      </c>
      <c r="K387">
        <v>-3.1627769311722136</v>
      </c>
    </row>
    <row r="388" spans="1:11" x14ac:dyDescent="0.3">
      <c r="A388">
        <v>1</v>
      </c>
      <c r="B388">
        <v>6</v>
      </c>
      <c r="C388">
        <v>15</v>
      </c>
      <c r="D388" s="16">
        <v>2.5</v>
      </c>
      <c r="E388">
        <v>1.2723450247038663</v>
      </c>
      <c r="F388">
        <v>3.2423644197513508</v>
      </c>
      <c r="G388" s="6">
        <v>6.5609999999999999</v>
      </c>
      <c r="H388">
        <v>-1.7545871559633026</v>
      </c>
      <c r="I388" s="7">
        <v>0.8</v>
      </c>
      <c r="J388" s="11">
        <v>6.6531000000000003E-3</v>
      </c>
      <c r="K388">
        <v>18.738408383226652</v>
      </c>
    </row>
    <row r="389" spans="1:11" x14ac:dyDescent="0.3">
      <c r="A389">
        <v>1</v>
      </c>
      <c r="B389">
        <v>6</v>
      </c>
      <c r="C389">
        <v>15</v>
      </c>
      <c r="D389" s="16">
        <v>5</v>
      </c>
      <c r="E389">
        <v>5.8527871136377847</v>
      </c>
      <c r="F389">
        <v>6.4847288395027016</v>
      </c>
      <c r="G389" s="6">
        <v>6.5609999999999999</v>
      </c>
      <c r="H389">
        <v>-1.7545871559633026</v>
      </c>
      <c r="I389" s="7">
        <v>3.68</v>
      </c>
      <c r="J389" s="11">
        <v>6.6531000000000003E-3</v>
      </c>
      <c r="K389">
        <v>4.1630042587716325</v>
      </c>
    </row>
    <row r="390" spans="1:11" x14ac:dyDescent="0.3">
      <c r="A390">
        <v>1</v>
      </c>
      <c r="B390">
        <v>6</v>
      </c>
      <c r="C390">
        <v>15</v>
      </c>
      <c r="D390" s="16">
        <v>7.5</v>
      </c>
      <c r="E390">
        <v>16.953997454179017</v>
      </c>
      <c r="F390">
        <v>9.7270932592540529</v>
      </c>
      <c r="G390" s="6">
        <v>6.5609999999999999</v>
      </c>
      <c r="H390">
        <v>-1.7545871559633026</v>
      </c>
      <c r="I390" s="7">
        <v>10.66</v>
      </c>
      <c r="J390" s="11">
        <v>6.6531000000000003E-3</v>
      </c>
      <c r="K390">
        <v>5.1819800156402966E-2</v>
      </c>
    </row>
    <row r="391" spans="1:11" x14ac:dyDescent="0.3">
      <c r="A391">
        <v>1</v>
      </c>
      <c r="B391">
        <v>6</v>
      </c>
      <c r="C391">
        <v>15</v>
      </c>
      <c r="D391" s="16">
        <v>10</v>
      </c>
      <c r="E391">
        <v>23.681521772300709</v>
      </c>
      <c r="F391">
        <v>12.969457679005403</v>
      </c>
      <c r="G391" s="6">
        <v>6.5609999999999999</v>
      </c>
      <c r="H391">
        <v>-1.7545871559633026</v>
      </c>
      <c r="I391" s="7">
        <v>14.89</v>
      </c>
      <c r="J391" s="11">
        <v>6.6531000000000003E-3</v>
      </c>
      <c r="K391">
        <v>-1.0631378485370158</v>
      </c>
    </row>
    <row r="392" spans="1:11" x14ac:dyDescent="0.3">
      <c r="A392">
        <v>1</v>
      </c>
      <c r="B392">
        <v>6</v>
      </c>
      <c r="C392">
        <v>15</v>
      </c>
      <c r="D392" s="16">
        <v>12.5</v>
      </c>
      <c r="E392">
        <v>32.365276565904601</v>
      </c>
      <c r="F392">
        <v>16.211822098756755</v>
      </c>
      <c r="G392" s="6">
        <v>6.5609999999999999</v>
      </c>
      <c r="H392">
        <v>-1.7545871559633026</v>
      </c>
      <c r="I392" s="7">
        <v>20.350000000000001</v>
      </c>
      <c r="J392" s="11">
        <v>6.6531000000000003E-3</v>
      </c>
      <c r="K392">
        <v>-1.9249623954724819</v>
      </c>
    </row>
    <row r="393" spans="1:11" x14ac:dyDescent="0.3">
      <c r="A393">
        <v>1</v>
      </c>
      <c r="B393">
        <v>6</v>
      </c>
      <c r="C393">
        <v>15</v>
      </c>
      <c r="D393" s="16">
        <v>15</v>
      </c>
      <c r="E393">
        <v>38.361202494821569</v>
      </c>
      <c r="F393">
        <v>19.454186518508106</v>
      </c>
      <c r="G393" s="6">
        <v>6.5609999999999999</v>
      </c>
      <c r="H393">
        <v>-1.7545871559633026</v>
      </c>
      <c r="I393" s="7">
        <v>24.12</v>
      </c>
      <c r="J393" s="11">
        <v>6.6531000000000003E-3</v>
      </c>
      <c r="K393">
        <v>-2.0898423375643644</v>
      </c>
    </row>
    <row r="394" spans="1:11" x14ac:dyDescent="0.3">
      <c r="A394">
        <v>1</v>
      </c>
      <c r="B394">
        <v>6</v>
      </c>
      <c r="C394">
        <v>15</v>
      </c>
      <c r="D394" s="16">
        <v>17.600000000000001</v>
      </c>
      <c r="E394">
        <v>45.613569135633597</v>
      </c>
      <c r="F394">
        <v>22.826245515049511</v>
      </c>
      <c r="G394" s="6">
        <v>6.5609999999999999</v>
      </c>
      <c r="H394">
        <v>-1.7545871559633026</v>
      </c>
      <c r="I394" s="7">
        <v>28.68</v>
      </c>
      <c r="J394" s="11">
        <v>6.6531000000000003E-3</v>
      </c>
      <c r="K394">
        <v>-2.3035551109759598</v>
      </c>
    </row>
    <row r="395" spans="1:11" x14ac:dyDescent="0.3">
      <c r="A395">
        <v>1</v>
      </c>
      <c r="B395">
        <v>1</v>
      </c>
      <c r="C395">
        <v>20</v>
      </c>
      <c r="D395" s="16">
        <v>2.8</v>
      </c>
      <c r="E395">
        <v>0</v>
      </c>
      <c r="F395">
        <v>2.723586112061283</v>
      </c>
      <c r="G395" s="6">
        <v>7.0444000000000004</v>
      </c>
      <c r="H395">
        <v>-1.7545871559633026</v>
      </c>
      <c r="I395" s="7">
        <v>0</v>
      </c>
      <c r="J395" s="11">
        <v>7.5770400000000002E-3</v>
      </c>
      <c r="K395">
        <v>26.70337305114807</v>
      </c>
    </row>
    <row r="396" spans="1:11" x14ac:dyDescent="0.3">
      <c r="A396">
        <v>1</v>
      </c>
      <c r="B396">
        <v>1</v>
      </c>
      <c r="C396">
        <v>20</v>
      </c>
      <c r="D396" s="16">
        <v>5.6</v>
      </c>
      <c r="E396">
        <v>2.1788908548053714</v>
      </c>
      <c r="F396">
        <v>5.447172224122566</v>
      </c>
      <c r="G396" s="6">
        <v>7.0444000000000004</v>
      </c>
      <c r="H396">
        <v>-1.7545871559633026</v>
      </c>
      <c r="I396" s="7">
        <v>1.37</v>
      </c>
      <c r="J396" s="11">
        <v>7.5770400000000002E-3</v>
      </c>
      <c r="K396">
        <v>6.5683087572720078</v>
      </c>
    </row>
    <row r="397" spans="1:11" x14ac:dyDescent="0.3">
      <c r="A397">
        <v>1</v>
      </c>
      <c r="B397">
        <v>1</v>
      </c>
      <c r="C397">
        <v>20</v>
      </c>
      <c r="D397" s="16">
        <v>8.4</v>
      </c>
      <c r="E397">
        <v>5.2325189140946495</v>
      </c>
      <c r="F397">
        <v>8.1707583361838498</v>
      </c>
      <c r="G397" s="6">
        <v>7.0444000000000004</v>
      </c>
      <c r="H397">
        <v>-1.7545871559633026</v>
      </c>
      <c r="I397" s="7">
        <v>3.29</v>
      </c>
      <c r="J397" s="11">
        <v>7.5770400000000002E-3</v>
      </c>
      <c r="K397">
        <v>2.6914181135039312</v>
      </c>
    </row>
    <row r="398" spans="1:11" x14ac:dyDescent="0.3">
      <c r="A398">
        <v>1</v>
      </c>
      <c r="B398">
        <v>1</v>
      </c>
      <c r="C398">
        <v>20</v>
      </c>
      <c r="D398" s="16">
        <v>11.2</v>
      </c>
      <c r="E398">
        <v>10.178760197630931</v>
      </c>
      <c r="F398">
        <v>10.894344448245132</v>
      </c>
      <c r="G398" s="6">
        <v>7.0444000000000004</v>
      </c>
      <c r="H398">
        <v>-1.7545871559633026</v>
      </c>
      <c r="I398" s="7">
        <v>6.4</v>
      </c>
      <c r="J398" s="11">
        <v>7.5770400000000002E-3</v>
      </c>
      <c r="K398">
        <v>1.0822735460107329</v>
      </c>
    </row>
    <row r="399" spans="1:11" x14ac:dyDescent="0.3">
      <c r="A399">
        <v>1</v>
      </c>
      <c r="B399">
        <v>1</v>
      </c>
      <c r="C399">
        <v>20</v>
      </c>
      <c r="D399" s="16">
        <v>14</v>
      </c>
      <c r="E399">
        <v>16.588198259576654</v>
      </c>
      <c r="F399">
        <v>13.617930560306414</v>
      </c>
      <c r="G399" s="6">
        <v>7.0444000000000004</v>
      </c>
      <c r="H399">
        <v>-1.7545871559633026</v>
      </c>
      <c r="I399" s="7">
        <v>10.43</v>
      </c>
      <c r="J399" s="11">
        <v>7.5770400000000002E-3</v>
      </c>
      <c r="K399">
        <v>7.0904985107378152E-2</v>
      </c>
    </row>
    <row r="400" spans="1:11" x14ac:dyDescent="0.3">
      <c r="A400">
        <v>1</v>
      </c>
      <c r="B400">
        <v>1</v>
      </c>
      <c r="C400">
        <v>20</v>
      </c>
      <c r="D400" s="16">
        <v>16.8</v>
      </c>
      <c r="E400">
        <v>24.063225279711872</v>
      </c>
      <c r="F400">
        <v>16.3415166723677</v>
      </c>
      <c r="G400" s="6">
        <v>7.0444000000000004</v>
      </c>
      <c r="H400">
        <v>-1.7545871559633026</v>
      </c>
      <c r="I400" s="7">
        <v>15.13</v>
      </c>
      <c r="J400" s="11">
        <v>7.5770400000000002E-3</v>
      </c>
      <c r="K400">
        <v>-0.71551645003308284</v>
      </c>
    </row>
    <row r="401" spans="1:11" x14ac:dyDescent="0.3">
      <c r="A401">
        <v>1</v>
      </c>
      <c r="B401">
        <v>1</v>
      </c>
      <c r="C401">
        <v>20</v>
      </c>
      <c r="D401" s="16">
        <v>20.100000000000001</v>
      </c>
      <c r="E401">
        <v>33.717143154652447</v>
      </c>
      <c r="F401">
        <v>19.551457447297068</v>
      </c>
      <c r="G401" s="6">
        <v>7.0444000000000004</v>
      </c>
      <c r="H401">
        <v>-1.7545871559633026</v>
      </c>
      <c r="I401" s="7">
        <v>21.2</v>
      </c>
      <c r="J401" s="11">
        <v>7.5770400000000002E-3</v>
      </c>
      <c r="K401">
        <v>-1.480576669259513</v>
      </c>
    </row>
    <row r="402" spans="1:11" x14ac:dyDescent="0.3">
      <c r="A402">
        <v>1</v>
      </c>
      <c r="B402">
        <v>2</v>
      </c>
      <c r="C402">
        <v>20</v>
      </c>
      <c r="D402" s="16">
        <v>2.8</v>
      </c>
      <c r="E402">
        <v>0.90654583010150458</v>
      </c>
      <c r="F402">
        <v>2.723586112061283</v>
      </c>
      <c r="G402" s="6">
        <v>7.0444000000000004</v>
      </c>
      <c r="H402">
        <v>-1.7545871559633026</v>
      </c>
      <c r="I402" s="7">
        <v>0.56999999999999995</v>
      </c>
      <c r="J402" s="11">
        <v>7.5770400000000002E-3</v>
      </c>
      <c r="K402">
        <v>26.628914186335184</v>
      </c>
    </row>
    <row r="403" spans="1:11" x14ac:dyDescent="0.3">
      <c r="A403">
        <v>1</v>
      </c>
      <c r="B403">
        <v>2</v>
      </c>
      <c r="C403">
        <v>20</v>
      </c>
      <c r="D403" s="16">
        <v>5.6</v>
      </c>
      <c r="E403">
        <v>4.0237911406259768</v>
      </c>
      <c r="F403">
        <v>5.447172224122566</v>
      </c>
      <c r="G403" s="6">
        <v>7.0444000000000004</v>
      </c>
      <c r="H403">
        <v>-1.7545871559633026</v>
      </c>
      <c r="I403" s="7">
        <v>2.5299999999999998</v>
      </c>
      <c r="J403" s="11">
        <v>7.5770400000000002E-3</v>
      </c>
      <c r="K403">
        <v>6.3091121549224418</v>
      </c>
    </row>
    <row r="404" spans="1:11" x14ac:dyDescent="0.3">
      <c r="A404">
        <v>1</v>
      </c>
      <c r="B404">
        <v>2</v>
      </c>
      <c r="C404">
        <v>20</v>
      </c>
      <c r="D404" s="16">
        <v>8.4</v>
      </c>
      <c r="E404">
        <v>8.7473720448390786</v>
      </c>
      <c r="F404">
        <v>8.1707583361838498</v>
      </c>
      <c r="G404" s="6">
        <v>7.0444000000000004</v>
      </c>
      <c r="H404">
        <v>-1.7545871559633026</v>
      </c>
      <c r="I404" s="7">
        <v>5.5</v>
      </c>
      <c r="J404" s="11">
        <v>7.5770400000000002E-3</v>
      </c>
      <c r="K404">
        <v>2.1967597700927475</v>
      </c>
    </row>
    <row r="405" spans="1:11" x14ac:dyDescent="0.3">
      <c r="A405">
        <v>1</v>
      </c>
      <c r="B405">
        <v>2</v>
      </c>
      <c r="C405">
        <v>20</v>
      </c>
      <c r="D405" s="16">
        <v>11.2</v>
      </c>
      <c r="E405">
        <v>14.997766978696822</v>
      </c>
      <c r="F405">
        <v>10.894344448245132</v>
      </c>
      <c r="G405" s="6">
        <v>7.0444000000000004</v>
      </c>
      <c r="H405">
        <v>-1.7545871559633026</v>
      </c>
      <c r="I405" s="7">
        <v>9.43</v>
      </c>
      <c r="J405" s="11">
        <v>7.5770400000000002E-3</v>
      </c>
      <c r="K405">
        <v>0.3952521538778464</v>
      </c>
    </row>
    <row r="406" spans="1:11" x14ac:dyDescent="0.3">
      <c r="A406">
        <v>1</v>
      </c>
      <c r="B406">
        <v>2</v>
      </c>
      <c r="C406">
        <v>20</v>
      </c>
      <c r="D406" s="16">
        <v>14</v>
      </c>
      <c r="E406">
        <v>25.112909925092559</v>
      </c>
      <c r="F406">
        <v>13.617930560306414</v>
      </c>
      <c r="G406" s="6">
        <v>7.0444000000000004</v>
      </c>
      <c r="H406">
        <v>-1.7545871559633026</v>
      </c>
      <c r="I406" s="7">
        <v>15.79</v>
      </c>
      <c r="J406" s="11">
        <v>7.5770400000000002E-3</v>
      </c>
      <c r="K406">
        <v>-1.2174162575778982</v>
      </c>
    </row>
    <row r="407" spans="1:11" x14ac:dyDescent="0.3">
      <c r="A407">
        <v>1</v>
      </c>
      <c r="B407">
        <v>2</v>
      </c>
      <c r="C407">
        <v>20</v>
      </c>
      <c r="D407" s="16">
        <v>16.8</v>
      </c>
      <c r="E407">
        <v>37.565986854381649</v>
      </c>
      <c r="F407">
        <v>16.3415166723677</v>
      </c>
      <c r="G407" s="6">
        <v>7.0444000000000004</v>
      </c>
      <c r="H407">
        <v>-1.7545871559633026</v>
      </c>
      <c r="I407" s="7">
        <v>23.62</v>
      </c>
      <c r="J407" s="11">
        <v>7.5770400000000002E-3</v>
      </c>
      <c r="K407">
        <v>-2.8098391294583198</v>
      </c>
    </row>
    <row r="408" spans="1:11" x14ac:dyDescent="0.3">
      <c r="A408">
        <v>1</v>
      </c>
      <c r="B408">
        <v>2</v>
      </c>
      <c r="C408">
        <v>20</v>
      </c>
      <c r="D408" s="16">
        <v>20</v>
      </c>
      <c r="E408">
        <v>48.142354872232531</v>
      </c>
      <c r="F408">
        <v>19.45418651472345</v>
      </c>
      <c r="G408" s="6">
        <v>7.0444000000000004</v>
      </c>
      <c r="H408">
        <v>-1.7545871559633026</v>
      </c>
      <c r="I408" s="7">
        <v>30.27</v>
      </c>
      <c r="J408" s="11">
        <v>7.5770400000000002E-3</v>
      </c>
      <c r="K408">
        <v>-3.5923508652953644</v>
      </c>
    </row>
    <row r="409" spans="1:11" x14ac:dyDescent="0.3">
      <c r="A409">
        <v>1</v>
      </c>
      <c r="B409">
        <v>4</v>
      </c>
      <c r="C409">
        <v>20</v>
      </c>
      <c r="D409" s="16">
        <v>2.8</v>
      </c>
      <c r="E409">
        <v>1.0337803325718913</v>
      </c>
      <c r="F409">
        <v>2.723586112061283</v>
      </c>
      <c r="G409" s="6">
        <v>7.0444000000000004</v>
      </c>
      <c r="H409">
        <v>-1.7545871559633026</v>
      </c>
      <c r="I409" s="7">
        <v>0.65</v>
      </c>
      <c r="J409" s="11">
        <v>7.5770400000000002E-3</v>
      </c>
      <c r="K409">
        <v>26.606546734178405</v>
      </c>
    </row>
    <row r="410" spans="1:11" x14ac:dyDescent="0.3">
      <c r="A410">
        <v>1</v>
      </c>
      <c r="B410">
        <v>4</v>
      </c>
      <c r="C410">
        <v>20</v>
      </c>
      <c r="D410" s="16">
        <v>5.6</v>
      </c>
      <c r="E410">
        <v>4.230547207140356</v>
      </c>
      <c r="F410">
        <v>5.447172224122566</v>
      </c>
      <c r="G410" s="6">
        <v>7.0444000000000004</v>
      </c>
      <c r="H410">
        <v>-1.7545871559633026</v>
      </c>
      <c r="I410" s="7">
        <v>2.66</v>
      </c>
      <c r="J410" s="11">
        <v>7.5770400000000002E-3</v>
      </c>
      <c r="K410">
        <v>6.2704561099168599</v>
      </c>
    </row>
    <row r="411" spans="1:11" x14ac:dyDescent="0.3">
      <c r="A411">
        <v>1</v>
      </c>
      <c r="B411">
        <v>4</v>
      </c>
      <c r="C411">
        <v>20</v>
      </c>
      <c r="D411" s="16">
        <v>8.4</v>
      </c>
      <c r="E411">
        <v>8.8268936088830721</v>
      </c>
      <c r="F411">
        <v>8.1707583361838498</v>
      </c>
      <c r="G411" s="6">
        <v>7.0444000000000004</v>
      </c>
      <c r="H411">
        <v>-1.7545871559633026</v>
      </c>
      <c r="I411" s="7">
        <v>5.55</v>
      </c>
      <c r="J411" s="11">
        <v>7.5770400000000002E-3</v>
      </c>
      <c r="K411">
        <v>2.1826909889945907</v>
      </c>
    </row>
    <row r="412" spans="1:11" x14ac:dyDescent="0.3">
      <c r="A412">
        <v>1</v>
      </c>
      <c r="B412">
        <v>4</v>
      </c>
      <c r="C412">
        <v>20</v>
      </c>
      <c r="D412" s="16">
        <v>11.2</v>
      </c>
      <c r="E412">
        <v>16.397346505871077</v>
      </c>
      <c r="F412">
        <v>10.894344448245132</v>
      </c>
      <c r="G412" s="6">
        <v>7.0444000000000004</v>
      </c>
      <c r="H412">
        <v>-1.7545871559633026</v>
      </c>
      <c r="I412" s="7">
        <v>10.31</v>
      </c>
      <c r="J412" s="11">
        <v>7.5770400000000002E-3</v>
      </c>
      <c r="K412">
        <v>0.14643716610514562</v>
      </c>
    </row>
    <row r="413" spans="1:11" x14ac:dyDescent="0.3">
      <c r="A413">
        <v>1</v>
      </c>
      <c r="B413">
        <v>4</v>
      </c>
      <c r="C413">
        <v>20</v>
      </c>
      <c r="D413" s="16">
        <v>14</v>
      </c>
      <c r="E413">
        <v>25.430996181268526</v>
      </c>
      <c r="F413">
        <v>13.617930560306414</v>
      </c>
      <c r="G413" s="6">
        <v>7.0444000000000004</v>
      </c>
      <c r="H413">
        <v>-1.7545871559633026</v>
      </c>
      <c r="I413" s="7">
        <v>15.99</v>
      </c>
      <c r="J413" s="11">
        <v>7.5770400000000002E-3</v>
      </c>
      <c r="K413">
        <v>-1.2756816370485917</v>
      </c>
    </row>
    <row r="414" spans="1:11" x14ac:dyDescent="0.3">
      <c r="A414">
        <v>1</v>
      </c>
      <c r="B414">
        <v>4</v>
      </c>
      <c r="C414">
        <v>20</v>
      </c>
      <c r="D414" s="16">
        <v>16.8</v>
      </c>
      <c r="E414">
        <v>31.442826422994294</v>
      </c>
      <c r="F414">
        <v>16.3415166723677</v>
      </c>
      <c r="G414" s="6">
        <v>7.0444000000000004</v>
      </c>
      <c r="H414">
        <v>-1.7545871559633026</v>
      </c>
      <c r="I414" s="7">
        <v>19.77</v>
      </c>
      <c r="J414" s="11">
        <v>7.5770400000000002E-3</v>
      </c>
      <c r="K414">
        <v>-1.7463952445629822</v>
      </c>
    </row>
    <row r="415" spans="1:11" x14ac:dyDescent="0.3">
      <c r="A415">
        <v>1</v>
      </c>
      <c r="B415">
        <v>4</v>
      </c>
      <c r="C415">
        <v>20</v>
      </c>
      <c r="D415" s="16">
        <v>20</v>
      </c>
      <c r="E415">
        <v>45.518143258780817</v>
      </c>
      <c r="F415">
        <v>19.45418651472345</v>
      </c>
      <c r="G415" s="6">
        <v>7.0444000000000004</v>
      </c>
      <c r="H415">
        <v>-1.7545871559633026</v>
      </c>
      <c r="I415" s="7">
        <v>28.62</v>
      </c>
      <c r="J415" s="11">
        <v>7.5770400000000002E-3</v>
      </c>
      <c r="K415">
        <v>-3.1558870252547679</v>
      </c>
    </row>
    <row r="416" spans="1:11" x14ac:dyDescent="0.3">
      <c r="A416">
        <v>1</v>
      </c>
      <c r="B416">
        <v>6</v>
      </c>
      <c r="C416">
        <v>20</v>
      </c>
      <c r="D416" s="16">
        <v>2.8</v>
      </c>
      <c r="E416">
        <v>1.1451105222334796</v>
      </c>
      <c r="F416">
        <v>2.723586112061283</v>
      </c>
      <c r="G416" s="6">
        <v>7.0444000000000004</v>
      </c>
      <c r="H416">
        <v>-1.7545871559633026</v>
      </c>
      <c r="I416" s="7">
        <v>0.72</v>
      </c>
      <c r="J416" s="11">
        <v>7.5770400000000002E-3</v>
      </c>
      <c r="K416">
        <v>26.584568879036652</v>
      </c>
    </row>
    <row r="417" spans="1:11" x14ac:dyDescent="0.3">
      <c r="A417">
        <v>1</v>
      </c>
      <c r="B417">
        <v>6</v>
      </c>
      <c r="C417">
        <v>20</v>
      </c>
      <c r="D417" s="16">
        <v>5.6</v>
      </c>
      <c r="E417">
        <v>3.8965566381555909</v>
      </c>
      <c r="F417">
        <v>5.447172224122566</v>
      </c>
      <c r="G417" s="6">
        <v>7.0444000000000004</v>
      </c>
      <c r="H417">
        <v>-1.7545871559633026</v>
      </c>
      <c r="I417" s="7">
        <v>2.4500000000000002</v>
      </c>
      <c r="J417" s="11">
        <v>7.5770400000000002E-3</v>
      </c>
      <c r="K417">
        <v>6.3319379565086633</v>
      </c>
    </row>
    <row r="418" spans="1:11" x14ac:dyDescent="0.3">
      <c r="A418">
        <v>1</v>
      </c>
      <c r="B418">
        <v>6</v>
      </c>
      <c r="C418">
        <v>20</v>
      </c>
      <c r="D418" s="16">
        <v>8.4</v>
      </c>
      <c r="E418">
        <v>9.3676402443822155</v>
      </c>
      <c r="F418">
        <v>8.1707583361838498</v>
      </c>
      <c r="G418" s="6">
        <v>7.0444000000000004</v>
      </c>
      <c r="H418">
        <v>-1.7545871559633026</v>
      </c>
      <c r="I418" s="7">
        <v>5.89</v>
      </c>
      <c r="J418" s="11">
        <v>7.5770400000000002E-3</v>
      </c>
      <c r="K418">
        <v>2.0836467700635688</v>
      </c>
    </row>
    <row r="419" spans="1:11" x14ac:dyDescent="0.3">
      <c r="A419">
        <v>1</v>
      </c>
      <c r="B419">
        <v>6</v>
      </c>
      <c r="C419">
        <v>20</v>
      </c>
      <c r="D419" s="16">
        <v>11.2</v>
      </c>
      <c r="E419">
        <v>16.031547311268714</v>
      </c>
      <c r="F419">
        <v>10.894344448245132</v>
      </c>
      <c r="G419" s="6">
        <v>7.0444000000000004</v>
      </c>
      <c r="H419">
        <v>-1.7545871559633026</v>
      </c>
      <c r="I419" s="7">
        <v>10.08</v>
      </c>
      <c r="J419" s="11">
        <v>7.5770400000000002E-3</v>
      </c>
      <c r="K419">
        <v>0.21360970733186765</v>
      </c>
    </row>
    <row r="420" spans="1:11" x14ac:dyDescent="0.3">
      <c r="A420">
        <v>1</v>
      </c>
      <c r="B420">
        <v>6</v>
      </c>
      <c r="C420">
        <v>20</v>
      </c>
      <c r="D420" s="16">
        <v>14</v>
      </c>
      <c r="E420">
        <v>19.228314185837178</v>
      </c>
      <c r="F420">
        <v>13.617930560306414</v>
      </c>
      <c r="G420" s="6">
        <v>7.0444000000000004</v>
      </c>
      <c r="H420">
        <v>-1.7545871559633026</v>
      </c>
      <c r="I420" s="7">
        <v>12.09</v>
      </c>
      <c r="J420" s="11">
        <v>7.5770400000000002E-3</v>
      </c>
      <c r="K420">
        <v>-0.27178638270709798</v>
      </c>
    </row>
    <row r="421" spans="1:11" x14ac:dyDescent="0.3">
      <c r="A421">
        <v>1</v>
      </c>
      <c r="B421">
        <v>6</v>
      </c>
      <c r="C421">
        <v>20</v>
      </c>
      <c r="D421" s="16">
        <v>16.8</v>
      </c>
      <c r="E421">
        <v>26.17849888328205</v>
      </c>
      <c r="F421">
        <v>16.3415166723677</v>
      </c>
      <c r="G421" s="6">
        <v>7.0444000000000004</v>
      </c>
      <c r="H421">
        <v>-1.7545871559633026</v>
      </c>
      <c r="I421" s="7">
        <v>16.46</v>
      </c>
      <c r="J421" s="11">
        <v>7.5770400000000002E-3</v>
      </c>
      <c r="K421">
        <v>-0.98298053021621268</v>
      </c>
    </row>
    <row r="422" spans="1:11" x14ac:dyDescent="0.3">
      <c r="A422">
        <v>1</v>
      </c>
      <c r="B422">
        <v>6</v>
      </c>
      <c r="C422">
        <v>20</v>
      </c>
      <c r="D422" s="16">
        <v>20.100000000000001</v>
      </c>
      <c r="E422">
        <v>35.800608132605035</v>
      </c>
      <c r="F422">
        <v>19.551457447297068</v>
      </c>
      <c r="G422" s="6">
        <v>7.0444000000000004</v>
      </c>
      <c r="H422">
        <v>-1.7545871559633026</v>
      </c>
      <c r="I422" s="7">
        <v>22.51</v>
      </c>
      <c r="J422" s="11">
        <v>7.5770400000000002E-3</v>
      </c>
      <c r="K422">
        <v>-1.7352261232978536</v>
      </c>
    </row>
    <row r="423" spans="1:11" x14ac:dyDescent="0.3">
      <c r="A423">
        <v>1</v>
      </c>
      <c r="B423">
        <v>1</v>
      </c>
      <c r="C423">
        <v>30</v>
      </c>
      <c r="D423" s="16">
        <v>3.6</v>
      </c>
      <c r="E423">
        <v>0</v>
      </c>
      <c r="F423">
        <v>2.3345023825237452</v>
      </c>
      <c r="G423" s="6">
        <v>7.6656000000000004</v>
      </c>
      <c r="H423">
        <v>-1.7545871559633026</v>
      </c>
      <c r="I423" s="7">
        <v>0</v>
      </c>
      <c r="J423" s="11">
        <v>9.1083599999999994E-3</v>
      </c>
      <c r="K423">
        <v>36.346257740493073</v>
      </c>
    </row>
    <row r="424" spans="1:11" x14ac:dyDescent="0.3">
      <c r="A424">
        <v>1</v>
      </c>
      <c r="B424">
        <v>1</v>
      </c>
      <c r="C424">
        <v>30</v>
      </c>
      <c r="D424" s="16">
        <v>7.2</v>
      </c>
      <c r="E424">
        <v>2.2106994804229672</v>
      </c>
      <c r="F424">
        <v>4.6690047650474904</v>
      </c>
      <c r="G424" s="6">
        <v>7.6656000000000004</v>
      </c>
      <c r="H424">
        <v>-1.7545871559633026</v>
      </c>
      <c r="I424" s="7">
        <v>1.39</v>
      </c>
      <c r="J424" s="11">
        <v>9.1083599999999994E-3</v>
      </c>
      <c r="K424">
        <v>8.9358933598784773</v>
      </c>
    </row>
    <row r="425" spans="1:11" x14ac:dyDescent="0.3">
      <c r="A425">
        <v>1</v>
      </c>
      <c r="B425">
        <v>1</v>
      </c>
      <c r="C425">
        <v>30</v>
      </c>
      <c r="D425" s="16">
        <v>10.8</v>
      </c>
      <c r="E425">
        <v>5.3120404781386412</v>
      </c>
      <c r="F425">
        <v>7.0035071475712352</v>
      </c>
      <c r="G425" s="6">
        <v>7.6656000000000004</v>
      </c>
      <c r="H425">
        <v>-1.7545871559633026</v>
      </c>
      <c r="I425" s="7">
        <v>3.34</v>
      </c>
      <c r="J425" s="11">
        <v>9.1083599999999994E-3</v>
      </c>
      <c r="K425">
        <v>3.6518295920042991</v>
      </c>
    </row>
    <row r="426" spans="1:11" x14ac:dyDescent="0.3">
      <c r="A426">
        <v>1</v>
      </c>
      <c r="B426">
        <v>1</v>
      </c>
      <c r="C426">
        <v>30</v>
      </c>
      <c r="D426" s="16">
        <v>14.4</v>
      </c>
      <c r="E426">
        <v>9.8924825670725589</v>
      </c>
      <c r="F426">
        <v>9.3380095300949808</v>
      </c>
      <c r="G426" s="6">
        <v>7.6656000000000004</v>
      </c>
      <c r="H426">
        <v>-1.7545871559633026</v>
      </c>
      <c r="I426" s="7">
        <v>6.22</v>
      </c>
      <c r="J426" s="11">
        <v>9.1083599999999994E-3</v>
      </c>
      <c r="K426">
        <v>1.517381129030736</v>
      </c>
    </row>
    <row r="427" spans="1:11" x14ac:dyDescent="0.3">
      <c r="A427">
        <v>1</v>
      </c>
      <c r="B427">
        <v>1</v>
      </c>
      <c r="C427">
        <v>30</v>
      </c>
      <c r="D427" s="16">
        <v>18</v>
      </c>
      <c r="E427">
        <v>15.967930060033519</v>
      </c>
      <c r="F427">
        <v>11.672511912618726</v>
      </c>
      <c r="G427" s="6">
        <v>7.6656000000000004</v>
      </c>
      <c r="H427">
        <v>-1.7545871559633026</v>
      </c>
      <c r="I427" s="7">
        <v>10.039999999999999</v>
      </c>
      <c r="J427" s="11">
        <v>9.1083599999999994E-3</v>
      </c>
      <c r="K427">
        <v>0.19611951238188197</v>
      </c>
    </row>
    <row r="428" spans="1:11" x14ac:dyDescent="0.3">
      <c r="A428">
        <v>1</v>
      </c>
      <c r="B428">
        <v>1</v>
      </c>
      <c r="C428">
        <v>30</v>
      </c>
      <c r="D428" s="16">
        <v>21.6</v>
      </c>
      <c r="E428">
        <v>23.315722577698345</v>
      </c>
      <c r="F428">
        <v>14.00701429514247</v>
      </c>
      <c r="G428" s="6">
        <v>7.6656000000000004</v>
      </c>
      <c r="H428">
        <v>-1.7545871559633026</v>
      </c>
      <c r="I428" s="7">
        <v>14.66</v>
      </c>
      <c r="J428" s="11">
        <v>9.1083599999999994E-3</v>
      </c>
      <c r="K428">
        <v>-0.85257913920820116</v>
      </c>
    </row>
    <row r="429" spans="1:11" x14ac:dyDescent="0.3">
      <c r="A429">
        <v>1</v>
      </c>
      <c r="B429">
        <v>1</v>
      </c>
      <c r="C429">
        <v>30</v>
      </c>
      <c r="D429" s="16">
        <v>25.6</v>
      </c>
      <c r="E429">
        <v>32.667458509271768</v>
      </c>
      <c r="F429">
        <v>16.600905831279963</v>
      </c>
      <c r="G429" s="6">
        <v>7.6656000000000004</v>
      </c>
      <c r="H429">
        <v>-1.7545871559633026</v>
      </c>
      <c r="I429" s="7">
        <v>20.54</v>
      </c>
      <c r="J429" s="11">
        <v>9.1083599999999994E-3</v>
      </c>
      <c r="K429">
        <v>-1.8837115273269152</v>
      </c>
    </row>
    <row r="430" spans="1:11" x14ac:dyDescent="0.3">
      <c r="A430">
        <v>1</v>
      </c>
      <c r="B430">
        <v>2</v>
      </c>
      <c r="C430">
        <v>30</v>
      </c>
      <c r="D430" s="16">
        <v>3.6</v>
      </c>
      <c r="E430">
        <v>0.85883289167510968</v>
      </c>
      <c r="F430">
        <v>2.3345023825237452</v>
      </c>
      <c r="G430" s="6">
        <v>7.6656000000000004</v>
      </c>
      <c r="H430">
        <v>-1.7545871559633026</v>
      </c>
      <c r="I430" s="7">
        <v>0.54</v>
      </c>
      <c r="J430" s="11">
        <v>9.1083599999999994E-3</v>
      </c>
      <c r="K430">
        <v>36.25529829627925</v>
      </c>
    </row>
    <row r="431" spans="1:11" x14ac:dyDescent="0.3">
      <c r="A431">
        <v>1</v>
      </c>
      <c r="B431">
        <v>2</v>
      </c>
      <c r="C431">
        <v>30</v>
      </c>
      <c r="D431" s="16">
        <v>7.2</v>
      </c>
      <c r="E431">
        <v>3.212671187377262</v>
      </c>
      <c r="F431">
        <v>4.6690047650474904</v>
      </c>
      <c r="G431" s="6">
        <v>7.6656000000000004</v>
      </c>
      <c r="H431">
        <v>-1.7545871559633026</v>
      </c>
      <c r="I431" s="7">
        <v>2.02</v>
      </c>
      <c r="J431" s="11">
        <v>9.1083599999999994E-3</v>
      </c>
      <c r="K431">
        <v>8.7683623465000906</v>
      </c>
    </row>
    <row r="432" spans="1:11" x14ac:dyDescent="0.3">
      <c r="A432">
        <v>1</v>
      </c>
      <c r="B432">
        <v>2</v>
      </c>
      <c r="C432">
        <v>30</v>
      </c>
      <c r="D432" s="16">
        <v>10.8</v>
      </c>
      <c r="E432">
        <v>7.7613046506935843</v>
      </c>
      <c r="F432">
        <v>7.0035071475712352</v>
      </c>
      <c r="G432" s="6">
        <v>7.6656000000000004</v>
      </c>
      <c r="H432">
        <v>-1.7545871559633026</v>
      </c>
      <c r="I432" s="7">
        <v>4.88</v>
      </c>
      <c r="J432" s="11">
        <v>9.1083599999999994E-3</v>
      </c>
      <c r="K432">
        <v>3.2130864840886186</v>
      </c>
    </row>
    <row r="433" spans="1:11" x14ac:dyDescent="0.3">
      <c r="A433">
        <v>1</v>
      </c>
      <c r="B433">
        <v>2</v>
      </c>
      <c r="C433">
        <v>30</v>
      </c>
      <c r="D433" s="16">
        <v>14.4</v>
      </c>
      <c r="E433">
        <v>11.975947545025139</v>
      </c>
      <c r="F433">
        <v>9.3380095300949808</v>
      </c>
      <c r="G433" s="6">
        <v>7.6656000000000004</v>
      </c>
      <c r="H433">
        <v>-1.7545871559633026</v>
      </c>
      <c r="I433" s="7">
        <v>7.53</v>
      </c>
      <c r="J433" s="11">
        <v>9.1083599999999994E-3</v>
      </c>
      <c r="K433">
        <v>1.1662136502709954</v>
      </c>
    </row>
    <row r="434" spans="1:11" x14ac:dyDescent="0.3">
      <c r="A434">
        <v>1</v>
      </c>
      <c r="B434">
        <v>2</v>
      </c>
      <c r="C434">
        <v>30</v>
      </c>
      <c r="D434" s="16">
        <v>18</v>
      </c>
      <c r="E434">
        <v>19.482783190777951</v>
      </c>
      <c r="F434">
        <v>11.672511912618726</v>
      </c>
      <c r="G434" s="6">
        <v>7.6656000000000004</v>
      </c>
      <c r="H434">
        <v>-1.7545871559633026</v>
      </c>
      <c r="I434" s="7">
        <v>12.25</v>
      </c>
      <c r="J434" s="11">
        <v>9.1083599999999994E-3</v>
      </c>
      <c r="K434">
        <v>-0.41852302334824143</v>
      </c>
    </row>
    <row r="435" spans="1:11" x14ac:dyDescent="0.3">
      <c r="A435">
        <v>1</v>
      </c>
      <c r="B435">
        <v>2</v>
      </c>
      <c r="C435">
        <v>30</v>
      </c>
      <c r="D435" s="16">
        <v>21.6</v>
      </c>
      <c r="E435">
        <v>26.258020447326039</v>
      </c>
      <c r="F435">
        <v>14.00701429514247</v>
      </c>
      <c r="G435" s="6">
        <v>7.6656000000000004</v>
      </c>
      <c r="H435">
        <v>-1.7545871559633026</v>
      </c>
      <c r="I435" s="7">
        <v>16.510000000000002</v>
      </c>
      <c r="J435" s="11">
        <v>9.1083599999999994E-3</v>
      </c>
      <c r="K435">
        <v>-1.3522296184480147</v>
      </c>
    </row>
    <row r="436" spans="1:11" x14ac:dyDescent="0.3">
      <c r="A436">
        <v>1</v>
      </c>
      <c r="B436">
        <v>2</v>
      </c>
      <c r="C436">
        <v>30</v>
      </c>
      <c r="D436" s="16">
        <v>25.7</v>
      </c>
      <c r="E436">
        <v>36.325450455295382</v>
      </c>
      <c r="F436">
        <v>16.665753119683401</v>
      </c>
      <c r="G436" s="6">
        <v>7.6656000000000004</v>
      </c>
      <c r="H436">
        <v>-1.7545871559633026</v>
      </c>
      <c r="I436" s="7">
        <v>22.84</v>
      </c>
      <c r="J436" s="11">
        <v>9.1083599999999994E-3</v>
      </c>
      <c r="K436">
        <v>-2.4797646383302299</v>
      </c>
    </row>
    <row r="437" spans="1:11" x14ac:dyDescent="0.3">
      <c r="A437">
        <v>1</v>
      </c>
      <c r="B437">
        <v>4</v>
      </c>
      <c r="C437">
        <v>30</v>
      </c>
      <c r="D437" s="16">
        <v>3.6</v>
      </c>
      <c r="E437">
        <v>0.98606739414549638</v>
      </c>
      <c r="F437">
        <v>2.3345023825237452</v>
      </c>
      <c r="G437" s="6">
        <v>7.6656000000000004</v>
      </c>
      <c r="H437">
        <v>-1.7545871559633026</v>
      </c>
      <c r="I437" s="7">
        <v>0.62</v>
      </c>
      <c r="J437" s="11">
        <v>9.1083599999999994E-3</v>
      </c>
      <c r="K437">
        <v>36.226350983443027</v>
      </c>
    </row>
    <row r="438" spans="1:11" x14ac:dyDescent="0.3">
      <c r="A438">
        <v>1</v>
      </c>
      <c r="B438">
        <v>4</v>
      </c>
      <c r="C438">
        <v>30</v>
      </c>
      <c r="D438" s="16">
        <v>7.2</v>
      </c>
      <c r="E438">
        <v>3.9919825150083796</v>
      </c>
      <c r="F438">
        <v>4.6690047650474904</v>
      </c>
      <c r="G438" s="6">
        <v>7.6656000000000004</v>
      </c>
      <c r="H438">
        <v>-1.7545871559633026</v>
      </c>
      <c r="I438" s="7">
        <v>2.5099999999999998</v>
      </c>
      <c r="J438" s="11">
        <v>9.1083599999999994E-3</v>
      </c>
      <c r="K438">
        <v>8.5952633424522347</v>
      </c>
    </row>
    <row r="439" spans="1:11" x14ac:dyDescent="0.3">
      <c r="A439">
        <v>1</v>
      </c>
      <c r="B439">
        <v>4</v>
      </c>
      <c r="C439">
        <v>30</v>
      </c>
      <c r="D439" s="16">
        <v>10.8</v>
      </c>
      <c r="E439">
        <v>9.4153531828086106</v>
      </c>
      <c r="F439">
        <v>7.0035071475712352</v>
      </c>
      <c r="G439" s="6">
        <v>7.6656000000000004</v>
      </c>
      <c r="H439">
        <v>-1.7545871559633026</v>
      </c>
      <c r="I439" s="7">
        <v>5.92</v>
      </c>
      <c r="J439" s="11">
        <v>9.1083599999999994E-3</v>
      </c>
      <c r="K439">
        <v>2.8237950356014849</v>
      </c>
    </row>
    <row r="440" spans="1:11" x14ac:dyDescent="0.3">
      <c r="A440">
        <v>1</v>
      </c>
      <c r="B440">
        <v>4</v>
      </c>
      <c r="C440">
        <v>30</v>
      </c>
      <c r="D440" s="16">
        <v>14.4</v>
      </c>
      <c r="E440">
        <v>15.57032223981356</v>
      </c>
      <c r="F440">
        <v>9.3380095300949808</v>
      </c>
      <c r="G440" s="6">
        <v>7.6656000000000004</v>
      </c>
      <c r="H440">
        <v>-1.7545871559633026</v>
      </c>
      <c r="I440" s="7">
        <v>9.7899999999999991</v>
      </c>
      <c r="J440" s="11">
        <v>9.1083599999999994E-3</v>
      </c>
      <c r="K440">
        <v>0.40308699630356981</v>
      </c>
    </row>
    <row r="441" spans="1:11" x14ac:dyDescent="0.3">
      <c r="A441">
        <v>1</v>
      </c>
      <c r="B441">
        <v>4</v>
      </c>
      <c r="C441">
        <v>30</v>
      </c>
      <c r="D441" s="16">
        <v>18</v>
      </c>
      <c r="E441">
        <v>20.325711769644261</v>
      </c>
      <c r="F441">
        <v>11.672511912618726</v>
      </c>
      <c r="G441" s="6">
        <v>7.6656000000000004</v>
      </c>
      <c r="H441">
        <v>-1.7545871559633026</v>
      </c>
      <c r="I441" s="7">
        <v>12.78</v>
      </c>
      <c r="J441" s="11">
        <v>9.1083599999999994E-3</v>
      </c>
      <c r="K441">
        <v>-0.5840455049663652</v>
      </c>
    </row>
    <row r="442" spans="1:11" x14ac:dyDescent="0.3">
      <c r="A442">
        <v>1</v>
      </c>
      <c r="B442">
        <v>4</v>
      </c>
      <c r="C442">
        <v>30</v>
      </c>
      <c r="D442" s="16">
        <v>21.6</v>
      </c>
      <c r="E442">
        <v>23.824660587579896</v>
      </c>
      <c r="F442">
        <v>14.00701429514247</v>
      </c>
      <c r="G442" s="6">
        <v>7.6656000000000004</v>
      </c>
      <c r="H442">
        <v>-1.7545871559633026</v>
      </c>
      <c r="I442" s="7">
        <v>14.98</v>
      </c>
      <c r="J442" s="11">
        <v>9.1083599999999994E-3</v>
      </c>
      <c r="K442">
        <v>-0.9347628894443738</v>
      </c>
    </row>
    <row r="443" spans="1:11" x14ac:dyDescent="0.3">
      <c r="A443">
        <v>1</v>
      </c>
      <c r="B443">
        <v>4</v>
      </c>
      <c r="C443">
        <v>30</v>
      </c>
      <c r="D443" s="16">
        <v>25.5</v>
      </c>
      <c r="E443">
        <v>30.838462536259961</v>
      </c>
      <c r="F443">
        <v>16.536058542876528</v>
      </c>
      <c r="G443" s="6">
        <v>7.6656000000000004</v>
      </c>
      <c r="H443">
        <v>-1.7545871559633026</v>
      </c>
      <c r="I443" s="7">
        <v>19.39</v>
      </c>
      <c r="J443" s="11">
        <v>9.1083599999999994E-3</v>
      </c>
      <c r="K443">
        <v>-1.6130305095493331</v>
      </c>
    </row>
    <row r="444" spans="1:11" x14ac:dyDescent="0.3">
      <c r="A444">
        <v>1</v>
      </c>
      <c r="B444">
        <v>6</v>
      </c>
      <c r="C444">
        <v>30</v>
      </c>
      <c r="D444" s="16">
        <v>3.6</v>
      </c>
      <c r="E444">
        <v>0.63617251235193317</v>
      </c>
      <c r="F444">
        <v>2.3345023825237452</v>
      </c>
      <c r="G444" s="6">
        <v>7.6656000000000004</v>
      </c>
      <c r="H444">
        <v>-1.7545871559633026</v>
      </c>
      <c r="I444" s="7">
        <v>0.4</v>
      </c>
      <c r="J444" s="11">
        <v>9.1083599999999994E-3</v>
      </c>
      <c r="K444">
        <v>36.296348580430617</v>
      </c>
    </row>
    <row r="445" spans="1:11" x14ac:dyDescent="0.3">
      <c r="A445">
        <v>1</v>
      </c>
      <c r="B445">
        <v>6</v>
      </c>
      <c r="C445">
        <v>30</v>
      </c>
      <c r="D445" s="16">
        <v>7.2</v>
      </c>
      <c r="E445">
        <v>4.1669299559051618</v>
      </c>
      <c r="F445">
        <v>4.6690047650474904</v>
      </c>
      <c r="G445" s="6">
        <v>7.6656000000000004</v>
      </c>
      <c r="H445">
        <v>-1.7545871559633026</v>
      </c>
      <c r="I445" s="7">
        <v>2.62</v>
      </c>
      <c r="J445" s="11">
        <v>9.1083599999999994E-3</v>
      </c>
      <c r="K445">
        <v>8.5512575002284201</v>
      </c>
    </row>
    <row r="446" spans="1:11" x14ac:dyDescent="0.3">
      <c r="A446">
        <v>1</v>
      </c>
      <c r="B446">
        <v>6</v>
      </c>
      <c r="C446">
        <v>30</v>
      </c>
      <c r="D446" s="16">
        <v>10.8</v>
      </c>
      <c r="E446">
        <v>7.936252091590366</v>
      </c>
      <c r="F446">
        <v>7.0035071475712352</v>
      </c>
      <c r="G446" s="6">
        <v>7.6656000000000004</v>
      </c>
      <c r="H446">
        <v>-1.7545871559633026</v>
      </c>
      <c r="I446" s="7">
        <v>4.99</v>
      </c>
      <c r="J446" s="11">
        <v>9.1083599999999994E-3</v>
      </c>
      <c r="K446">
        <v>3.175457056949865</v>
      </c>
    </row>
    <row r="447" spans="1:11" x14ac:dyDescent="0.3">
      <c r="A447">
        <v>1</v>
      </c>
      <c r="B447">
        <v>6</v>
      </c>
      <c r="C447">
        <v>30</v>
      </c>
      <c r="D447" s="16">
        <v>14.4</v>
      </c>
      <c r="E447">
        <v>10.290090387292519</v>
      </c>
      <c r="F447">
        <v>9.3380095300949808</v>
      </c>
      <c r="G447" s="6">
        <v>7.6656000000000004</v>
      </c>
      <c r="H447">
        <v>-1.7545871559633026</v>
      </c>
      <c r="I447" s="7">
        <v>6.47</v>
      </c>
      <c r="J447" s="11">
        <v>9.1083599999999994E-3</v>
      </c>
      <c r="K447">
        <v>1.455530812508028</v>
      </c>
    </row>
    <row r="448" spans="1:11" x14ac:dyDescent="0.3">
      <c r="A448">
        <v>1</v>
      </c>
      <c r="B448">
        <v>6</v>
      </c>
      <c r="C448">
        <v>30</v>
      </c>
      <c r="D448" s="16">
        <v>18</v>
      </c>
      <c r="E448">
        <v>12.198607924348318</v>
      </c>
      <c r="F448">
        <v>11.672511912618726</v>
      </c>
      <c r="G448" s="6">
        <v>7.6656000000000004</v>
      </c>
      <c r="H448">
        <v>-1.7545871559633026</v>
      </c>
      <c r="I448" s="7">
        <v>7.67</v>
      </c>
      <c r="J448" s="11">
        <v>9.1083599999999994E-3</v>
      </c>
      <c r="K448">
        <v>0.71982506302021221</v>
      </c>
    </row>
    <row r="449" spans="1:11" x14ac:dyDescent="0.3">
      <c r="A449">
        <v>1</v>
      </c>
      <c r="B449">
        <v>6</v>
      </c>
      <c r="C449">
        <v>30</v>
      </c>
      <c r="D449" s="16">
        <v>21.6</v>
      </c>
      <c r="E449">
        <v>16.476868069915067</v>
      </c>
      <c r="F449">
        <v>14.00701429514247</v>
      </c>
      <c r="G449" s="6">
        <v>7.6656000000000004</v>
      </c>
      <c r="H449">
        <v>-1.7545871559633026</v>
      </c>
      <c r="I449" s="7">
        <v>10.36</v>
      </c>
      <c r="J449" s="11">
        <v>9.1083599999999994E-3</v>
      </c>
      <c r="K449">
        <v>7.9630391083304636E-2</v>
      </c>
    </row>
    <row r="450" spans="1:11" x14ac:dyDescent="0.3">
      <c r="A450">
        <v>1</v>
      </c>
      <c r="B450">
        <v>6</v>
      </c>
      <c r="C450">
        <v>30</v>
      </c>
      <c r="D450" s="16">
        <v>25.5</v>
      </c>
      <c r="E450">
        <v>21.168640348510575</v>
      </c>
      <c r="F450">
        <v>16.536058542876528</v>
      </c>
      <c r="G450" s="6">
        <v>7.6656000000000004</v>
      </c>
      <c r="H450">
        <v>-1.7545871559633026</v>
      </c>
      <c r="I450" s="7">
        <v>13.31</v>
      </c>
      <c r="J450" s="11">
        <v>9.1083599999999994E-3</v>
      </c>
      <c r="K450">
        <v>-0.37697990605051046</v>
      </c>
    </row>
    <row r="451" spans="1:11" x14ac:dyDescent="0.3">
      <c r="A451">
        <v>1</v>
      </c>
      <c r="B451">
        <v>1</v>
      </c>
      <c r="C451">
        <v>40</v>
      </c>
      <c r="D451" s="16">
        <v>4.0999999999999996</v>
      </c>
      <c r="E451">
        <v>0</v>
      </c>
      <c r="F451">
        <v>1.9940541177591533</v>
      </c>
      <c r="G451" s="6">
        <v>7.9885999999999999</v>
      </c>
      <c r="H451">
        <v>-1.7545871559633026</v>
      </c>
      <c r="I451" s="7">
        <v>0</v>
      </c>
      <c r="J451" s="11">
        <v>1.0389860000000001E-2</v>
      </c>
      <c r="K451">
        <v>49.81664359809659</v>
      </c>
    </row>
    <row r="452" spans="1:11" x14ac:dyDescent="0.3">
      <c r="A452">
        <v>1</v>
      </c>
      <c r="B452">
        <v>1</v>
      </c>
      <c r="C452">
        <v>40</v>
      </c>
      <c r="D452" s="16">
        <v>8.1999999999999993</v>
      </c>
      <c r="E452">
        <v>2.2902210444669593</v>
      </c>
      <c r="F452">
        <v>3.9881082355183066</v>
      </c>
      <c r="G452" s="6">
        <v>7.9885999999999999</v>
      </c>
      <c r="H452">
        <v>-1.7545871559633026</v>
      </c>
      <c r="I452" s="7">
        <v>1.44</v>
      </c>
      <c r="J452" s="11">
        <v>1.0389860000000001E-2</v>
      </c>
      <c r="K452">
        <v>12.232525037691065</v>
      </c>
    </row>
    <row r="453" spans="1:11" x14ac:dyDescent="0.3">
      <c r="A453">
        <v>1</v>
      </c>
      <c r="B453">
        <v>1</v>
      </c>
      <c r="C453">
        <v>40</v>
      </c>
      <c r="D453" s="16">
        <v>12.3</v>
      </c>
      <c r="E453">
        <v>5.2802318525210445</v>
      </c>
      <c r="F453">
        <v>5.9821623532774604</v>
      </c>
      <c r="G453" s="6">
        <v>7.9885999999999999</v>
      </c>
      <c r="H453">
        <v>-1.7545871559633026</v>
      </c>
      <c r="I453" s="7">
        <v>3.32</v>
      </c>
      <c r="J453" s="11">
        <v>1.0389860000000001E-2</v>
      </c>
      <c r="K453">
        <v>5.0115716987706422</v>
      </c>
    </row>
    <row r="454" spans="1:11" x14ac:dyDescent="0.3">
      <c r="A454">
        <v>1</v>
      </c>
      <c r="B454">
        <v>1</v>
      </c>
      <c r="C454">
        <v>40</v>
      </c>
      <c r="D454" s="16">
        <v>16.399999999999999</v>
      </c>
      <c r="E454">
        <v>12.055469109069133</v>
      </c>
      <c r="F454">
        <v>7.9762164710366132</v>
      </c>
      <c r="G454" s="6">
        <v>7.9885999999999999</v>
      </c>
      <c r="H454">
        <v>-1.7545871559633026</v>
      </c>
      <c r="I454" s="7">
        <v>7.58</v>
      </c>
      <c r="J454" s="11">
        <v>1.0389860000000001E-2</v>
      </c>
      <c r="K454">
        <v>1.5782394518502811</v>
      </c>
    </row>
    <row r="455" spans="1:11" x14ac:dyDescent="0.3">
      <c r="A455">
        <v>1</v>
      </c>
      <c r="B455">
        <v>1</v>
      </c>
      <c r="C455">
        <v>40</v>
      </c>
      <c r="D455" s="16">
        <v>20.5</v>
      </c>
      <c r="E455">
        <v>19.085175370557995</v>
      </c>
      <c r="F455">
        <v>9.9702705887957688</v>
      </c>
      <c r="G455" s="6">
        <v>7.9885999999999999</v>
      </c>
      <c r="H455">
        <v>-1.7545871559633026</v>
      </c>
      <c r="I455" s="7">
        <v>12</v>
      </c>
      <c r="J455" s="11">
        <v>1.0389860000000001E-2</v>
      </c>
      <c r="K455">
        <v>-0.46995494311038188</v>
      </c>
    </row>
    <row r="456" spans="1:11" x14ac:dyDescent="0.3">
      <c r="A456">
        <v>1</v>
      </c>
      <c r="B456">
        <v>1</v>
      </c>
      <c r="C456">
        <v>40</v>
      </c>
      <c r="D456" s="16">
        <v>24.6</v>
      </c>
      <c r="E456">
        <v>28.5641458046018</v>
      </c>
      <c r="F456">
        <v>11.964324706554921</v>
      </c>
      <c r="G456" s="6">
        <v>7.9885999999999999</v>
      </c>
      <c r="H456">
        <v>-1.7545871559633026</v>
      </c>
      <c r="I456" s="7">
        <v>17.96</v>
      </c>
      <c r="J456" s="11">
        <v>1.0389860000000001E-2</v>
      </c>
      <c r="K456">
        <v>-2.4469666371423102</v>
      </c>
    </row>
    <row r="457" spans="1:11" x14ac:dyDescent="0.3">
      <c r="A457">
        <v>1</v>
      </c>
      <c r="B457">
        <v>1</v>
      </c>
      <c r="C457">
        <v>40</v>
      </c>
      <c r="D457" s="16">
        <v>29.3</v>
      </c>
      <c r="E457">
        <v>36.802579839559328</v>
      </c>
      <c r="F457">
        <v>14.250191622034926</v>
      </c>
      <c r="G457" s="6">
        <v>7.9885999999999999</v>
      </c>
      <c r="H457">
        <v>-1.7545871559633026</v>
      </c>
      <c r="I457" s="7">
        <v>23.14</v>
      </c>
      <c r="J457" s="11">
        <v>1.0389860000000001E-2</v>
      </c>
      <c r="K457">
        <v>-3.5071893939566201</v>
      </c>
    </row>
    <row r="458" spans="1:11" x14ac:dyDescent="0.3">
      <c r="A458">
        <v>1</v>
      </c>
      <c r="B458">
        <v>2</v>
      </c>
      <c r="C458">
        <v>40</v>
      </c>
      <c r="D458" s="16">
        <v>4.0999999999999996</v>
      </c>
      <c r="E458">
        <v>0.63617251235193317</v>
      </c>
      <c r="F458">
        <v>1.9940541177591533</v>
      </c>
      <c r="G458" s="6">
        <v>7.9885999999999999</v>
      </c>
      <c r="H458">
        <v>-1.7545871559633026</v>
      </c>
      <c r="I458" s="7">
        <v>0.4</v>
      </c>
      <c r="J458" s="11">
        <v>1.0389860000000001E-2</v>
      </c>
      <c r="K458">
        <v>49.748237467901191</v>
      </c>
    </row>
    <row r="459" spans="1:11" x14ac:dyDescent="0.3">
      <c r="A459">
        <v>1</v>
      </c>
      <c r="B459">
        <v>2</v>
      </c>
      <c r="C459">
        <v>40</v>
      </c>
      <c r="D459" s="16">
        <v>8.1999999999999993</v>
      </c>
      <c r="E459">
        <v>3.1490539361420691</v>
      </c>
      <c r="F459">
        <v>3.9881082355183066</v>
      </c>
      <c r="G459" s="6">
        <v>7.9885999999999999</v>
      </c>
      <c r="H459">
        <v>-1.7545871559633026</v>
      </c>
      <c r="I459" s="7">
        <v>1.98</v>
      </c>
      <c r="J459" s="11">
        <v>1.0389860000000001E-2</v>
      </c>
      <c r="K459">
        <v>12.035130598245978</v>
      </c>
    </row>
    <row r="460" spans="1:11" x14ac:dyDescent="0.3">
      <c r="A460">
        <v>1</v>
      </c>
      <c r="B460">
        <v>2</v>
      </c>
      <c r="C460">
        <v>40</v>
      </c>
      <c r="D460" s="16">
        <v>12.3</v>
      </c>
      <c r="E460">
        <v>6.4889596259897173</v>
      </c>
      <c r="F460">
        <v>5.9821623532774604</v>
      </c>
      <c r="G460" s="6">
        <v>7.9885999999999999</v>
      </c>
      <c r="H460">
        <v>-1.7545871559633026</v>
      </c>
      <c r="I460" s="7">
        <v>4.08</v>
      </c>
      <c r="J460" s="11">
        <v>1.0389860000000001E-2</v>
      </c>
      <c r="K460">
        <v>4.7444077569519569</v>
      </c>
    </row>
    <row r="461" spans="1:11" x14ac:dyDescent="0.3">
      <c r="A461">
        <v>1</v>
      </c>
      <c r="B461">
        <v>2</v>
      </c>
      <c r="C461">
        <v>40</v>
      </c>
      <c r="D461" s="16">
        <v>16.399999999999999</v>
      </c>
      <c r="E461">
        <v>12.230416549965913</v>
      </c>
      <c r="F461">
        <v>7.9762164710366132</v>
      </c>
      <c r="G461" s="6">
        <v>7.9885999999999999</v>
      </c>
      <c r="H461">
        <v>-1.7545871559633026</v>
      </c>
      <c r="I461" s="7">
        <v>7.69</v>
      </c>
      <c r="J461" s="11">
        <v>1.0389860000000001E-2</v>
      </c>
      <c r="K461">
        <v>1.5333559452529348</v>
      </c>
    </row>
    <row r="462" spans="1:11" x14ac:dyDescent="0.3">
      <c r="A462">
        <v>1</v>
      </c>
      <c r="B462">
        <v>2</v>
      </c>
      <c r="C462">
        <v>40</v>
      </c>
      <c r="D462" s="16">
        <v>20.5</v>
      </c>
      <c r="E462">
        <v>19.864486698189111</v>
      </c>
      <c r="F462">
        <v>9.9702705887957688</v>
      </c>
      <c r="G462" s="6">
        <v>7.9885999999999999</v>
      </c>
      <c r="H462">
        <v>-1.7545871559633026</v>
      </c>
      <c r="I462" s="7">
        <v>12.49</v>
      </c>
      <c r="J462" s="11">
        <v>1.0389860000000001E-2</v>
      </c>
      <c r="K462">
        <v>-0.6751750438498243</v>
      </c>
    </row>
    <row r="463" spans="1:11" x14ac:dyDescent="0.3">
      <c r="A463">
        <v>1</v>
      </c>
      <c r="B463">
        <v>2</v>
      </c>
      <c r="C463">
        <v>40</v>
      </c>
      <c r="D463" s="16">
        <v>24.6</v>
      </c>
      <c r="E463">
        <v>24.444928787123029</v>
      </c>
      <c r="F463">
        <v>11.964324706554921</v>
      </c>
      <c r="G463" s="6">
        <v>7.9885999999999999</v>
      </c>
      <c r="H463">
        <v>-1.7545871559633026</v>
      </c>
      <c r="I463" s="7">
        <v>15.37</v>
      </c>
      <c r="J463" s="11">
        <v>1.0389860000000001E-2</v>
      </c>
      <c r="K463">
        <v>-1.4217689518509065</v>
      </c>
    </row>
    <row r="464" spans="1:11" x14ac:dyDescent="0.3">
      <c r="A464">
        <v>1</v>
      </c>
      <c r="B464">
        <v>2</v>
      </c>
      <c r="C464">
        <v>40</v>
      </c>
      <c r="D464" s="16">
        <v>29.4</v>
      </c>
      <c r="E464">
        <v>29.582021824364894</v>
      </c>
      <c r="F464">
        <v>14.298827088321735</v>
      </c>
      <c r="G464" s="6">
        <v>7.9885999999999999</v>
      </c>
      <c r="H464">
        <v>-1.7545871559633026</v>
      </c>
      <c r="I464" s="7">
        <v>18.600000000000001</v>
      </c>
      <c r="J464" s="11">
        <v>1.0389860000000001E-2</v>
      </c>
      <c r="K464">
        <v>-1.9077337416331761</v>
      </c>
    </row>
    <row r="465" spans="1:11" x14ac:dyDescent="0.3">
      <c r="A465">
        <v>1</v>
      </c>
      <c r="B465">
        <v>4</v>
      </c>
      <c r="C465">
        <v>40</v>
      </c>
      <c r="D465" s="16">
        <v>4.0999999999999996</v>
      </c>
      <c r="E465">
        <v>0.63617251235193317</v>
      </c>
      <c r="F465">
        <v>1.9940541177591533</v>
      </c>
      <c r="G465" s="6">
        <v>7.9885999999999999</v>
      </c>
      <c r="H465">
        <v>-1.7545871559633026</v>
      </c>
      <c r="I465" s="7">
        <v>0.4</v>
      </c>
      <c r="J465" s="11">
        <v>1.0389880000000001E-2</v>
      </c>
      <c r="K465">
        <v>49.748237467901191</v>
      </c>
    </row>
    <row r="466" spans="1:11" x14ac:dyDescent="0.3">
      <c r="A466">
        <v>1</v>
      </c>
      <c r="B466">
        <v>4</v>
      </c>
      <c r="C466">
        <v>40</v>
      </c>
      <c r="D466" s="16">
        <v>8.1999999999999993</v>
      </c>
      <c r="E466">
        <v>3.117245310524472</v>
      </c>
      <c r="F466">
        <v>3.9881082355183066</v>
      </c>
      <c r="G466" s="6">
        <v>7.9885999999999999</v>
      </c>
      <c r="H466">
        <v>-1.7545871559633026</v>
      </c>
      <c r="I466" s="7">
        <v>1.96</v>
      </c>
      <c r="J466" s="11">
        <v>1.0389880000000001E-2</v>
      </c>
      <c r="K466">
        <v>12.043553103026285</v>
      </c>
    </row>
    <row r="467" spans="1:11" x14ac:dyDescent="0.3">
      <c r="A467">
        <v>1</v>
      </c>
      <c r="B467">
        <v>4</v>
      </c>
      <c r="C467">
        <v>40</v>
      </c>
      <c r="D467" s="16">
        <v>12.3</v>
      </c>
      <c r="E467">
        <v>6.4412466875633232</v>
      </c>
      <c r="F467">
        <v>5.9821623532774604</v>
      </c>
      <c r="G467" s="6">
        <v>7.9885999999999999</v>
      </c>
      <c r="H467">
        <v>-1.7545871559633026</v>
      </c>
      <c r="I467" s="7">
        <v>4.05</v>
      </c>
      <c r="J467" s="11">
        <v>1.0389880000000001E-2</v>
      </c>
      <c r="K467">
        <v>4.7559940452538028</v>
      </c>
    </row>
    <row r="468" spans="1:11" x14ac:dyDescent="0.3">
      <c r="A468">
        <v>1</v>
      </c>
      <c r="B468">
        <v>4</v>
      </c>
      <c r="C468">
        <v>40</v>
      </c>
      <c r="D468" s="16">
        <v>16.399999999999999</v>
      </c>
      <c r="E468">
        <v>10.942167212453249</v>
      </c>
      <c r="F468">
        <v>7.9762164710366132</v>
      </c>
      <c r="G468" s="6">
        <v>7.9885999999999999</v>
      </c>
      <c r="H468">
        <v>-1.7545871559633026</v>
      </c>
      <c r="I468" s="7">
        <v>6.88</v>
      </c>
      <c r="J468" s="11">
        <v>1.0389880000000001E-2</v>
      </c>
      <c r="K468">
        <v>1.8487108775681704</v>
      </c>
    </row>
    <row r="469" spans="1:11" x14ac:dyDescent="0.3">
      <c r="A469">
        <v>1</v>
      </c>
      <c r="B469">
        <v>4</v>
      </c>
      <c r="C469">
        <v>40</v>
      </c>
      <c r="D469" s="16">
        <v>20.5</v>
      </c>
      <c r="E469">
        <v>11.753287165701963</v>
      </c>
      <c r="F469">
        <v>9.9702705887957688</v>
      </c>
      <c r="G469" s="6">
        <v>7.9885999999999999</v>
      </c>
      <c r="H469">
        <v>-1.7545871559633026</v>
      </c>
      <c r="I469" s="7">
        <v>7.39</v>
      </c>
      <c r="J469" s="11">
        <v>1.0389880000000001E-2</v>
      </c>
      <c r="K469">
        <v>1.0587151382128708</v>
      </c>
    </row>
    <row r="470" spans="1:11" x14ac:dyDescent="0.3">
      <c r="A470">
        <v>1</v>
      </c>
      <c r="B470">
        <v>4</v>
      </c>
      <c r="C470">
        <v>40</v>
      </c>
      <c r="D470" s="16">
        <v>24.6</v>
      </c>
      <c r="E470">
        <v>13.645900389948967</v>
      </c>
      <c r="F470">
        <v>11.964324706554921</v>
      </c>
      <c r="G470" s="6">
        <v>7.9885999999999999</v>
      </c>
      <c r="H470">
        <v>-1.7545871559633026</v>
      </c>
      <c r="I470" s="7">
        <v>8.58</v>
      </c>
      <c r="J470" s="11">
        <v>1.0389880000000001E-2</v>
      </c>
      <c r="K470">
        <v>0.50952255777415367</v>
      </c>
    </row>
    <row r="471" spans="1:11" x14ac:dyDescent="0.3">
      <c r="A471">
        <v>1</v>
      </c>
      <c r="B471">
        <v>4</v>
      </c>
      <c r="C471">
        <v>40</v>
      </c>
      <c r="D471" s="16">
        <v>29.5</v>
      </c>
      <c r="E471">
        <v>19.450974565160358</v>
      </c>
      <c r="F471">
        <v>14.347462554608544</v>
      </c>
      <c r="G471" s="6">
        <v>7.9885999999999999</v>
      </c>
      <c r="H471">
        <v>-1.7545871559633026</v>
      </c>
      <c r="I471" s="7">
        <v>12.23</v>
      </c>
      <c r="J471" s="11">
        <v>1.0389880000000001E-2</v>
      </c>
      <c r="K471">
        <v>-0.27296816551134173</v>
      </c>
    </row>
    <row r="472" spans="1:11" x14ac:dyDescent="0.3">
      <c r="A472">
        <v>1</v>
      </c>
      <c r="B472">
        <v>6</v>
      </c>
      <c r="C472">
        <v>40</v>
      </c>
      <c r="D472" s="16">
        <v>4.0999999999999996</v>
      </c>
      <c r="E472">
        <v>0</v>
      </c>
      <c r="F472">
        <v>1.9940541177591533</v>
      </c>
      <c r="G472" s="6">
        <v>7.9885999999999999</v>
      </c>
      <c r="H472">
        <v>-1.7545871559633026</v>
      </c>
      <c r="I472" s="7">
        <v>0</v>
      </c>
      <c r="J472" s="11">
        <v>1.0389840000000001E-2</v>
      </c>
      <c r="K472">
        <v>49.81664359809659</v>
      </c>
    </row>
    <row r="473" spans="1:11" x14ac:dyDescent="0.3">
      <c r="A473">
        <v>1</v>
      </c>
      <c r="B473">
        <v>6</v>
      </c>
      <c r="C473">
        <v>40</v>
      </c>
      <c r="D473" s="16">
        <v>8.1999999999999993</v>
      </c>
      <c r="E473">
        <v>2.115273603570178</v>
      </c>
      <c r="F473">
        <v>3.9881082355183066</v>
      </c>
      <c r="G473" s="6">
        <v>7.9885999999999999</v>
      </c>
      <c r="H473">
        <v>-1.7545871559633026</v>
      </c>
      <c r="I473" s="7">
        <v>1.33</v>
      </c>
      <c r="J473" s="11">
        <v>1.0389840000000001E-2</v>
      </c>
      <c r="K473">
        <v>12.26509276873878</v>
      </c>
    </row>
    <row r="474" spans="1:11" x14ac:dyDescent="0.3">
      <c r="A474">
        <v>1</v>
      </c>
      <c r="B474">
        <v>6</v>
      </c>
      <c r="C474">
        <v>40</v>
      </c>
      <c r="D474" s="16">
        <v>12.3</v>
      </c>
      <c r="E474">
        <v>3.3399056898476487</v>
      </c>
      <c r="F474">
        <v>5.9821623532774604</v>
      </c>
      <c r="G474" s="6">
        <v>7.9885999999999999</v>
      </c>
      <c r="H474">
        <v>-1.7545871559633026</v>
      </c>
      <c r="I474" s="7">
        <v>2.1</v>
      </c>
      <c r="J474" s="11">
        <v>1.0389840000000001E-2</v>
      </c>
      <c r="K474">
        <v>5.3256888482873332</v>
      </c>
    </row>
    <row r="475" spans="1:11" x14ac:dyDescent="0.3">
      <c r="A475">
        <v>1</v>
      </c>
      <c r="B475">
        <v>6</v>
      </c>
      <c r="C475">
        <v>40</v>
      </c>
      <c r="D475" s="16">
        <v>16.399999999999999</v>
      </c>
      <c r="E475">
        <v>3.8806523253467922</v>
      </c>
      <c r="F475">
        <v>7.9762164710366132</v>
      </c>
      <c r="G475" s="6">
        <v>7.9885999999999999</v>
      </c>
      <c r="H475">
        <v>-1.7545871559633026</v>
      </c>
      <c r="I475" s="7">
        <v>2.44</v>
      </c>
      <c r="J475" s="11">
        <v>1.0389840000000001E-2</v>
      </c>
      <c r="K475">
        <v>2.9544532183453698</v>
      </c>
    </row>
    <row r="476" spans="1:11" x14ac:dyDescent="0.3">
      <c r="A476">
        <v>1</v>
      </c>
      <c r="B476">
        <v>6</v>
      </c>
      <c r="C476">
        <v>40</v>
      </c>
      <c r="D476" s="16">
        <v>20.5</v>
      </c>
      <c r="E476">
        <v>7.2682709536208367</v>
      </c>
      <c r="F476">
        <v>9.9702705887957688</v>
      </c>
      <c r="G476" s="6">
        <v>7.9885999999999999</v>
      </c>
      <c r="H476">
        <v>-1.7545871559633026</v>
      </c>
      <c r="I476" s="7">
        <v>4.57</v>
      </c>
      <c r="J476" s="11">
        <v>1.0389840000000001E-2</v>
      </c>
      <c r="K476">
        <v>1.6355019467944083</v>
      </c>
    </row>
    <row r="477" spans="1:11" x14ac:dyDescent="0.3">
      <c r="A477">
        <v>1</v>
      </c>
      <c r="B477">
        <v>6</v>
      </c>
      <c r="C477">
        <v>40</v>
      </c>
      <c r="D477" s="16">
        <v>24.6</v>
      </c>
      <c r="E477">
        <v>9.5584919980877938</v>
      </c>
      <c r="F477">
        <v>11.964324706554921</v>
      </c>
      <c r="G477" s="6">
        <v>7.9885999999999999</v>
      </c>
      <c r="H477">
        <v>-1.7545871559633026</v>
      </c>
      <c r="I477" s="7">
        <v>6.01</v>
      </c>
      <c r="J477" s="11">
        <v>1.0389840000000001E-2</v>
      </c>
      <c r="K477">
        <v>0.95483102646262874</v>
      </c>
    </row>
    <row r="478" spans="1:11" x14ac:dyDescent="0.3">
      <c r="A478">
        <v>1</v>
      </c>
      <c r="B478">
        <v>6</v>
      </c>
      <c r="C478">
        <v>40</v>
      </c>
      <c r="D478" s="16">
        <v>29.1</v>
      </c>
      <c r="E478">
        <v>13.232388256920208</v>
      </c>
      <c r="F478">
        <v>14.152920689461309</v>
      </c>
      <c r="G478" s="6">
        <v>7.9885999999999999</v>
      </c>
      <c r="H478">
        <v>-1.7545871559633026</v>
      </c>
      <c r="I478" s="7">
        <v>8.32</v>
      </c>
      <c r="J478" s="11">
        <v>1.0389840000000001E-2</v>
      </c>
      <c r="K478">
        <v>0.40141471331746365</v>
      </c>
    </row>
    <row r="479" spans="1:11" x14ac:dyDescent="0.3">
      <c r="A479">
        <v>1</v>
      </c>
      <c r="B479">
        <v>1</v>
      </c>
      <c r="C479">
        <v>60</v>
      </c>
      <c r="D479" s="16">
        <v>4.7</v>
      </c>
      <c r="E479">
        <v>0</v>
      </c>
      <c r="F479">
        <v>1.5239112774807779</v>
      </c>
      <c r="G479" s="6">
        <v>7.9885999999999999</v>
      </c>
      <c r="H479">
        <v>-1.7545871559633026</v>
      </c>
      <c r="I479" s="7">
        <v>0</v>
      </c>
      <c r="J479" s="11">
        <v>1.2535019999999999E-2</v>
      </c>
      <c r="K479">
        <v>85.296061623683187</v>
      </c>
    </row>
    <row r="480" spans="1:11" x14ac:dyDescent="0.3">
      <c r="A480">
        <v>1</v>
      </c>
      <c r="B480">
        <v>1</v>
      </c>
      <c r="C480">
        <v>60</v>
      </c>
      <c r="D480" s="16">
        <v>9.4</v>
      </c>
      <c r="E480">
        <v>1.6222399064974293</v>
      </c>
      <c r="F480">
        <v>3.0478225549615559</v>
      </c>
      <c r="G480" s="6">
        <v>7.9885999999999999</v>
      </c>
      <c r="H480">
        <v>-1.7545871559633026</v>
      </c>
      <c r="I480" s="7">
        <v>1.02</v>
      </c>
      <c r="J480" s="11">
        <v>1.2535019999999999E-2</v>
      </c>
      <c r="K480">
        <v>21.133614106670137</v>
      </c>
    </row>
    <row r="481" spans="1:11" x14ac:dyDescent="0.3">
      <c r="A481">
        <v>1</v>
      </c>
      <c r="B481">
        <v>1</v>
      </c>
      <c r="C481">
        <v>60</v>
      </c>
      <c r="D481" s="16">
        <v>14.1</v>
      </c>
      <c r="E481">
        <v>4.3100687711843468</v>
      </c>
      <c r="F481">
        <v>4.5717338324423338</v>
      </c>
      <c r="G481" s="6">
        <v>7.9885999999999999</v>
      </c>
      <c r="H481">
        <v>-1.7545871559633026</v>
      </c>
      <c r="I481" s="7">
        <v>2.71</v>
      </c>
      <c r="J481" s="11">
        <v>1.2535019999999999E-2</v>
      </c>
      <c r="K481">
        <v>8.8799946373160843</v>
      </c>
    </row>
    <row r="482" spans="1:11" x14ac:dyDescent="0.3">
      <c r="A482">
        <v>1</v>
      </c>
      <c r="B482">
        <v>1</v>
      </c>
      <c r="C482">
        <v>60</v>
      </c>
      <c r="D482" s="16">
        <v>18.8</v>
      </c>
      <c r="E482">
        <v>7.3000795792384325</v>
      </c>
      <c r="F482">
        <v>6.0956451099231117</v>
      </c>
      <c r="G482" s="6">
        <v>7.9885999999999999</v>
      </c>
      <c r="H482">
        <v>-1.7545871559633026</v>
      </c>
      <c r="I482" s="7">
        <v>4.59</v>
      </c>
      <c r="J482" s="11">
        <v>1.2535019999999999E-2</v>
      </c>
      <c r="K482">
        <v>4.3670972740237364</v>
      </c>
    </row>
    <row r="483" spans="1:11" x14ac:dyDescent="0.3">
      <c r="A483">
        <v>1</v>
      </c>
      <c r="B483">
        <v>1</v>
      </c>
      <c r="C483">
        <v>60</v>
      </c>
      <c r="D483" s="16">
        <v>23.5</v>
      </c>
      <c r="E483">
        <v>10.830837022791659</v>
      </c>
      <c r="F483">
        <v>7.6195563874038896</v>
      </c>
      <c r="G483" s="6">
        <v>7.9885999999999999</v>
      </c>
      <c r="H483">
        <v>-1.7545871559633026</v>
      </c>
      <c r="I483" s="7">
        <v>6.81</v>
      </c>
      <c r="J483" s="11">
        <v>1.2535019999999999E-2</v>
      </c>
      <c r="K483">
        <v>2.053892492755323</v>
      </c>
    </row>
    <row r="484" spans="1:11" x14ac:dyDescent="0.3">
      <c r="A484">
        <v>1</v>
      </c>
      <c r="B484">
        <v>1</v>
      </c>
      <c r="C484">
        <v>60</v>
      </c>
      <c r="D484" s="16">
        <v>28.2</v>
      </c>
      <c r="E484">
        <v>15.252235983637595</v>
      </c>
      <c r="F484">
        <v>9.1434676648846676</v>
      </c>
      <c r="G484" s="6">
        <v>7.9885999999999999</v>
      </c>
      <c r="H484">
        <v>-1.7545871559633026</v>
      </c>
      <c r="I484" s="7">
        <v>9.59</v>
      </c>
      <c r="J484" s="11">
        <v>1.2535019999999999E-2</v>
      </c>
      <c r="K484">
        <v>0.49923746194897489</v>
      </c>
    </row>
    <row r="485" spans="1:11" x14ac:dyDescent="0.3">
      <c r="A485">
        <v>1</v>
      </c>
      <c r="B485">
        <v>1</v>
      </c>
      <c r="C485">
        <v>60</v>
      </c>
      <c r="D485" s="16">
        <v>33.299999999999997</v>
      </c>
      <c r="E485">
        <v>16.397346505871077</v>
      </c>
      <c r="F485">
        <v>10.797073519172319</v>
      </c>
      <c r="G485" s="6">
        <v>7.9885999999999999</v>
      </c>
      <c r="H485">
        <v>-1.7545871559633026</v>
      </c>
      <c r="I485" s="7">
        <v>10.31</v>
      </c>
      <c r="J485" s="11">
        <v>1.2535019999999999E-2</v>
      </c>
      <c r="K485">
        <v>0.14908755867476359</v>
      </c>
    </row>
    <row r="486" spans="1:11" x14ac:dyDescent="0.3">
      <c r="A486">
        <v>1</v>
      </c>
      <c r="B486">
        <v>2</v>
      </c>
      <c r="C486">
        <v>60</v>
      </c>
      <c r="D486" s="16">
        <v>4.7</v>
      </c>
      <c r="E486">
        <v>0.63617251235193317</v>
      </c>
      <c r="F486">
        <v>1.5239112774807779</v>
      </c>
      <c r="G486" s="6">
        <v>7.9885999999999999</v>
      </c>
      <c r="H486">
        <v>-1.7545871559633026</v>
      </c>
      <c r="I486" s="7">
        <v>0.4</v>
      </c>
      <c r="J486" s="11">
        <v>1.2535019999999999E-2</v>
      </c>
      <c r="K486">
        <v>85.178936641445162</v>
      </c>
    </row>
    <row r="487" spans="1:11" x14ac:dyDescent="0.3">
      <c r="A487">
        <v>1</v>
      </c>
      <c r="B487">
        <v>2</v>
      </c>
      <c r="C487">
        <v>60</v>
      </c>
      <c r="D487" s="16">
        <v>9.4</v>
      </c>
      <c r="E487">
        <v>1.7335700961590177</v>
      </c>
      <c r="F487">
        <v>3.0478225549615559</v>
      </c>
      <c r="G487" s="6">
        <v>7.9885999999999999</v>
      </c>
      <c r="H487">
        <v>-1.7545871559633026</v>
      </c>
      <c r="I487" s="7">
        <v>1.0900000000000001</v>
      </c>
      <c r="J487" s="11">
        <v>1.2535019999999999E-2</v>
      </c>
      <c r="K487">
        <v>21.106583856863022</v>
      </c>
    </row>
    <row r="488" spans="1:11" x14ac:dyDescent="0.3">
      <c r="A488">
        <v>1</v>
      </c>
      <c r="B488">
        <v>2</v>
      </c>
      <c r="C488">
        <v>60</v>
      </c>
      <c r="D488" s="16">
        <v>14.1</v>
      </c>
      <c r="E488">
        <v>4.5645377761251202</v>
      </c>
      <c r="F488">
        <v>4.5717338324423338</v>
      </c>
      <c r="G488" s="6">
        <v>7.9885999999999999</v>
      </c>
      <c r="H488">
        <v>-1.7545871559633026</v>
      </c>
      <c r="I488" s="7">
        <v>2.87</v>
      </c>
      <c r="J488" s="11">
        <v>1.2535019999999999E-2</v>
      </c>
      <c r="K488">
        <v>8.8073771483285217</v>
      </c>
    </row>
    <row r="489" spans="1:11" x14ac:dyDescent="0.3">
      <c r="A489">
        <v>1</v>
      </c>
      <c r="B489">
        <v>2</v>
      </c>
      <c r="C489">
        <v>60</v>
      </c>
      <c r="D489" s="16">
        <v>18.8</v>
      </c>
      <c r="E489">
        <v>6.7593329437392899</v>
      </c>
      <c r="F489">
        <v>6.0956451099231117</v>
      </c>
      <c r="G489" s="6">
        <v>7.9885999999999999</v>
      </c>
      <c r="H489">
        <v>-1.7545871559633026</v>
      </c>
      <c r="I489" s="7">
        <v>4.25</v>
      </c>
      <c r="J489" s="11">
        <v>1.2535019999999999E-2</v>
      </c>
      <c r="K489">
        <v>4.5046093234825451</v>
      </c>
    </row>
    <row r="490" spans="1:11" x14ac:dyDescent="0.3">
      <c r="A490">
        <v>1</v>
      </c>
      <c r="B490">
        <v>2</v>
      </c>
      <c r="C490">
        <v>60</v>
      </c>
      <c r="D490" s="16">
        <v>23.5</v>
      </c>
      <c r="E490">
        <v>8.2861469733839304</v>
      </c>
      <c r="F490">
        <v>7.6195563874038896</v>
      </c>
      <c r="G490" s="6">
        <v>7.9885999999999999</v>
      </c>
      <c r="H490">
        <v>-1.7545871559633026</v>
      </c>
      <c r="I490" s="7">
        <v>5.21</v>
      </c>
      <c r="J490" s="11">
        <v>1.2535019999999999E-2</v>
      </c>
      <c r="K490">
        <v>2.6170294073556586</v>
      </c>
    </row>
    <row r="491" spans="1:11" x14ac:dyDescent="0.3">
      <c r="A491">
        <v>1</v>
      </c>
      <c r="B491">
        <v>2</v>
      </c>
      <c r="C491">
        <v>60</v>
      </c>
      <c r="D491" s="16">
        <v>28.2</v>
      </c>
      <c r="E491">
        <v>10.719506833130072</v>
      </c>
      <c r="F491">
        <v>9.1434676648846676</v>
      </c>
      <c r="G491" s="6">
        <v>7.9885999999999999</v>
      </c>
      <c r="H491">
        <v>-1.7545871559633026</v>
      </c>
      <c r="I491" s="7">
        <v>6.74</v>
      </c>
      <c r="J491" s="11">
        <v>1.2535019999999999E-2</v>
      </c>
      <c r="K491">
        <v>1.4456012181725761</v>
      </c>
    </row>
    <row r="492" spans="1:11" x14ac:dyDescent="0.3">
      <c r="A492">
        <v>1</v>
      </c>
      <c r="B492">
        <v>2</v>
      </c>
      <c r="C492">
        <v>60</v>
      </c>
      <c r="D492" s="16">
        <v>33.299999999999997</v>
      </c>
      <c r="E492">
        <v>12.246320862774713</v>
      </c>
      <c r="F492">
        <v>10.797073519172319</v>
      </c>
      <c r="G492" s="6">
        <v>7.9885999999999999</v>
      </c>
      <c r="H492">
        <v>-1.7545871559633026</v>
      </c>
      <c r="I492" s="7">
        <v>7.7</v>
      </c>
      <c r="J492" s="11">
        <v>1.2535019999999999E-2</v>
      </c>
      <c r="K492">
        <v>0.83456161822528951</v>
      </c>
    </row>
    <row r="493" spans="1:11" x14ac:dyDescent="0.3">
      <c r="A493">
        <v>1</v>
      </c>
      <c r="B493">
        <v>4</v>
      </c>
      <c r="C493">
        <v>60</v>
      </c>
      <c r="D493" s="16">
        <v>4.7</v>
      </c>
      <c r="E493">
        <v>0</v>
      </c>
      <c r="F493">
        <v>1.5239112774807779</v>
      </c>
      <c r="G493" s="6">
        <v>7.9885999999999999</v>
      </c>
      <c r="H493">
        <v>-1.7545871559633026</v>
      </c>
      <c r="I493" s="7">
        <v>0</v>
      </c>
      <c r="J493" s="11">
        <v>1.2535040000000001E-2</v>
      </c>
      <c r="K493">
        <v>85.296061623683187</v>
      </c>
    </row>
    <row r="494" spans="1:11" x14ac:dyDescent="0.3">
      <c r="A494">
        <v>1</v>
      </c>
      <c r="B494">
        <v>4</v>
      </c>
      <c r="C494">
        <v>60</v>
      </c>
      <c r="D494" s="16">
        <v>9.4</v>
      </c>
      <c r="E494">
        <v>0</v>
      </c>
      <c r="F494">
        <v>3.0478225549615559</v>
      </c>
      <c r="G494" s="6">
        <v>7.9885999999999999</v>
      </c>
      <c r="H494">
        <v>-1.7545871559633026</v>
      </c>
      <c r="I494" s="7">
        <v>0</v>
      </c>
      <c r="J494" s="11">
        <v>1.2535040000000001E-2</v>
      </c>
      <c r="K494">
        <v>21.324015405920797</v>
      </c>
    </row>
    <row r="495" spans="1:11" x14ac:dyDescent="0.3">
      <c r="A495">
        <v>1</v>
      </c>
      <c r="B495">
        <v>4</v>
      </c>
      <c r="C495">
        <v>60</v>
      </c>
      <c r="D495" s="16">
        <v>14.1</v>
      </c>
      <c r="E495">
        <v>0.63617251235193317</v>
      </c>
      <c r="F495">
        <v>4.5717338324423338</v>
      </c>
      <c r="G495" s="6">
        <v>7.9885999999999999</v>
      </c>
      <c r="H495">
        <v>-1.7545871559633026</v>
      </c>
      <c r="I495" s="7">
        <v>0.4</v>
      </c>
      <c r="J495" s="11">
        <v>1.2535040000000001E-2</v>
      </c>
      <c r="K495">
        <v>9.4643262934939099</v>
      </c>
    </row>
    <row r="496" spans="1:11" x14ac:dyDescent="0.3">
      <c r="A496">
        <v>1</v>
      </c>
      <c r="B496">
        <v>4</v>
      </c>
      <c r="C496">
        <v>60</v>
      </c>
      <c r="D496" s="16">
        <v>18.8</v>
      </c>
      <c r="E496">
        <v>1.6699528449238243</v>
      </c>
      <c r="F496">
        <v>6.0956451099231117</v>
      </c>
      <c r="G496" s="6">
        <v>7.9885999999999999</v>
      </c>
      <c r="H496">
        <v>-1.7545871559633026</v>
      </c>
      <c r="I496" s="7">
        <v>1.05</v>
      </c>
      <c r="J496" s="11">
        <v>1.2535040000000001E-2</v>
      </c>
      <c r="K496">
        <v>5.2805623308093379</v>
      </c>
    </row>
    <row r="497" spans="1:11" x14ac:dyDescent="0.3">
      <c r="A497">
        <v>1</v>
      </c>
      <c r="B497">
        <v>4</v>
      </c>
      <c r="C497">
        <v>60</v>
      </c>
      <c r="D497" s="16">
        <v>23.5</v>
      </c>
      <c r="E497">
        <v>2.2425081060405643</v>
      </c>
      <c r="F497">
        <v>7.6195563874038896</v>
      </c>
      <c r="G497" s="6">
        <v>7.9885999999999999</v>
      </c>
      <c r="H497">
        <v>-1.7545871559633026</v>
      </c>
      <c r="I497" s="7">
        <v>1.41</v>
      </c>
      <c r="J497" s="11">
        <v>1.2535040000000001E-2</v>
      </c>
      <c r="K497">
        <v>3.3536284206504816</v>
      </c>
    </row>
    <row r="498" spans="1:11" x14ac:dyDescent="0.3">
      <c r="A498">
        <v>1</v>
      </c>
      <c r="B498">
        <v>4</v>
      </c>
      <c r="C498">
        <v>60</v>
      </c>
      <c r="D498" s="16">
        <v>28.2</v>
      </c>
      <c r="E498">
        <v>3.2762884386124553</v>
      </c>
      <c r="F498">
        <v>9.1434676648846676</v>
      </c>
      <c r="G498" s="6">
        <v>7.9885999999999999</v>
      </c>
      <c r="H498">
        <v>-1.7545871559633026</v>
      </c>
      <c r="I498" s="7">
        <v>2.06</v>
      </c>
      <c r="J498" s="11">
        <v>1.2535040000000001E-2</v>
      </c>
      <c r="K498">
        <v>2.2830448411743234</v>
      </c>
    </row>
    <row r="499" spans="1:11" x14ac:dyDescent="0.3">
      <c r="A499">
        <v>1</v>
      </c>
      <c r="B499">
        <v>4</v>
      </c>
      <c r="C499">
        <v>60</v>
      </c>
      <c r="D499" s="16">
        <v>33.299999999999997</v>
      </c>
      <c r="E499">
        <v>3.51485313074443</v>
      </c>
      <c r="F499">
        <v>10.797073519172319</v>
      </c>
      <c r="G499" s="6">
        <v>7.9885999999999999</v>
      </c>
      <c r="H499">
        <v>-1.7545871559633026</v>
      </c>
      <c r="I499" s="7">
        <v>2.21</v>
      </c>
      <c r="J499" s="11">
        <v>1.2535040000000001E-2</v>
      </c>
      <c r="K499">
        <v>1.6279444586757834</v>
      </c>
    </row>
    <row r="500" spans="1:11" x14ac:dyDescent="0.3">
      <c r="A500">
        <v>1</v>
      </c>
      <c r="B500">
        <v>6</v>
      </c>
      <c r="C500">
        <v>60</v>
      </c>
      <c r="D500" s="16">
        <v>4.7</v>
      </c>
      <c r="E500">
        <v>0</v>
      </c>
      <c r="F500">
        <v>1.5239112774807779</v>
      </c>
      <c r="G500" s="6">
        <v>7.9885999999999999</v>
      </c>
      <c r="H500">
        <v>-1.7545871559633026</v>
      </c>
      <c r="I500" s="7">
        <v>0</v>
      </c>
      <c r="J500" s="11">
        <v>1.2535020000000001E-2</v>
      </c>
      <c r="K500">
        <v>85.296061623683187</v>
      </c>
    </row>
    <row r="501" spans="1:11" x14ac:dyDescent="0.3">
      <c r="A501">
        <v>1</v>
      </c>
      <c r="B501">
        <v>6</v>
      </c>
      <c r="C501">
        <v>60</v>
      </c>
      <c r="D501" s="16">
        <v>9.4</v>
      </c>
      <c r="E501">
        <v>0</v>
      </c>
      <c r="F501">
        <v>3.0478225549615559</v>
      </c>
      <c r="G501" s="6">
        <v>7.9885999999999999</v>
      </c>
      <c r="H501">
        <v>-1.7545871559633026</v>
      </c>
      <c r="I501" s="7">
        <v>0</v>
      </c>
      <c r="J501" s="11">
        <v>1.2535020000000001E-2</v>
      </c>
      <c r="K501">
        <v>21.324015405920797</v>
      </c>
    </row>
    <row r="502" spans="1:11" x14ac:dyDescent="0.3">
      <c r="A502">
        <v>1</v>
      </c>
      <c r="B502">
        <v>6</v>
      </c>
      <c r="C502">
        <v>60</v>
      </c>
      <c r="D502" s="16">
        <v>14.1</v>
      </c>
      <c r="E502">
        <v>0</v>
      </c>
      <c r="F502">
        <v>4.5717338324423338</v>
      </c>
      <c r="G502" s="6">
        <v>7.9885999999999999</v>
      </c>
      <c r="H502">
        <v>-1.7545871559633026</v>
      </c>
      <c r="I502" s="7">
        <v>0</v>
      </c>
      <c r="J502" s="11">
        <v>1.2535020000000001E-2</v>
      </c>
      <c r="K502">
        <v>9.4773401804092412</v>
      </c>
    </row>
    <row r="503" spans="1:11" x14ac:dyDescent="0.3">
      <c r="A503">
        <v>1</v>
      </c>
      <c r="B503">
        <v>6</v>
      </c>
      <c r="C503">
        <v>60</v>
      </c>
      <c r="D503" s="16">
        <v>18.8</v>
      </c>
      <c r="E503">
        <v>0</v>
      </c>
      <c r="F503">
        <v>6.0956451099231117</v>
      </c>
      <c r="G503" s="6">
        <v>7.9885999999999999</v>
      </c>
      <c r="H503">
        <v>-1.7545871559633026</v>
      </c>
      <c r="I503" s="7">
        <v>0</v>
      </c>
      <c r="J503" s="11">
        <v>1.2535020000000001E-2</v>
      </c>
      <c r="K503">
        <v>5.3310038514801992</v>
      </c>
    </row>
    <row r="504" spans="1:11" x14ac:dyDescent="0.3">
      <c r="A504">
        <v>1</v>
      </c>
      <c r="B504">
        <v>6</v>
      </c>
      <c r="C504">
        <v>60</v>
      </c>
      <c r="D504" s="16">
        <v>23.5</v>
      </c>
      <c r="E504">
        <v>0</v>
      </c>
      <c r="F504">
        <v>7.6195563874038896</v>
      </c>
      <c r="G504" s="6">
        <v>7.9885999999999999</v>
      </c>
      <c r="H504">
        <v>-1.7545871559633026</v>
      </c>
      <c r="I504" s="7">
        <v>0</v>
      </c>
      <c r="J504" s="11">
        <v>1.2535020000000001E-2</v>
      </c>
      <c r="K504">
        <v>3.4118424649473273</v>
      </c>
    </row>
    <row r="505" spans="1:11" x14ac:dyDescent="0.3">
      <c r="A505">
        <v>1</v>
      </c>
      <c r="B505">
        <v>6</v>
      </c>
      <c r="C505">
        <v>60</v>
      </c>
      <c r="D505" s="16">
        <v>28.2</v>
      </c>
      <c r="E505">
        <v>0</v>
      </c>
      <c r="F505">
        <v>9.1434676648846676</v>
      </c>
      <c r="G505" s="6">
        <v>7.9885999999999999</v>
      </c>
      <c r="H505">
        <v>-1.7545871559633026</v>
      </c>
      <c r="I505" s="7">
        <v>0</v>
      </c>
      <c r="J505" s="11">
        <v>1.2535020000000001E-2</v>
      </c>
      <c r="K505">
        <v>2.3693350451023103</v>
      </c>
    </row>
    <row r="506" spans="1:11" x14ac:dyDescent="0.3">
      <c r="A506">
        <v>1</v>
      </c>
      <c r="B506">
        <v>6</v>
      </c>
      <c r="C506">
        <v>60</v>
      </c>
      <c r="D506" s="16">
        <v>33.299999999999997</v>
      </c>
      <c r="E506">
        <v>0</v>
      </c>
      <c r="F506">
        <v>10.797073519172319</v>
      </c>
      <c r="G506" s="6">
        <v>7.9885999999999999</v>
      </c>
      <c r="H506">
        <v>-1.7545871559633026</v>
      </c>
      <c r="I506" s="7">
        <v>0</v>
      </c>
      <c r="J506" s="11">
        <v>1.2535020000000001E-2</v>
      </c>
      <c r="K506">
        <v>1.6991676372473032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6F82F-3F7F-4EDE-9861-3B7E6EBEEC19}">
  <dimension ref="A1:I505"/>
  <sheetViews>
    <sheetView workbookViewId="0">
      <selection activeCell="C8" sqref="C8"/>
    </sheetView>
  </sheetViews>
  <sheetFormatPr defaultColWidth="14" defaultRowHeight="14.4" x14ac:dyDescent="0.3"/>
  <sheetData>
    <row r="1" spans="1:9" ht="16.2" x14ac:dyDescent="0.3">
      <c r="A1" t="s">
        <v>31</v>
      </c>
      <c r="B1" t="s">
        <v>1</v>
      </c>
      <c r="C1" t="s">
        <v>32</v>
      </c>
      <c r="D1" s="5" t="s">
        <v>29</v>
      </c>
      <c r="E1" t="s">
        <v>33</v>
      </c>
      <c r="F1" s="3" t="s">
        <v>30</v>
      </c>
      <c r="G1" s="3" t="s">
        <v>8</v>
      </c>
      <c r="H1" s="11" t="s">
        <v>28</v>
      </c>
      <c r="I1" t="s">
        <v>34</v>
      </c>
    </row>
    <row r="2" spans="1:9" x14ac:dyDescent="0.3">
      <c r="A2">
        <v>0.6</v>
      </c>
      <c r="B2">
        <v>1</v>
      </c>
      <c r="C2">
        <v>10</v>
      </c>
      <c r="D2" s="3">
        <v>1.6</v>
      </c>
      <c r="E2">
        <v>0</v>
      </c>
      <c r="F2" s="7">
        <v>0.94</v>
      </c>
      <c r="G2" s="7">
        <v>0</v>
      </c>
      <c r="H2" s="11">
        <v>4.0000000000000001E-3</v>
      </c>
      <c r="I2">
        <v>19.936623459420002</v>
      </c>
    </row>
    <row r="3" spans="1:9" x14ac:dyDescent="0.3">
      <c r="A3">
        <v>0.6</v>
      </c>
      <c r="B3">
        <v>1</v>
      </c>
      <c r="C3">
        <v>10</v>
      </c>
      <c r="D3" s="3">
        <v>3.2</v>
      </c>
      <c r="E3">
        <v>3.4671401923180354</v>
      </c>
      <c r="F3" s="7">
        <v>0.94</v>
      </c>
      <c r="G3" s="7">
        <v>2.1800000000000002</v>
      </c>
      <c r="H3" s="11">
        <v>4.0000000000000001E-3</v>
      </c>
      <c r="I3">
        <v>4.7808709375443756</v>
      </c>
    </row>
    <row r="4" spans="1:9" x14ac:dyDescent="0.3">
      <c r="A4">
        <v>0.6</v>
      </c>
      <c r="B4">
        <v>1</v>
      </c>
      <c r="C4">
        <v>10</v>
      </c>
      <c r="D4" s="3">
        <v>4.8</v>
      </c>
      <c r="E4">
        <v>10.846741335600459</v>
      </c>
      <c r="F4" s="7">
        <v>0.94</v>
      </c>
      <c r="G4" s="7">
        <v>6.82</v>
      </c>
      <c r="H4" s="11">
        <v>4.0000000000000001E-3</v>
      </c>
      <c r="I4">
        <v>1.3309235547975002</v>
      </c>
    </row>
    <row r="5" spans="1:9" x14ac:dyDescent="0.3">
      <c r="A5">
        <v>0.6</v>
      </c>
      <c r="B5">
        <v>1</v>
      </c>
      <c r="C5">
        <v>10</v>
      </c>
      <c r="D5" s="3">
        <v>6.4</v>
      </c>
      <c r="E5">
        <v>16.683624136429447</v>
      </c>
      <c r="F5" s="7">
        <v>0.94</v>
      </c>
      <c r="G5" s="7">
        <v>10.49</v>
      </c>
      <c r="H5" s="11">
        <v>4.0000000000000001E-3</v>
      </c>
      <c r="I5">
        <v>6.9291757974023468E-2</v>
      </c>
    </row>
    <row r="6" spans="1:9" x14ac:dyDescent="0.3">
      <c r="A6">
        <v>0.6</v>
      </c>
      <c r="B6">
        <v>1</v>
      </c>
      <c r="C6">
        <v>10</v>
      </c>
      <c r="D6" s="3">
        <v>8</v>
      </c>
      <c r="E6">
        <v>23.4588613929775</v>
      </c>
      <c r="F6" s="7">
        <v>0.94</v>
      </c>
      <c r="G6" s="7">
        <v>14.75</v>
      </c>
      <c r="H6" s="11">
        <v>4.0000000000000001E-3</v>
      </c>
      <c r="I6">
        <v>-0.69154026313882477</v>
      </c>
    </row>
    <row r="7" spans="1:9" x14ac:dyDescent="0.3">
      <c r="A7">
        <v>0.6</v>
      </c>
      <c r="B7">
        <v>1</v>
      </c>
      <c r="C7">
        <v>10</v>
      </c>
      <c r="D7" s="3">
        <v>9.6</v>
      </c>
      <c r="E7">
        <v>29.534308885938493</v>
      </c>
      <c r="F7" s="7">
        <v>0.94</v>
      </c>
      <c r="G7" s="7">
        <v>18.57</v>
      </c>
      <c r="H7" s="11">
        <v>4.0000000000000001E-3</v>
      </c>
      <c r="I7">
        <v>-1.0851842834451564</v>
      </c>
    </row>
    <row r="8" spans="1:9" x14ac:dyDescent="0.3">
      <c r="A8">
        <v>0.6</v>
      </c>
      <c r="B8">
        <v>1</v>
      </c>
      <c r="C8">
        <v>10</v>
      </c>
      <c r="D8" s="7">
        <v>11.55</v>
      </c>
      <c r="E8">
        <v>36.945718654838515</v>
      </c>
      <c r="F8" s="7">
        <v>0.94</v>
      </c>
      <c r="G8" s="7">
        <v>23.23</v>
      </c>
      <c r="H8" s="11">
        <v>4.0000000000000001E-3</v>
      </c>
      <c r="I8">
        <v>-1.3892638529682848</v>
      </c>
    </row>
    <row r="9" spans="1:9" x14ac:dyDescent="0.3">
      <c r="A9">
        <v>0.6</v>
      </c>
      <c r="B9">
        <v>2</v>
      </c>
      <c r="C9">
        <v>10</v>
      </c>
      <c r="D9" s="3">
        <v>1.6</v>
      </c>
      <c r="E9">
        <v>0.31101767270538949</v>
      </c>
      <c r="F9" s="7">
        <v>0.94</v>
      </c>
      <c r="G9" s="7">
        <v>0.44</v>
      </c>
      <c r="H9" s="11">
        <v>4.0000000000000001E-3</v>
      </c>
      <c r="I9">
        <v>19.903498333649999</v>
      </c>
    </row>
    <row r="10" spans="1:9" x14ac:dyDescent="0.3">
      <c r="A10">
        <v>0.6</v>
      </c>
      <c r="B10">
        <v>2</v>
      </c>
      <c r="C10">
        <v>10</v>
      </c>
      <c r="D10" s="3">
        <v>3.2</v>
      </c>
      <c r="E10">
        <v>4.0874083918611692</v>
      </c>
      <c r="F10" s="7">
        <v>0.94</v>
      </c>
      <c r="G10" s="7">
        <v>2.57</v>
      </c>
      <c r="H10" s="11">
        <v>4.0000000000000001E-3</v>
      </c>
      <c r="I10">
        <v>4.7016298534935945</v>
      </c>
    </row>
    <row r="11" spans="1:9" x14ac:dyDescent="0.3">
      <c r="A11">
        <v>0.6</v>
      </c>
      <c r="B11">
        <v>2</v>
      </c>
      <c r="C11">
        <v>10</v>
      </c>
      <c r="D11" s="3">
        <v>4.8</v>
      </c>
      <c r="E11">
        <v>10.862645648409259</v>
      </c>
      <c r="F11" s="7">
        <v>0.94</v>
      </c>
      <c r="G11" s="7">
        <v>6.83</v>
      </c>
      <c r="H11" s="11">
        <v>4.0000000000000001E-3</v>
      </c>
      <c r="I11">
        <v>1.3283285251443753</v>
      </c>
    </row>
    <row r="12" spans="1:9" x14ac:dyDescent="0.3">
      <c r="A12">
        <v>0.6</v>
      </c>
      <c r="B12">
        <v>2</v>
      </c>
      <c r="C12">
        <v>10</v>
      </c>
      <c r="D12" s="3">
        <v>6.4</v>
      </c>
      <c r="E12">
        <v>17.940064848324514</v>
      </c>
      <c r="F12" s="7">
        <v>0.94</v>
      </c>
      <c r="G12" s="7">
        <v>11.28</v>
      </c>
      <c r="H12" s="11">
        <v>4.0000000000000001E-3</v>
      </c>
      <c r="I12">
        <v>-0.11462348302874979</v>
      </c>
    </row>
    <row r="13" spans="1:9" x14ac:dyDescent="0.3">
      <c r="A13">
        <v>0.6</v>
      </c>
      <c r="B13">
        <v>2</v>
      </c>
      <c r="C13">
        <v>10</v>
      </c>
      <c r="D13" s="3">
        <v>8</v>
      </c>
      <c r="E13">
        <v>26.957810210913163</v>
      </c>
      <c r="F13" s="7">
        <v>0.94</v>
      </c>
      <c r="G13" s="7">
        <v>16.95</v>
      </c>
      <c r="H13" s="11">
        <v>4.0000000000000001E-3</v>
      </c>
      <c r="I13">
        <v>-1.1688432117338243</v>
      </c>
    </row>
    <row r="14" spans="1:9" x14ac:dyDescent="0.3">
      <c r="A14">
        <v>0.6</v>
      </c>
      <c r="B14">
        <v>2</v>
      </c>
      <c r="C14">
        <v>10</v>
      </c>
      <c r="D14" s="3">
        <v>9.6</v>
      </c>
      <c r="E14">
        <v>34.973583866547514</v>
      </c>
      <c r="F14" s="7">
        <v>0.94</v>
      </c>
      <c r="G14" s="7">
        <v>21.99</v>
      </c>
      <c r="H14" s="11">
        <v>4.0000000000000001E-3</v>
      </c>
      <c r="I14">
        <v>-1.7444701027476561</v>
      </c>
    </row>
    <row r="15" spans="1:9" x14ac:dyDescent="0.3">
      <c r="A15">
        <v>0.6</v>
      </c>
      <c r="B15">
        <v>2</v>
      </c>
      <c r="C15">
        <v>10</v>
      </c>
      <c r="D15" s="7">
        <v>11.5</v>
      </c>
      <c r="E15">
        <v>43.482391219254623</v>
      </c>
      <c r="F15" s="7">
        <v>0.94</v>
      </c>
      <c r="G15" s="7">
        <v>27.34</v>
      </c>
      <c r="H15" s="11">
        <v>4.0000000000000001E-3</v>
      </c>
      <c r="I15">
        <v>-2.0897554239697542</v>
      </c>
    </row>
    <row r="16" spans="1:9" x14ac:dyDescent="0.3">
      <c r="A16">
        <v>0.6</v>
      </c>
      <c r="B16">
        <v>4</v>
      </c>
      <c r="C16">
        <v>10</v>
      </c>
      <c r="D16" s="3">
        <v>1.6</v>
      </c>
      <c r="E16">
        <v>0</v>
      </c>
      <c r="F16" s="7">
        <v>0.94</v>
      </c>
      <c r="G16" s="7">
        <v>0</v>
      </c>
      <c r="H16" s="11">
        <v>4.0000000000000001E-3</v>
      </c>
      <c r="I16">
        <v>19.936623459420002</v>
      </c>
    </row>
    <row r="17" spans="1:9" x14ac:dyDescent="0.3">
      <c r="A17">
        <v>0.6</v>
      </c>
      <c r="B17">
        <v>4</v>
      </c>
      <c r="C17">
        <v>10</v>
      </c>
      <c r="D17" s="3">
        <v>3.2</v>
      </c>
      <c r="E17">
        <v>4.0078868278171784</v>
      </c>
      <c r="F17" s="7">
        <v>0.94</v>
      </c>
      <c r="G17" s="7">
        <v>2.52</v>
      </c>
      <c r="H17" s="11">
        <v>4.0000000000000001E-3</v>
      </c>
      <c r="I17">
        <v>4.7125161454725006</v>
      </c>
    </row>
    <row r="18" spans="1:9" x14ac:dyDescent="0.3">
      <c r="A18">
        <v>0.6</v>
      </c>
      <c r="B18">
        <v>4</v>
      </c>
      <c r="C18">
        <v>10</v>
      </c>
      <c r="D18" s="3">
        <v>4.8</v>
      </c>
      <c r="E18">
        <v>10.433229202571701</v>
      </c>
      <c r="F18" s="7">
        <v>0.94</v>
      </c>
      <c r="G18" s="7">
        <v>6.56</v>
      </c>
      <c r="H18" s="11">
        <v>4.0000000000000001E-3</v>
      </c>
      <c r="I18">
        <v>1.3970597391000006</v>
      </c>
    </row>
    <row r="19" spans="1:9" x14ac:dyDescent="0.3">
      <c r="A19">
        <v>0.6</v>
      </c>
      <c r="B19">
        <v>4</v>
      </c>
      <c r="C19">
        <v>10</v>
      </c>
      <c r="D19" s="3">
        <v>6.4</v>
      </c>
      <c r="E19">
        <v>18.433098545397261</v>
      </c>
      <c r="F19" s="7">
        <v>0.94</v>
      </c>
      <c r="G19" s="7">
        <v>11.59</v>
      </c>
      <c r="H19" s="11">
        <v>4.0000000000000001E-3</v>
      </c>
      <c r="I19">
        <v>-0.19043934181347669</v>
      </c>
    </row>
    <row r="20" spans="1:9" x14ac:dyDescent="0.3">
      <c r="A20">
        <v>0.6</v>
      </c>
      <c r="B20">
        <v>4</v>
      </c>
      <c r="C20">
        <v>10</v>
      </c>
      <c r="D20" s="3">
        <v>8</v>
      </c>
      <c r="E20">
        <v>25.924029878341276</v>
      </c>
      <c r="F20" s="7">
        <v>0.94</v>
      </c>
      <c r="G20" s="7">
        <v>16.3</v>
      </c>
      <c r="H20" s="11">
        <v>4.0000000000000001E-3</v>
      </c>
      <c r="I20">
        <v>-1.0209265215056997</v>
      </c>
    </row>
    <row r="21" spans="1:9" x14ac:dyDescent="0.3">
      <c r="A21">
        <v>0.6</v>
      </c>
      <c r="B21">
        <v>4</v>
      </c>
      <c r="C21">
        <v>10</v>
      </c>
      <c r="D21" s="3">
        <v>9.6</v>
      </c>
      <c r="E21">
        <v>35.403000312385082</v>
      </c>
      <c r="F21" s="7">
        <v>0.94</v>
      </c>
      <c r="G21" s="7">
        <v>22.26</v>
      </c>
      <c r="H21" s="11">
        <v>4.0000000000000001E-3</v>
      </c>
      <c r="I21">
        <v>-1.8012541994156259</v>
      </c>
    </row>
    <row r="22" spans="1:9" x14ac:dyDescent="0.3">
      <c r="A22">
        <v>0.6</v>
      </c>
      <c r="B22">
        <v>4</v>
      </c>
      <c r="C22">
        <v>10</v>
      </c>
      <c r="D22" s="7">
        <v>11.45</v>
      </c>
      <c r="E22">
        <v>46.233837335176737</v>
      </c>
      <c r="F22" s="7">
        <v>0.94</v>
      </c>
      <c r="G22" s="7">
        <v>29.07</v>
      </c>
      <c r="H22" s="11">
        <v>4.0000000000000001E-3</v>
      </c>
      <c r="I22">
        <v>-2.4340957919532094</v>
      </c>
    </row>
    <row r="23" spans="1:9" x14ac:dyDescent="0.3">
      <c r="A23">
        <v>0.6</v>
      </c>
      <c r="B23">
        <v>6</v>
      </c>
      <c r="C23">
        <v>10</v>
      </c>
      <c r="D23" s="3">
        <v>1.6</v>
      </c>
      <c r="E23">
        <v>0</v>
      </c>
      <c r="F23" s="7">
        <v>0.94</v>
      </c>
      <c r="G23" s="7">
        <v>0</v>
      </c>
      <c r="H23" s="11">
        <v>4.00002E-3</v>
      </c>
      <c r="I23">
        <v>19.936623459420002</v>
      </c>
    </row>
    <row r="24" spans="1:9" x14ac:dyDescent="0.3">
      <c r="A24">
        <v>0.6</v>
      </c>
      <c r="B24">
        <v>6</v>
      </c>
      <c r="C24">
        <v>10</v>
      </c>
      <c r="D24" s="3">
        <v>3.2</v>
      </c>
      <c r="E24">
        <v>3.7852264484940017</v>
      </c>
      <c r="F24" s="7">
        <v>0.94</v>
      </c>
      <c r="G24" s="7">
        <v>2.38</v>
      </c>
      <c r="H24" s="11">
        <v>4.00002E-3</v>
      </c>
      <c r="I24">
        <v>4.7418599423193752</v>
      </c>
    </row>
    <row r="25" spans="1:9" x14ac:dyDescent="0.3">
      <c r="A25">
        <v>0.6</v>
      </c>
      <c r="B25">
        <v>6</v>
      </c>
      <c r="C25">
        <v>10</v>
      </c>
      <c r="D25" s="3">
        <v>4.8</v>
      </c>
      <c r="E25">
        <v>10.926262899644453</v>
      </c>
      <c r="F25" s="7">
        <v>0.94</v>
      </c>
      <c r="G25" s="7">
        <v>6.87</v>
      </c>
      <c r="H25" s="11">
        <v>4.00002E-3</v>
      </c>
      <c r="I25">
        <v>1.3179103841193753</v>
      </c>
    </row>
    <row r="26" spans="1:9" x14ac:dyDescent="0.3">
      <c r="A26">
        <v>0.6</v>
      </c>
      <c r="B26">
        <v>6</v>
      </c>
      <c r="C26">
        <v>10</v>
      </c>
      <c r="D26" s="3">
        <v>6.4</v>
      </c>
      <c r="E26">
        <v>17.431126838442971</v>
      </c>
      <c r="F26" s="7">
        <v>0.94</v>
      </c>
      <c r="G26" s="7">
        <v>10.96</v>
      </c>
      <c r="H26" s="11">
        <v>4.00002E-3</v>
      </c>
      <c r="I26">
        <v>-3.8517822168750035E-2</v>
      </c>
    </row>
    <row r="27" spans="1:9" x14ac:dyDescent="0.3">
      <c r="A27">
        <v>0.6</v>
      </c>
      <c r="B27">
        <v>6</v>
      </c>
      <c r="C27">
        <v>10</v>
      </c>
      <c r="D27" s="3">
        <v>8</v>
      </c>
      <c r="E27">
        <v>27.164566277427543</v>
      </c>
      <c r="F27" s="7">
        <v>0.94</v>
      </c>
      <c r="G27" s="7">
        <v>17.079999999999998</v>
      </c>
      <c r="H27" s="11">
        <v>4.00002E-3</v>
      </c>
      <c r="I27">
        <v>-1.1991205348523992</v>
      </c>
    </row>
    <row r="28" spans="1:9" x14ac:dyDescent="0.3">
      <c r="A28">
        <v>0.6</v>
      </c>
      <c r="B28">
        <v>6</v>
      </c>
      <c r="C28">
        <v>10</v>
      </c>
      <c r="D28" s="3">
        <v>9.6</v>
      </c>
      <c r="E28">
        <v>33.001449078256528</v>
      </c>
      <c r="F28" s="7">
        <v>0.94</v>
      </c>
      <c r="G28" s="7">
        <v>20.75</v>
      </c>
      <c r="H28" s="11">
        <v>4.00002E-3</v>
      </c>
      <c r="I28">
        <v>-1.4925830266589064</v>
      </c>
    </row>
    <row r="29" spans="1:9" x14ac:dyDescent="0.3">
      <c r="A29">
        <v>0.6</v>
      </c>
      <c r="B29">
        <v>6</v>
      </c>
      <c r="C29">
        <v>10</v>
      </c>
      <c r="D29" s="7">
        <v>11.45</v>
      </c>
      <c r="E29">
        <v>40.492380411200543</v>
      </c>
      <c r="F29" s="7">
        <v>0.94</v>
      </c>
      <c r="G29" s="7">
        <v>25.46</v>
      </c>
      <c r="H29" s="11">
        <v>4.00002E-3</v>
      </c>
      <c r="I29">
        <v>-1.776401800189257</v>
      </c>
    </row>
    <row r="30" spans="1:9" x14ac:dyDescent="0.3">
      <c r="A30">
        <v>0.6</v>
      </c>
      <c r="B30">
        <v>1</v>
      </c>
      <c r="C30">
        <v>15</v>
      </c>
      <c r="D30" s="3">
        <v>1.9</v>
      </c>
      <c r="E30">
        <v>0</v>
      </c>
      <c r="F30" s="7">
        <v>1.41</v>
      </c>
      <c r="G30" s="7">
        <v>0</v>
      </c>
      <c r="H30" s="11">
        <v>5.7099999999999998E-3</v>
      </c>
      <c r="I30">
        <v>31.810235769046876</v>
      </c>
    </row>
    <row r="31" spans="1:9" x14ac:dyDescent="0.3">
      <c r="A31">
        <v>0.6</v>
      </c>
      <c r="B31">
        <v>1</v>
      </c>
      <c r="C31">
        <v>15</v>
      </c>
      <c r="D31" s="3">
        <v>3.8</v>
      </c>
      <c r="E31">
        <v>0.88357293382212931</v>
      </c>
      <c r="F31" s="7">
        <v>1.41</v>
      </c>
      <c r="G31" s="7">
        <v>1.25</v>
      </c>
      <c r="H31" s="11">
        <v>5.7099999999999998E-3</v>
      </c>
      <c r="I31">
        <v>7.8459171343496692</v>
      </c>
    </row>
    <row r="32" spans="1:9" x14ac:dyDescent="0.3">
      <c r="A32">
        <v>0.6</v>
      </c>
      <c r="B32">
        <v>1</v>
      </c>
      <c r="C32">
        <v>15</v>
      </c>
      <c r="D32" s="3">
        <v>5.7</v>
      </c>
      <c r="E32">
        <v>3.2603841258036566</v>
      </c>
      <c r="F32" s="7">
        <v>1.41</v>
      </c>
      <c r="G32" s="7">
        <v>2.0499999999999998</v>
      </c>
      <c r="H32" s="11">
        <v>5.7099999999999998E-3</v>
      </c>
      <c r="I32">
        <v>3.4069933936450973</v>
      </c>
    </row>
    <row r="33" spans="1:9" x14ac:dyDescent="0.3">
      <c r="A33">
        <v>0.6</v>
      </c>
      <c r="B33">
        <v>1</v>
      </c>
      <c r="C33">
        <v>15</v>
      </c>
      <c r="D33" s="3">
        <v>7.6</v>
      </c>
      <c r="E33">
        <v>5.4074663549914312</v>
      </c>
      <c r="F33" s="7">
        <v>1.41</v>
      </c>
      <c r="G33" s="7">
        <v>3.4</v>
      </c>
      <c r="H33" s="11">
        <v>5.7099999999999998E-3</v>
      </c>
      <c r="I33">
        <v>1.7908950476513024</v>
      </c>
    </row>
    <row r="34" spans="1:9" x14ac:dyDescent="0.3">
      <c r="A34">
        <v>0.6</v>
      </c>
      <c r="B34">
        <v>1</v>
      </c>
      <c r="C34">
        <v>15</v>
      </c>
      <c r="D34" s="3">
        <v>9.5</v>
      </c>
      <c r="E34">
        <v>7.8408262147375751</v>
      </c>
      <c r="F34" s="7">
        <v>1.41</v>
      </c>
      <c r="G34" s="7">
        <v>4.93</v>
      </c>
      <c r="H34" s="11">
        <v>5.7099999999999998E-3</v>
      </c>
      <c r="I34">
        <v>1.0069969787046251</v>
      </c>
    </row>
    <row r="35" spans="1:9" x14ac:dyDescent="0.3">
      <c r="A35">
        <v>0.6</v>
      </c>
      <c r="B35">
        <v>1</v>
      </c>
      <c r="C35">
        <v>15</v>
      </c>
      <c r="D35" s="3">
        <v>11.4</v>
      </c>
      <c r="E35">
        <v>10.973975838070846</v>
      </c>
      <c r="F35" s="7">
        <v>1.41</v>
      </c>
      <c r="G35" s="7">
        <v>6.9</v>
      </c>
      <c r="H35" s="11">
        <v>5.7099999999999998E-3</v>
      </c>
      <c r="I35">
        <v>0.52257115538426602</v>
      </c>
    </row>
    <row r="36" spans="1:9" x14ac:dyDescent="0.3">
      <c r="A36">
        <v>0.6</v>
      </c>
      <c r="B36">
        <v>1</v>
      </c>
      <c r="C36">
        <v>15</v>
      </c>
      <c r="D36" s="7">
        <v>13.3</v>
      </c>
      <c r="E36">
        <v>14.234359963874502</v>
      </c>
      <c r="F36" s="7">
        <v>1.41</v>
      </c>
      <c r="G36" s="7">
        <v>8.9499999999999993</v>
      </c>
      <c r="H36" s="11">
        <v>5.7099999999999998E-3</v>
      </c>
      <c r="I36">
        <v>0.20289817751557018</v>
      </c>
    </row>
    <row r="37" spans="1:9" x14ac:dyDescent="0.3">
      <c r="A37">
        <v>0.6</v>
      </c>
      <c r="B37">
        <v>2</v>
      </c>
      <c r="C37">
        <v>15</v>
      </c>
      <c r="D37" s="3">
        <v>1.9</v>
      </c>
      <c r="E37">
        <v>0</v>
      </c>
      <c r="F37" s="7">
        <v>1.41</v>
      </c>
      <c r="G37" s="7">
        <v>0</v>
      </c>
      <c r="H37" s="11">
        <v>5.7099999999999998E-3</v>
      </c>
      <c r="I37">
        <v>31.810235769046876</v>
      </c>
    </row>
    <row r="38" spans="1:9" x14ac:dyDescent="0.3">
      <c r="A38">
        <v>0.6</v>
      </c>
      <c r="B38">
        <v>2</v>
      </c>
      <c r="C38">
        <v>15</v>
      </c>
      <c r="D38" s="3">
        <v>3.8</v>
      </c>
      <c r="E38">
        <v>3.0377237464804803</v>
      </c>
      <c r="F38" s="7">
        <v>1.41</v>
      </c>
      <c r="G38" s="7">
        <v>1.91</v>
      </c>
      <c r="H38" s="11">
        <v>5.7099999999999998E-3</v>
      </c>
      <c r="I38">
        <v>7.7035733554175909</v>
      </c>
    </row>
    <row r="39" spans="1:9" x14ac:dyDescent="0.3">
      <c r="A39">
        <v>0.6</v>
      </c>
      <c r="B39">
        <v>2</v>
      </c>
      <c r="C39">
        <v>15</v>
      </c>
      <c r="D39" s="3">
        <v>5.7</v>
      </c>
      <c r="E39">
        <v>5.868691426446583</v>
      </c>
      <c r="F39" s="7">
        <v>1.41</v>
      </c>
      <c r="G39" s="7">
        <v>3.69</v>
      </c>
      <c r="H39" s="11">
        <v>5.7099999999999998E-3</v>
      </c>
      <c r="I39">
        <v>3.1214443595584491</v>
      </c>
    </row>
    <row r="40" spans="1:9" x14ac:dyDescent="0.3">
      <c r="A40">
        <v>0.6</v>
      </c>
      <c r="B40">
        <v>2</v>
      </c>
      <c r="C40">
        <v>15</v>
      </c>
      <c r="D40" s="3">
        <v>7.6</v>
      </c>
      <c r="E40">
        <v>11.578339724805184</v>
      </c>
      <c r="F40" s="7">
        <v>1.41</v>
      </c>
      <c r="G40" s="7">
        <v>7.28</v>
      </c>
      <c r="H40" s="11">
        <v>5.7099999999999998E-3</v>
      </c>
      <c r="I40">
        <v>1.0838445047740723</v>
      </c>
    </row>
    <row r="41" spans="1:9" x14ac:dyDescent="0.3">
      <c r="A41">
        <v>0.6</v>
      </c>
      <c r="B41">
        <v>2</v>
      </c>
      <c r="C41">
        <v>15</v>
      </c>
      <c r="D41" s="3">
        <v>9.5</v>
      </c>
      <c r="E41">
        <v>17.685595843383737</v>
      </c>
      <c r="F41" s="7">
        <v>1.41</v>
      </c>
      <c r="G41" s="7">
        <v>11.12</v>
      </c>
      <c r="H41" s="11">
        <v>5.7099999999999998E-3</v>
      </c>
      <c r="I41">
        <v>-7.7911595519574259E-2</v>
      </c>
    </row>
    <row r="42" spans="1:9" x14ac:dyDescent="0.3">
      <c r="A42">
        <v>0.6</v>
      </c>
      <c r="B42">
        <v>2</v>
      </c>
      <c r="C42">
        <v>15</v>
      </c>
      <c r="D42" s="3">
        <v>11.4</v>
      </c>
      <c r="E42">
        <v>27.40313096955952</v>
      </c>
      <c r="F42" s="7">
        <v>1.41</v>
      </c>
      <c r="G42" s="7">
        <v>17.23</v>
      </c>
      <c r="H42" s="11">
        <v>5.7099999999999998E-3</v>
      </c>
      <c r="I42">
        <v>-1.3676934704931027</v>
      </c>
    </row>
    <row r="43" spans="1:9" x14ac:dyDescent="0.3">
      <c r="A43">
        <v>0.6</v>
      </c>
      <c r="B43">
        <v>2</v>
      </c>
      <c r="C43">
        <v>15</v>
      </c>
      <c r="D43" s="7">
        <v>13.3</v>
      </c>
      <c r="E43">
        <v>35.180339933061902</v>
      </c>
      <c r="F43" s="7">
        <v>1.41</v>
      </c>
      <c r="G43" s="7">
        <v>22.12</v>
      </c>
      <c r="H43" s="11">
        <v>5.7099999999999998E-3</v>
      </c>
      <c r="I43">
        <v>-2.0769105538590176</v>
      </c>
    </row>
    <row r="44" spans="1:9" x14ac:dyDescent="0.3">
      <c r="A44">
        <v>0.6</v>
      </c>
      <c r="B44">
        <v>4</v>
      </c>
      <c r="C44">
        <v>15</v>
      </c>
      <c r="D44" s="3">
        <v>1.9</v>
      </c>
      <c r="E44">
        <v>0</v>
      </c>
      <c r="F44" s="7">
        <v>1.41</v>
      </c>
      <c r="G44" s="7">
        <v>0</v>
      </c>
      <c r="H44" s="11">
        <v>5.7099999999999998E-3</v>
      </c>
      <c r="I44">
        <v>31.810235769046876</v>
      </c>
    </row>
    <row r="45" spans="1:9" x14ac:dyDescent="0.3">
      <c r="A45">
        <v>0.6</v>
      </c>
      <c r="B45">
        <v>4</v>
      </c>
      <c r="C45">
        <v>15</v>
      </c>
      <c r="D45" s="3">
        <v>3.8</v>
      </c>
      <c r="E45">
        <v>3.1808625617596653</v>
      </c>
      <c r="F45" s="7">
        <v>1.41</v>
      </c>
      <c r="G45" s="7">
        <v>2</v>
      </c>
      <c r="H45" s="11">
        <v>5.7099999999999998E-3</v>
      </c>
      <c r="I45">
        <v>7.6795559140068717</v>
      </c>
    </row>
    <row r="46" spans="1:9" x14ac:dyDescent="0.3">
      <c r="A46">
        <v>0.6</v>
      </c>
      <c r="B46">
        <v>4</v>
      </c>
      <c r="C46">
        <v>15</v>
      </c>
      <c r="D46" s="3">
        <v>5.7</v>
      </c>
      <c r="E46">
        <v>6.4412466875633232</v>
      </c>
      <c r="F46" s="7">
        <v>1.41</v>
      </c>
      <c r="G46" s="7">
        <v>4.05</v>
      </c>
      <c r="H46" s="11">
        <v>5.7099999999999998E-3</v>
      </c>
      <c r="I46">
        <v>3.0369226220107484</v>
      </c>
    </row>
    <row r="47" spans="1:9" x14ac:dyDescent="0.3">
      <c r="A47">
        <v>0.6</v>
      </c>
      <c r="B47">
        <v>4</v>
      </c>
      <c r="C47">
        <v>15</v>
      </c>
      <c r="D47" s="3">
        <v>7.6</v>
      </c>
      <c r="E47">
        <v>12.071373421877929</v>
      </c>
      <c r="F47" s="7">
        <v>1.41</v>
      </c>
      <c r="G47" s="7">
        <v>7.59</v>
      </c>
      <c r="H47" s="11">
        <v>5.7099999999999998E-3</v>
      </c>
      <c r="I47">
        <v>1.0051906260649239</v>
      </c>
    </row>
    <row r="48" spans="1:9" x14ac:dyDescent="0.3">
      <c r="A48">
        <v>0.6</v>
      </c>
      <c r="B48">
        <v>4</v>
      </c>
      <c r="C48">
        <v>15</v>
      </c>
      <c r="D48" s="3">
        <v>9.5</v>
      </c>
      <c r="E48">
        <v>20.723319589864222</v>
      </c>
      <c r="F48" s="7">
        <v>1.41</v>
      </c>
      <c r="G48" s="7">
        <v>13.03</v>
      </c>
      <c r="H48" s="11">
        <v>5.7099999999999998E-3</v>
      </c>
      <c r="I48">
        <v>-0.58161856283146318</v>
      </c>
    </row>
    <row r="49" spans="1:9" x14ac:dyDescent="0.3">
      <c r="A49">
        <v>0.6</v>
      </c>
      <c r="B49">
        <v>4</v>
      </c>
      <c r="C49">
        <v>15</v>
      </c>
      <c r="D49" s="3">
        <v>11.4</v>
      </c>
      <c r="E49">
        <v>31.124740166818327</v>
      </c>
      <c r="F49" s="7">
        <v>1.41</v>
      </c>
      <c r="G49" s="7">
        <v>19.57</v>
      </c>
      <c r="H49" s="11">
        <v>5.7099999999999998E-3</v>
      </c>
      <c r="I49">
        <v>-2.020716714078699</v>
      </c>
    </row>
    <row r="50" spans="1:9" x14ac:dyDescent="0.3">
      <c r="A50">
        <v>0.6</v>
      </c>
      <c r="B50">
        <v>4</v>
      </c>
      <c r="C50">
        <v>15</v>
      </c>
      <c r="D50" s="7">
        <v>13.3</v>
      </c>
      <c r="E50">
        <v>40.619614913670929</v>
      </c>
      <c r="F50" s="7">
        <v>1.41</v>
      </c>
      <c r="G50" s="7">
        <v>25.54</v>
      </c>
      <c r="H50" s="11">
        <v>5.7099999999999998E-3</v>
      </c>
      <c r="I50">
        <v>-2.9850478844112827</v>
      </c>
    </row>
    <row r="51" spans="1:9" x14ac:dyDescent="0.3">
      <c r="A51">
        <v>0.6</v>
      </c>
      <c r="B51">
        <v>6</v>
      </c>
      <c r="C51">
        <v>15</v>
      </c>
      <c r="D51" s="3">
        <v>1.9</v>
      </c>
      <c r="E51">
        <v>0</v>
      </c>
      <c r="F51" s="7">
        <v>1.41</v>
      </c>
      <c r="G51" s="7">
        <v>0</v>
      </c>
      <c r="H51" s="11">
        <v>5.7100199999999997E-3</v>
      </c>
      <c r="I51">
        <v>31.810235769046876</v>
      </c>
    </row>
    <row r="52" spans="1:9" x14ac:dyDescent="0.3">
      <c r="A52">
        <v>0.6</v>
      </c>
      <c r="B52">
        <v>6</v>
      </c>
      <c r="C52">
        <v>15</v>
      </c>
      <c r="D52" s="3">
        <v>3.8</v>
      </c>
      <c r="E52">
        <v>3.403522941082842</v>
      </c>
      <c r="F52" s="7">
        <v>1.41</v>
      </c>
      <c r="G52" s="7">
        <v>2.14</v>
      </c>
      <c r="H52" s="11">
        <v>5.7100199999999997E-3</v>
      </c>
      <c r="I52">
        <v>7.6399977752127439</v>
      </c>
    </row>
    <row r="53" spans="1:9" x14ac:dyDescent="0.3">
      <c r="A53">
        <v>0.6</v>
      </c>
      <c r="B53">
        <v>6</v>
      </c>
      <c r="C53">
        <v>15</v>
      </c>
      <c r="D53" s="3">
        <v>5.7</v>
      </c>
      <c r="E53">
        <v>6.3935337491369264</v>
      </c>
      <c r="F53" s="7">
        <v>1.41</v>
      </c>
      <c r="G53" s="7">
        <v>4.0199999999999996</v>
      </c>
      <c r="H53" s="11">
        <v>5.7100199999999997E-3</v>
      </c>
      <c r="I53">
        <v>3.0442664034708042</v>
      </c>
    </row>
    <row r="54" spans="1:9" x14ac:dyDescent="0.3">
      <c r="A54">
        <v>0.6</v>
      </c>
      <c r="B54">
        <v>6</v>
      </c>
      <c r="C54">
        <v>15</v>
      </c>
      <c r="D54" s="3">
        <v>7.6</v>
      </c>
      <c r="E54">
        <v>12.771163185465056</v>
      </c>
      <c r="F54" s="7">
        <v>1.41</v>
      </c>
      <c r="G54" s="7">
        <v>8.0299999999999994</v>
      </c>
      <c r="H54" s="11">
        <v>5.7100199999999997E-3</v>
      </c>
      <c r="I54">
        <v>0.88792217527805439</v>
      </c>
    </row>
    <row r="55" spans="1:9" x14ac:dyDescent="0.3">
      <c r="A55">
        <v>0.6</v>
      </c>
      <c r="B55">
        <v>6</v>
      </c>
      <c r="C55">
        <v>15</v>
      </c>
      <c r="D55" s="3">
        <v>9.5</v>
      </c>
      <c r="E55">
        <v>22.727263003772809</v>
      </c>
      <c r="F55" s="7">
        <v>1.41</v>
      </c>
      <c r="G55" s="7">
        <v>14.29</v>
      </c>
      <c r="H55" s="11">
        <v>5.7100199999999997E-3</v>
      </c>
      <c r="I55">
        <v>-0.95752407652035432</v>
      </c>
    </row>
    <row r="56" spans="1:9" x14ac:dyDescent="0.3">
      <c r="A56">
        <v>0.6</v>
      </c>
      <c r="B56">
        <v>6</v>
      </c>
      <c r="C56">
        <v>15</v>
      </c>
      <c r="D56" s="3">
        <v>11.4</v>
      </c>
      <c r="E56">
        <v>31.919955807258248</v>
      </c>
      <c r="F56" s="7">
        <v>1.41</v>
      </c>
      <c r="G56" s="7">
        <v>20.07</v>
      </c>
      <c r="H56" s="11">
        <v>5.7100199999999997E-3</v>
      </c>
      <c r="I56">
        <v>-2.1710200479678954</v>
      </c>
    </row>
    <row r="57" spans="1:9" x14ac:dyDescent="0.3">
      <c r="A57">
        <v>0.6</v>
      </c>
      <c r="B57">
        <v>6</v>
      </c>
      <c r="C57">
        <v>15</v>
      </c>
      <c r="D57" s="7">
        <v>13.3</v>
      </c>
      <c r="E57">
        <v>40.253815719068562</v>
      </c>
      <c r="F57" s="7">
        <v>1.41</v>
      </c>
      <c r="G57" s="7">
        <v>25.31</v>
      </c>
      <c r="H57" s="11">
        <v>5.7100199999999997E-3</v>
      </c>
      <c r="I57">
        <v>-2.919886518759149</v>
      </c>
    </row>
    <row r="58" spans="1:9" x14ac:dyDescent="0.3">
      <c r="A58">
        <v>0.6</v>
      </c>
      <c r="B58">
        <v>1</v>
      </c>
      <c r="C58">
        <v>20</v>
      </c>
      <c r="D58" s="3">
        <v>2.2999999999999998</v>
      </c>
      <c r="E58">
        <v>0</v>
      </c>
      <c r="F58" s="7">
        <v>1.88</v>
      </c>
      <c r="G58" s="7">
        <v>0</v>
      </c>
      <c r="H58" s="11">
        <v>6.9699999999999996E-3</v>
      </c>
      <c r="I58">
        <v>38.591876034869706</v>
      </c>
    </row>
    <row r="59" spans="1:9" x14ac:dyDescent="0.3">
      <c r="A59">
        <v>0.6</v>
      </c>
      <c r="B59">
        <v>1</v>
      </c>
      <c r="C59">
        <v>20</v>
      </c>
      <c r="D59" s="3">
        <v>4.5999999999999996</v>
      </c>
      <c r="E59">
        <v>1.5268140296446393</v>
      </c>
      <c r="F59" s="7">
        <v>1.88</v>
      </c>
      <c r="G59" s="7">
        <v>0.96</v>
      </c>
      <c r="H59" s="11">
        <v>6.9699999999999996E-3</v>
      </c>
      <c r="I59">
        <v>9.5716594499750443</v>
      </c>
    </row>
    <row r="60" spans="1:9" x14ac:dyDescent="0.3">
      <c r="A60">
        <v>0.6</v>
      </c>
      <c r="B60">
        <v>1</v>
      </c>
      <c r="C60">
        <v>20</v>
      </c>
      <c r="D60" s="3">
        <v>6.9</v>
      </c>
      <c r="E60">
        <v>3.2603841258036566</v>
      </c>
      <c r="F60" s="7">
        <v>1.88</v>
      </c>
      <c r="G60" s="7">
        <v>2.0499999999999998</v>
      </c>
      <c r="H60" s="11">
        <v>6.9699999999999996E-3</v>
      </c>
      <c r="I60">
        <v>4.1333320398433262</v>
      </c>
    </row>
    <row r="61" spans="1:9" x14ac:dyDescent="0.3">
      <c r="A61">
        <v>0.6</v>
      </c>
      <c r="B61">
        <v>1</v>
      </c>
      <c r="C61">
        <v>20</v>
      </c>
      <c r="D61" s="3">
        <v>9.1999999999999993</v>
      </c>
      <c r="E61">
        <v>4.7076765914043053</v>
      </c>
      <c r="F61" s="7">
        <v>1.88</v>
      </c>
      <c r="G61" s="7">
        <v>2.96</v>
      </c>
      <c r="H61" s="11">
        <v>6.9699999999999996E-3</v>
      </c>
      <c r="I61">
        <v>2.2306245682933827</v>
      </c>
    </row>
    <row r="62" spans="1:9" x14ac:dyDescent="0.3">
      <c r="A62">
        <v>0.6</v>
      </c>
      <c r="B62">
        <v>1</v>
      </c>
      <c r="C62">
        <v>20</v>
      </c>
      <c r="D62" s="3">
        <v>11.5</v>
      </c>
      <c r="E62">
        <v>7.1251321383416526</v>
      </c>
      <c r="F62" s="7">
        <v>1.88</v>
      </c>
      <c r="G62" s="7">
        <v>4.4800000000000004</v>
      </c>
      <c r="H62" s="11">
        <v>6.9699999999999996E-3</v>
      </c>
      <c r="I62">
        <v>1.2777786233768893</v>
      </c>
    </row>
    <row r="63" spans="1:9" x14ac:dyDescent="0.3">
      <c r="A63">
        <v>0.6</v>
      </c>
      <c r="B63">
        <v>1</v>
      </c>
      <c r="C63">
        <v>20</v>
      </c>
      <c r="D63" s="3">
        <v>13.8</v>
      </c>
      <c r="E63">
        <v>9.4312574956174071</v>
      </c>
      <c r="F63" s="7">
        <v>1.88</v>
      </c>
      <c r="G63" s="7">
        <v>5.93</v>
      </c>
      <c r="H63" s="11">
        <v>6.9699999999999996E-3</v>
      </c>
      <c r="I63">
        <v>0.74847490309292997</v>
      </c>
    </row>
    <row r="64" spans="1:9" x14ac:dyDescent="0.3">
      <c r="A64">
        <v>0.6</v>
      </c>
      <c r="B64">
        <v>1</v>
      </c>
      <c r="C64">
        <v>20</v>
      </c>
      <c r="D64" s="7">
        <v>16.2</v>
      </c>
      <c r="E64">
        <v>15.427183424534377</v>
      </c>
      <c r="F64" s="7">
        <v>1.88</v>
      </c>
      <c r="G64" s="7">
        <v>9.6999999999999993</v>
      </c>
      <c r="H64" s="11">
        <v>6.9699999999999996E-3</v>
      </c>
      <c r="I64">
        <v>0.14974278876444455</v>
      </c>
    </row>
    <row r="65" spans="1:9" x14ac:dyDescent="0.3">
      <c r="A65">
        <v>0.6</v>
      </c>
      <c r="B65">
        <v>2</v>
      </c>
      <c r="C65">
        <v>20</v>
      </c>
      <c r="D65" s="3">
        <v>2.2999999999999998</v>
      </c>
      <c r="E65">
        <v>0</v>
      </c>
      <c r="F65" s="7">
        <v>1.88</v>
      </c>
      <c r="G65" s="7">
        <v>0</v>
      </c>
      <c r="H65" s="11">
        <v>6.9699999999999996E-3</v>
      </c>
      <c r="I65">
        <v>38.591876034869706</v>
      </c>
    </row>
    <row r="66" spans="1:9" x14ac:dyDescent="0.3">
      <c r="A66">
        <v>0.6</v>
      </c>
      <c r="B66">
        <v>2</v>
      </c>
      <c r="C66">
        <v>20</v>
      </c>
      <c r="D66" s="3">
        <v>4.5999999999999996</v>
      </c>
      <c r="E66">
        <v>3.4194272538916399</v>
      </c>
      <c r="F66" s="7">
        <v>1.88</v>
      </c>
      <c r="G66" s="7">
        <v>2.15</v>
      </c>
      <c r="H66" s="11">
        <v>6.9699999999999996E-3</v>
      </c>
      <c r="I66">
        <v>9.2652205980331157</v>
      </c>
    </row>
    <row r="67" spans="1:9" x14ac:dyDescent="0.3">
      <c r="A67">
        <v>0.6</v>
      </c>
      <c r="B67">
        <v>2</v>
      </c>
      <c r="C67">
        <v>20</v>
      </c>
      <c r="D67" s="3">
        <v>6.9</v>
      </c>
      <c r="E67">
        <v>7.1092278255328525</v>
      </c>
      <c r="F67" s="7">
        <v>1.88</v>
      </c>
      <c r="G67" s="7">
        <v>4.47</v>
      </c>
      <c r="H67" s="11">
        <v>6.9699999999999996E-3</v>
      </c>
      <c r="I67">
        <v>3.5526787114961049</v>
      </c>
    </row>
    <row r="68" spans="1:9" x14ac:dyDescent="0.3">
      <c r="A68">
        <v>0.6</v>
      </c>
      <c r="B68">
        <v>2</v>
      </c>
      <c r="C68">
        <v>20</v>
      </c>
      <c r="D68" s="3">
        <v>9.1999999999999993</v>
      </c>
      <c r="E68">
        <v>13.121058067258621</v>
      </c>
      <c r="F68" s="7">
        <v>1.88</v>
      </c>
      <c r="G68" s="7">
        <v>8.25</v>
      </c>
      <c r="H68" s="11">
        <v>6.9699999999999996E-3</v>
      </c>
      <c r="I68">
        <v>1.0030785852133834</v>
      </c>
    </row>
    <row r="69" spans="1:9" x14ac:dyDescent="0.3">
      <c r="A69">
        <v>0.6</v>
      </c>
      <c r="B69">
        <v>2</v>
      </c>
      <c r="C69">
        <v>20</v>
      </c>
      <c r="D69" s="3">
        <v>11.5</v>
      </c>
      <c r="E69">
        <v>17.383413900016571</v>
      </c>
      <c r="F69" s="7">
        <v>1.88</v>
      </c>
      <c r="G69" s="7">
        <v>10.93</v>
      </c>
      <c r="H69" s="11">
        <v>6.9699999999999996E-3</v>
      </c>
      <c r="I69">
        <v>-3.9018327390415108E-2</v>
      </c>
    </row>
    <row r="70" spans="1:9" x14ac:dyDescent="0.3">
      <c r="A70">
        <v>0.6</v>
      </c>
      <c r="B70">
        <v>2</v>
      </c>
      <c r="C70">
        <v>20</v>
      </c>
      <c r="D70" s="3">
        <v>13.8</v>
      </c>
      <c r="E70">
        <v>25.144718550710156</v>
      </c>
      <c r="F70" s="7">
        <v>1.88</v>
      </c>
      <c r="G70" s="7">
        <v>15.81</v>
      </c>
      <c r="H70" s="11">
        <v>6.9699999999999996E-3</v>
      </c>
      <c r="I70">
        <v>-1.2276320719440452</v>
      </c>
    </row>
    <row r="71" spans="1:9" x14ac:dyDescent="0.3">
      <c r="A71">
        <v>0.6</v>
      </c>
      <c r="B71">
        <v>2</v>
      </c>
      <c r="C71">
        <v>20</v>
      </c>
      <c r="D71" s="7">
        <v>16.2</v>
      </c>
      <c r="E71">
        <v>34.210176851725201</v>
      </c>
      <c r="F71" s="7">
        <v>1.88</v>
      </c>
      <c r="G71" s="7">
        <v>21.51</v>
      </c>
      <c r="H71" s="11">
        <v>6.9699999999999996E-3</v>
      </c>
      <c r="I71">
        <v>-2.3109974824000008</v>
      </c>
    </row>
    <row r="72" spans="1:9" x14ac:dyDescent="0.3">
      <c r="A72">
        <v>0.6</v>
      </c>
      <c r="B72">
        <v>4</v>
      </c>
      <c r="C72">
        <v>20</v>
      </c>
      <c r="D72" s="3">
        <v>2.2999999999999998</v>
      </c>
      <c r="E72">
        <v>0</v>
      </c>
      <c r="F72" s="7">
        <v>1.88</v>
      </c>
      <c r="G72" s="7">
        <v>0</v>
      </c>
      <c r="H72" s="11">
        <v>6.9699999999999996E-3</v>
      </c>
      <c r="I72">
        <v>38.591876034869706</v>
      </c>
    </row>
    <row r="73" spans="1:9" x14ac:dyDescent="0.3">
      <c r="A73">
        <v>0.6</v>
      </c>
      <c r="B73">
        <v>4</v>
      </c>
      <c r="C73">
        <v>20</v>
      </c>
      <c r="D73" s="3">
        <v>4.5999999999999996</v>
      </c>
      <c r="E73">
        <v>3.5466617563620275</v>
      </c>
      <c r="F73" s="7">
        <v>1.88</v>
      </c>
      <c r="G73" s="7">
        <v>2.23</v>
      </c>
      <c r="H73" s="11">
        <v>6.9699999999999996E-3</v>
      </c>
      <c r="I73">
        <v>9.2362070678862747</v>
      </c>
    </row>
    <row r="74" spans="1:9" x14ac:dyDescent="0.3">
      <c r="A74">
        <v>0.6</v>
      </c>
      <c r="B74">
        <v>4</v>
      </c>
      <c r="C74">
        <v>20</v>
      </c>
      <c r="D74" s="3">
        <v>6.9</v>
      </c>
      <c r="E74">
        <v>7.5068356457528109</v>
      </c>
      <c r="F74" s="7">
        <v>1.88</v>
      </c>
      <c r="G74" s="7">
        <v>4.72</v>
      </c>
      <c r="H74" s="11">
        <v>6.9699999999999996E-3</v>
      </c>
      <c r="I74">
        <v>3.4681295162749337</v>
      </c>
    </row>
    <row r="75" spans="1:9" x14ac:dyDescent="0.3">
      <c r="A75">
        <v>0.6</v>
      </c>
      <c r="B75">
        <v>4</v>
      </c>
      <c r="C75">
        <v>20</v>
      </c>
      <c r="D75" s="3">
        <v>9.1999999999999993</v>
      </c>
      <c r="E75">
        <v>13.820847830845747</v>
      </c>
      <c r="F75" s="7">
        <v>1.88</v>
      </c>
      <c r="G75" s="7">
        <v>8.69</v>
      </c>
      <c r="H75" s="11">
        <v>6.9699999999999996E-3</v>
      </c>
      <c r="I75">
        <v>0.84878688408430991</v>
      </c>
    </row>
    <row r="76" spans="1:9" x14ac:dyDescent="0.3">
      <c r="A76">
        <v>0.6</v>
      </c>
      <c r="B76">
        <v>4</v>
      </c>
      <c r="C76">
        <v>20</v>
      </c>
      <c r="D76" s="3">
        <v>11.5</v>
      </c>
      <c r="E76">
        <v>21.073214471657785</v>
      </c>
      <c r="F76" s="7">
        <v>1.88</v>
      </c>
      <c r="G76" s="7">
        <v>13.25</v>
      </c>
      <c r="H76" s="11">
        <v>6.9699999999999996E-3</v>
      </c>
      <c r="I76">
        <v>-0.78220983824226231</v>
      </c>
    </row>
    <row r="77" spans="1:9" x14ac:dyDescent="0.3">
      <c r="A77">
        <v>0.6</v>
      </c>
      <c r="B77">
        <v>4</v>
      </c>
      <c r="C77">
        <v>20</v>
      </c>
      <c r="D77" s="3">
        <v>13.8</v>
      </c>
      <c r="E77">
        <v>31.999477371302238</v>
      </c>
      <c r="F77" s="7">
        <v>1.88</v>
      </c>
      <c r="G77" s="7">
        <v>20.12</v>
      </c>
      <c r="H77" s="11">
        <v>6.9699999999999996E-3</v>
      </c>
      <c r="I77">
        <v>-2.6523485723051792</v>
      </c>
    </row>
    <row r="78" spans="1:9" x14ac:dyDescent="0.3">
      <c r="A78">
        <v>0.6</v>
      </c>
      <c r="B78">
        <v>4</v>
      </c>
      <c r="C78">
        <v>20</v>
      </c>
      <c r="D78" s="7">
        <v>16.2</v>
      </c>
      <c r="E78">
        <v>40.142485529406983</v>
      </c>
      <c r="F78" s="7">
        <v>1.88</v>
      </c>
      <c r="G78" s="7">
        <v>25.24</v>
      </c>
      <c r="H78" s="11">
        <v>6.9699999999999996E-3</v>
      </c>
      <c r="I78">
        <v>-3.4751571726222212</v>
      </c>
    </row>
    <row r="79" spans="1:9" x14ac:dyDescent="0.3">
      <c r="A79">
        <v>0.6</v>
      </c>
      <c r="B79">
        <v>6</v>
      </c>
      <c r="C79">
        <v>20</v>
      </c>
      <c r="D79" s="3">
        <v>2.2999999999999998</v>
      </c>
      <c r="E79">
        <v>0</v>
      </c>
      <c r="F79" s="7">
        <v>1.88</v>
      </c>
      <c r="G79" s="7">
        <v>0</v>
      </c>
      <c r="H79" s="11">
        <v>6.9700200000000004E-3</v>
      </c>
      <c r="I79">
        <v>38.591876034869706</v>
      </c>
    </row>
    <row r="80" spans="1:9" x14ac:dyDescent="0.3">
      <c r="A80">
        <v>0.6</v>
      </c>
      <c r="B80">
        <v>6</v>
      </c>
      <c r="C80">
        <v>20</v>
      </c>
      <c r="D80" s="3">
        <v>4.5999999999999996</v>
      </c>
      <c r="E80">
        <v>3.2762884386124553</v>
      </c>
      <c r="F80" s="7">
        <v>1.88</v>
      </c>
      <c r="G80" s="7">
        <v>2.06</v>
      </c>
      <c r="H80" s="11">
        <v>6.9700200000000004E-3</v>
      </c>
      <c r="I80">
        <v>9.2965939615395055</v>
      </c>
    </row>
    <row r="81" spans="1:9" x14ac:dyDescent="0.3">
      <c r="A81">
        <v>0.6</v>
      </c>
      <c r="B81">
        <v>6</v>
      </c>
      <c r="C81">
        <v>20</v>
      </c>
      <c r="D81" s="3">
        <v>6.9</v>
      </c>
      <c r="E81">
        <v>6.6002898156513066</v>
      </c>
      <c r="F81" s="7">
        <v>1.88</v>
      </c>
      <c r="G81" s="7">
        <v>4.1500000000000004</v>
      </c>
      <c r="H81" s="11">
        <v>6.9700200000000004E-3</v>
      </c>
      <c r="I81">
        <v>3.654189266489829</v>
      </c>
    </row>
    <row r="82" spans="1:9" x14ac:dyDescent="0.3">
      <c r="A82">
        <v>0.6</v>
      </c>
      <c r="B82">
        <v>6</v>
      </c>
      <c r="C82">
        <v>20</v>
      </c>
      <c r="D82" s="3">
        <v>9.1999999999999993</v>
      </c>
      <c r="E82">
        <v>11.148923278967626</v>
      </c>
      <c r="F82" s="7">
        <v>1.88</v>
      </c>
      <c r="G82" s="7">
        <v>7.01</v>
      </c>
      <c r="H82" s="11">
        <v>6.9700200000000004E-3</v>
      </c>
      <c r="I82">
        <v>1.3947778024298674</v>
      </c>
    </row>
    <row r="83" spans="1:9" x14ac:dyDescent="0.3">
      <c r="A83">
        <v>0.6</v>
      </c>
      <c r="B83">
        <v>6</v>
      </c>
      <c r="C83">
        <v>20</v>
      </c>
      <c r="D83" s="3">
        <v>11.5</v>
      </c>
      <c r="E83">
        <v>18.910227929661211</v>
      </c>
      <c r="F83" s="7">
        <v>1.88</v>
      </c>
      <c r="G83" s="7">
        <v>11.89</v>
      </c>
      <c r="H83" s="11">
        <v>6.9700200000000004E-3</v>
      </c>
      <c r="I83">
        <v>-0.32924901580727434</v>
      </c>
    </row>
    <row r="84" spans="1:9" x14ac:dyDescent="0.3">
      <c r="A84">
        <v>0.6</v>
      </c>
      <c r="B84">
        <v>6</v>
      </c>
      <c r="C84">
        <v>20</v>
      </c>
      <c r="D84" s="3">
        <v>13.8</v>
      </c>
      <c r="E84">
        <v>28.532337178984204</v>
      </c>
      <c r="F84" s="7">
        <v>1.88</v>
      </c>
      <c r="G84" s="7">
        <v>17.940000000000001</v>
      </c>
      <c r="H84" s="11">
        <v>6.9700200000000004E-3</v>
      </c>
      <c r="I84">
        <v>-1.8890064213958413</v>
      </c>
    </row>
    <row r="85" spans="1:9" x14ac:dyDescent="0.3">
      <c r="A85">
        <v>0.6</v>
      </c>
      <c r="B85">
        <v>6</v>
      </c>
      <c r="C85">
        <v>20</v>
      </c>
      <c r="D85" s="7">
        <v>16.100000000000001</v>
      </c>
      <c r="E85">
        <v>33.510387088138074</v>
      </c>
      <c r="F85" s="7">
        <v>1.88</v>
      </c>
      <c r="G85" s="7">
        <v>21.07</v>
      </c>
      <c r="H85" s="11">
        <v>6.9700200000000004E-3</v>
      </c>
      <c r="I85">
        <v>-2.2131582329309136</v>
      </c>
    </row>
    <row r="86" spans="1:9" x14ac:dyDescent="0.3">
      <c r="A86">
        <v>0.6</v>
      </c>
      <c r="B86">
        <v>1</v>
      </c>
      <c r="C86">
        <v>30</v>
      </c>
      <c r="D86" s="3">
        <v>3.3</v>
      </c>
      <c r="E86">
        <v>0</v>
      </c>
      <c r="F86" s="7">
        <v>2.82</v>
      </c>
      <c r="G86" s="7">
        <v>0</v>
      </c>
      <c r="H86" s="11">
        <v>9.2599999999999991E-3</v>
      </c>
      <c r="I86">
        <v>42.179963682739846</v>
      </c>
    </row>
    <row r="87" spans="1:9" x14ac:dyDescent="0.3">
      <c r="A87">
        <v>0.6</v>
      </c>
      <c r="B87">
        <v>1</v>
      </c>
      <c r="C87">
        <v>30</v>
      </c>
      <c r="D87" s="3">
        <v>6.6</v>
      </c>
      <c r="E87">
        <v>1.5427183424534379</v>
      </c>
      <c r="F87" s="7">
        <v>2.82</v>
      </c>
      <c r="G87" s="7">
        <v>0.97</v>
      </c>
      <c r="H87" s="11">
        <v>9.2599999999999991E-3</v>
      </c>
      <c r="I87">
        <v>10.459839822161655</v>
      </c>
    </row>
    <row r="88" spans="1:9" x14ac:dyDescent="0.3">
      <c r="A88">
        <v>0.6</v>
      </c>
      <c r="B88">
        <v>1</v>
      </c>
      <c r="C88">
        <v>30</v>
      </c>
      <c r="D88" s="3">
        <v>9.9</v>
      </c>
      <c r="E88">
        <v>4.8985283451098853</v>
      </c>
      <c r="F88" s="7">
        <v>2.82</v>
      </c>
      <c r="G88" s="7">
        <v>3.08</v>
      </c>
      <c r="H88" s="11">
        <v>9.2599999999999991E-3</v>
      </c>
      <c r="I88">
        <v>4.3051001174955372</v>
      </c>
    </row>
    <row r="89" spans="1:9" x14ac:dyDescent="0.3">
      <c r="A89">
        <v>0.6</v>
      </c>
      <c r="B89">
        <v>1</v>
      </c>
      <c r="C89">
        <v>30</v>
      </c>
      <c r="D89" s="3">
        <v>13.2</v>
      </c>
      <c r="E89">
        <v>8.4133814758543153</v>
      </c>
      <c r="F89" s="7">
        <v>2.82</v>
      </c>
      <c r="G89" s="7">
        <v>5.29</v>
      </c>
      <c r="H89" s="11">
        <v>9.2599999999999991E-3</v>
      </c>
      <c r="I89">
        <v>2.0031100810623972</v>
      </c>
    </row>
    <row r="90" spans="1:9" x14ac:dyDescent="0.3">
      <c r="A90">
        <v>0.6</v>
      </c>
      <c r="B90">
        <v>1</v>
      </c>
      <c r="C90">
        <v>30</v>
      </c>
      <c r="D90" s="3">
        <v>16.5</v>
      </c>
      <c r="E90">
        <v>13.121058067258621</v>
      </c>
      <c r="F90" s="7">
        <v>2.82</v>
      </c>
      <c r="G90" s="7">
        <v>8.25</v>
      </c>
      <c r="H90" s="11">
        <v>9.2599999999999991E-3</v>
      </c>
      <c r="I90">
        <v>0.70165761530959359</v>
      </c>
    </row>
    <row r="91" spans="1:9" x14ac:dyDescent="0.3">
      <c r="A91">
        <v>0.6</v>
      </c>
      <c r="B91">
        <v>1</v>
      </c>
      <c r="C91">
        <v>30</v>
      </c>
      <c r="D91" s="3">
        <v>19.8</v>
      </c>
      <c r="E91">
        <v>18.512620109441251</v>
      </c>
      <c r="F91" s="7">
        <v>2.82</v>
      </c>
      <c r="G91" s="7">
        <v>11.64</v>
      </c>
      <c r="H91" s="11">
        <v>9.2599999999999991E-3</v>
      </c>
      <c r="I91">
        <v>-0.1907519185190083</v>
      </c>
    </row>
    <row r="92" spans="1:9" x14ac:dyDescent="0.3">
      <c r="A92">
        <v>0.6</v>
      </c>
      <c r="B92">
        <v>1</v>
      </c>
      <c r="C92">
        <v>30</v>
      </c>
      <c r="D92" s="7">
        <v>23.7</v>
      </c>
      <c r="E92">
        <v>23.411148454551139</v>
      </c>
      <c r="F92" s="7">
        <v>2.82</v>
      </c>
      <c r="G92" s="7">
        <v>14.72</v>
      </c>
      <c r="H92" s="11">
        <v>9.2599999999999991E-3</v>
      </c>
      <c r="I92">
        <v>-0.70295345228869743</v>
      </c>
    </row>
    <row r="93" spans="1:9" x14ac:dyDescent="0.3">
      <c r="A93">
        <v>0.6</v>
      </c>
      <c r="B93">
        <v>2</v>
      </c>
      <c r="C93">
        <v>30</v>
      </c>
      <c r="D93" s="3">
        <v>3.3</v>
      </c>
      <c r="E93">
        <v>0</v>
      </c>
      <c r="F93" s="7">
        <v>2.82</v>
      </c>
      <c r="G93" s="7">
        <v>0</v>
      </c>
      <c r="H93" s="11">
        <v>9.2599999999999991E-3</v>
      </c>
      <c r="I93">
        <v>42.179963682739846</v>
      </c>
    </row>
    <row r="94" spans="1:9" x14ac:dyDescent="0.3">
      <c r="A94">
        <v>0.6</v>
      </c>
      <c r="B94">
        <v>2</v>
      </c>
      <c r="C94">
        <v>30</v>
      </c>
      <c r="D94" s="3">
        <v>6.6</v>
      </c>
      <c r="E94">
        <v>4.3259730839931461</v>
      </c>
      <c r="F94" s="7">
        <v>2.82</v>
      </c>
      <c r="G94" s="7">
        <v>2.72</v>
      </c>
      <c r="H94" s="11">
        <v>9.2599999999999991E-3</v>
      </c>
      <c r="I94">
        <v>9.8754384843847944</v>
      </c>
    </row>
    <row r="95" spans="1:9" x14ac:dyDescent="0.3">
      <c r="A95">
        <v>0.6</v>
      </c>
      <c r="B95">
        <v>2</v>
      </c>
      <c r="C95">
        <v>30</v>
      </c>
      <c r="D95" s="3">
        <v>9.9</v>
      </c>
      <c r="E95">
        <v>11.117114653350033</v>
      </c>
      <c r="F95" s="7">
        <v>2.82</v>
      </c>
      <c r="G95" s="7">
        <v>6.99</v>
      </c>
      <c r="H95" s="11">
        <v>9.2599999999999991E-3</v>
      </c>
      <c r="I95">
        <v>2.7214089433586772</v>
      </c>
    </row>
    <row r="96" spans="1:9" x14ac:dyDescent="0.3">
      <c r="A96">
        <v>0.6</v>
      </c>
      <c r="B96">
        <v>2</v>
      </c>
      <c r="C96">
        <v>30</v>
      </c>
      <c r="D96" s="3">
        <v>13.2</v>
      </c>
      <c r="E96">
        <v>19.053366744940398</v>
      </c>
      <c r="F96" s="7">
        <v>2.82</v>
      </c>
      <c r="G96" s="7">
        <v>11.98</v>
      </c>
      <c r="H96" s="11">
        <v>9.2599999999999991E-3</v>
      </c>
      <c r="I96">
        <v>-0.61088791668396736</v>
      </c>
    </row>
    <row r="97" spans="1:9" x14ac:dyDescent="0.3">
      <c r="A97">
        <v>0.6</v>
      </c>
      <c r="B97">
        <v>2</v>
      </c>
      <c r="C97">
        <v>30</v>
      </c>
      <c r="D97" s="3">
        <v>16.5</v>
      </c>
      <c r="E97">
        <v>26.210307508899643</v>
      </c>
      <c r="F97" s="7">
        <v>2.82</v>
      </c>
      <c r="G97" s="7">
        <v>16.48</v>
      </c>
      <c r="H97" s="11">
        <v>9.2599999999999991E-3</v>
      </c>
      <c r="I97">
        <v>-2.2454142121137717</v>
      </c>
    </row>
    <row r="98" spans="1:9" x14ac:dyDescent="0.3">
      <c r="A98">
        <v>0.6</v>
      </c>
      <c r="B98">
        <v>2</v>
      </c>
      <c r="C98">
        <v>30</v>
      </c>
      <c r="D98" s="3">
        <v>19.8</v>
      </c>
      <c r="E98">
        <v>34.130655287681215</v>
      </c>
      <c r="F98" s="7">
        <v>2.82</v>
      </c>
      <c r="G98" s="7">
        <v>21.46</v>
      </c>
      <c r="H98" s="11">
        <v>9.2599999999999991E-3</v>
      </c>
      <c r="I98">
        <v>-3.4592163162247935</v>
      </c>
    </row>
    <row r="99" spans="1:9" x14ac:dyDescent="0.3">
      <c r="A99">
        <v>0.6</v>
      </c>
      <c r="B99">
        <v>2</v>
      </c>
      <c r="C99">
        <v>30</v>
      </c>
      <c r="D99" s="7">
        <v>23.6</v>
      </c>
      <c r="E99">
        <v>38.790618940659122</v>
      </c>
      <c r="F99" s="7">
        <v>2.82</v>
      </c>
      <c r="G99" s="7">
        <v>24.39</v>
      </c>
      <c r="H99" s="11">
        <v>9.2599999999999991E-3</v>
      </c>
      <c r="I99">
        <v>-3.3857788906100117</v>
      </c>
    </row>
    <row r="100" spans="1:9" x14ac:dyDescent="0.3">
      <c r="A100">
        <v>0.6</v>
      </c>
      <c r="B100">
        <v>4</v>
      </c>
      <c r="C100">
        <v>30</v>
      </c>
      <c r="D100" s="3">
        <v>3.3</v>
      </c>
      <c r="E100">
        <v>0</v>
      </c>
      <c r="F100" s="7">
        <v>2.82</v>
      </c>
      <c r="G100" s="7">
        <v>0</v>
      </c>
      <c r="H100" s="11">
        <v>9.2599999999999991E-3</v>
      </c>
      <c r="I100">
        <v>42.179963682739846</v>
      </c>
    </row>
    <row r="101" spans="1:9" x14ac:dyDescent="0.3">
      <c r="A101">
        <v>0.6</v>
      </c>
      <c r="B101">
        <v>4</v>
      </c>
      <c r="C101">
        <v>30</v>
      </c>
      <c r="D101" s="3">
        <v>6.6</v>
      </c>
      <c r="E101">
        <v>4.4213989608459343</v>
      </c>
      <c r="F101" s="7">
        <v>2.82</v>
      </c>
      <c r="G101" s="7">
        <v>2.78</v>
      </c>
      <c r="H101" s="11">
        <v>9.2599999999999991E-3</v>
      </c>
      <c r="I101">
        <v>9.8455736076575224</v>
      </c>
    </row>
    <row r="102" spans="1:9" x14ac:dyDescent="0.3">
      <c r="A102">
        <v>0.6</v>
      </c>
      <c r="B102">
        <v>4</v>
      </c>
      <c r="C102">
        <v>30</v>
      </c>
      <c r="D102" s="3">
        <v>9.9</v>
      </c>
      <c r="E102">
        <v>9.6062049365141888</v>
      </c>
      <c r="F102" s="7">
        <v>2.82</v>
      </c>
      <c r="G102" s="7">
        <v>6.04</v>
      </c>
      <c r="H102" s="11">
        <v>9.2599999999999991E-3</v>
      </c>
      <c r="I102">
        <v>3.2192976660099171</v>
      </c>
    </row>
    <row r="103" spans="1:9" x14ac:dyDescent="0.3">
      <c r="A103">
        <v>0.6</v>
      </c>
      <c r="B103">
        <v>4</v>
      </c>
      <c r="C103">
        <v>30</v>
      </c>
      <c r="D103" s="3">
        <v>13.2</v>
      </c>
      <c r="E103">
        <v>14.679680722520857</v>
      </c>
      <c r="F103" s="7">
        <v>2.82</v>
      </c>
      <c r="G103" s="7">
        <v>9.23</v>
      </c>
      <c r="H103" s="11">
        <v>9.2599999999999991E-3</v>
      </c>
      <c r="I103">
        <v>0.70876632370239689</v>
      </c>
    </row>
    <row r="104" spans="1:9" x14ac:dyDescent="0.3">
      <c r="A104">
        <v>0.6</v>
      </c>
      <c r="B104">
        <v>4</v>
      </c>
      <c r="C104">
        <v>30</v>
      </c>
      <c r="D104" s="3">
        <v>16.5</v>
      </c>
      <c r="E104">
        <v>18.655758924720438</v>
      </c>
      <c r="F104" s="7">
        <v>2.82</v>
      </c>
      <c r="G104" s="7">
        <v>11.73</v>
      </c>
      <c r="H104" s="11">
        <v>9.2599999999999991E-3</v>
      </c>
      <c r="I104">
        <v>-0.30513842095608601</v>
      </c>
    </row>
    <row r="105" spans="1:9" x14ac:dyDescent="0.3">
      <c r="A105">
        <v>0.6</v>
      </c>
      <c r="B105">
        <v>4</v>
      </c>
      <c r="C105">
        <v>30</v>
      </c>
      <c r="D105" s="3">
        <v>19.8</v>
      </c>
      <c r="E105">
        <v>24.619876228019812</v>
      </c>
      <c r="F105" s="7">
        <v>2.82</v>
      </c>
      <c r="G105" s="7">
        <v>15.48</v>
      </c>
      <c r="H105" s="11">
        <v>9.2599999999999991E-3</v>
      </c>
      <c r="I105">
        <v>-1.237941196054215</v>
      </c>
    </row>
    <row r="106" spans="1:9" x14ac:dyDescent="0.3">
      <c r="A106">
        <v>0.6</v>
      </c>
      <c r="B106">
        <v>4</v>
      </c>
      <c r="C106">
        <v>30</v>
      </c>
      <c r="D106" s="7">
        <v>23.7</v>
      </c>
      <c r="E106">
        <v>31.108835854009527</v>
      </c>
      <c r="F106" s="7">
        <v>2.82</v>
      </c>
      <c r="G106" s="7">
        <v>19.559999999999999</v>
      </c>
      <c r="H106" s="11">
        <v>9.2599999999999991E-3</v>
      </c>
      <c r="I106">
        <v>-1.8674122878810444</v>
      </c>
    </row>
    <row r="107" spans="1:9" x14ac:dyDescent="0.3">
      <c r="A107">
        <v>0.6</v>
      </c>
      <c r="B107">
        <v>6</v>
      </c>
      <c r="C107">
        <v>30</v>
      </c>
      <c r="D107" s="3">
        <v>3.3</v>
      </c>
      <c r="E107">
        <v>0</v>
      </c>
      <c r="F107" s="7">
        <v>2.82</v>
      </c>
      <c r="G107" s="7">
        <v>0</v>
      </c>
      <c r="H107" s="11">
        <v>9.259980000000001E-3</v>
      </c>
      <c r="I107">
        <v>42.179963682739846</v>
      </c>
    </row>
    <row r="108" spans="1:9" x14ac:dyDescent="0.3">
      <c r="A108">
        <v>0.6</v>
      </c>
      <c r="B108">
        <v>6</v>
      </c>
      <c r="C108">
        <v>30</v>
      </c>
      <c r="D108" s="3">
        <v>6.6</v>
      </c>
      <c r="E108">
        <v>2.6719245518781189</v>
      </c>
      <c r="F108" s="7">
        <v>2.82</v>
      </c>
      <c r="G108" s="7">
        <v>1.68</v>
      </c>
      <c r="H108" s="11">
        <v>9.259980000000001E-3</v>
      </c>
      <c r="I108">
        <v>10.289564775002978</v>
      </c>
    </row>
    <row r="109" spans="1:9" x14ac:dyDescent="0.3">
      <c r="A109">
        <v>0.6</v>
      </c>
      <c r="B109">
        <v>6</v>
      </c>
      <c r="C109">
        <v>30</v>
      </c>
      <c r="D109" s="3">
        <v>9.9</v>
      </c>
      <c r="E109">
        <v>6.5525768772249107</v>
      </c>
      <c r="F109" s="7">
        <v>2.82</v>
      </c>
      <c r="G109" s="7">
        <v>4.12</v>
      </c>
      <c r="H109" s="11">
        <v>9.259980000000001E-3</v>
      </c>
      <c r="I109">
        <v>4.0039173606823137</v>
      </c>
    </row>
    <row r="110" spans="1:9" x14ac:dyDescent="0.3">
      <c r="A110">
        <v>0.6</v>
      </c>
      <c r="B110">
        <v>6</v>
      </c>
      <c r="C110">
        <v>30</v>
      </c>
      <c r="D110" s="3">
        <v>13.2</v>
      </c>
      <c r="E110">
        <v>12.134990673113125</v>
      </c>
      <c r="F110" s="7">
        <v>2.82</v>
      </c>
      <c r="G110" s="7">
        <v>7.63</v>
      </c>
      <c r="H110" s="11">
        <v>9.259980000000001E-3</v>
      </c>
      <c r="I110">
        <v>1.3190958044561161</v>
      </c>
    </row>
    <row r="111" spans="1:9" x14ac:dyDescent="0.3">
      <c r="A111">
        <v>0.6</v>
      </c>
      <c r="B111">
        <v>6</v>
      </c>
      <c r="C111">
        <v>30</v>
      </c>
      <c r="D111" s="3">
        <v>16.5</v>
      </c>
      <c r="E111">
        <v>15.66574811666635</v>
      </c>
      <c r="F111" s="7">
        <v>2.82</v>
      </c>
      <c r="G111" s="7">
        <v>9.85</v>
      </c>
      <c r="H111" s="11">
        <v>9.259980000000001E-3</v>
      </c>
      <c r="I111">
        <v>0.2823185462081062</v>
      </c>
    </row>
    <row r="112" spans="1:9" x14ac:dyDescent="0.3">
      <c r="A112">
        <v>0.6</v>
      </c>
      <c r="B112">
        <v>6</v>
      </c>
      <c r="C112">
        <v>30</v>
      </c>
      <c r="D112" s="3">
        <v>19.8</v>
      </c>
      <c r="E112">
        <v>17.940064848324514</v>
      </c>
      <c r="F112" s="7">
        <v>2.82</v>
      </c>
      <c r="G112" s="7">
        <v>11.28</v>
      </c>
      <c r="H112" s="11">
        <v>9.259980000000001E-3</v>
      </c>
      <c r="I112">
        <v>-0.10778186099305764</v>
      </c>
    </row>
    <row r="113" spans="1:9" x14ac:dyDescent="0.3">
      <c r="A113">
        <v>0.6</v>
      </c>
      <c r="B113">
        <v>6</v>
      </c>
      <c r="C113">
        <v>30</v>
      </c>
      <c r="D113" s="7">
        <v>23.3</v>
      </c>
      <c r="E113">
        <v>21.311779163789758</v>
      </c>
      <c r="F113" s="7">
        <v>2.82</v>
      </c>
      <c r="G113" s="7">
        <v>13.4</v>
      </c>
      <c r="H113" s="11">
        <v>9.259980000000001E-3</v>
      </c>
      <c r="I113">
        <v>-0.45776329365920027</v>
      </c>
    </row>
    <row r="114" spans="1:9" x14ac:dyDescent="0.3">
      <c r="A114">
        <v>0.6</v>
      </c>
      <c r="B114">
        <v>1</v>
      </c>
      <c r="C114">
        <v>40</v>
      </c>
      <c r="D114" s="3">
        <v>3.9</v>
      </c>
      <c r="E114">
        <v>0</v>
      </c>
      <c r="F114" s="7">
        <v>3.76</v>
      </c>
      <c r="G114" s="7">
        <v>0</v>
      </c>
      <c r="H114" s="11">
        <v>9.2599999999999991E-3</v>
      </c>
      <c r="I114">
        <v>53.688632274677403</v>
      </c>
    </row>
    <row r="115" spans="1:9" x14ac:dyDescent="0.3">
      <c r="A115">
        <v>0.6</v>
      </c>
      <c r="B115">
        <v>1</v>
      </c>
      <c r="C115">
        <v>40</v>
      </c>
      <c r="D115" s="3">
        <v>7.8</v>
      </c>
      <c r="E115">
        <v>0.94719018505732266</v>
      </c>
      <c r="F115" s="7">
        <v>3.76</v>
      </c>
      <c r="G115" s="7">
        <v>1.34</v>
      </c>
      <c r="H115" s="11">
        <v>9.2599999999999991E-3</v>
      </c>
      <c r="I115">
        <v>13.215319024473374</v>
      </c>
    </row>
    <row r="116" spans="1:9" x14ac:dyDescent="0.3">
      <c r="A116">
        <v>0.6</v>
      </c>
      <c r="B116">
        <v>1</v>
      </c>
      <c r="C116">
        <v>40</v>
      </c>
      <c r="D116" s="3">
        <v>11.7</v>
      </c>
      <c r="E116">
        <v>4.2464515199491535</v>
      </c>
      <c r="F116" s="7">
        <v>3.76</v>
      </c>
      <c r="G116" s="7">
        <v>2.67</v>
      </c>
      <c r="H116" s="11">
        <v>9.2599999999999991E-3</v>
      </c>
      <c r="I116">
        <v>5.6004287433315971</v>
      </c>
    </row>
    <row r="117" spans="1:9" x14ac:dyDescent="0.3">
      <c r="A117">
        <v>0.6</v>
      </c>
      <c r="B117">
        <v>1</v>
      </c>
      <c r="C117">
        <v>40</v>
      </c>
      <c r="D117" s="3">
        <v>15.6</v>
      </c>
      <c r="E117">
        <v>6.8229501949744833</v>
      </c>
      <c r="F117" s="7">
        <v>3.76</v>
      </c>
      <c r="G117" s="7">
        <v>4.29</v>
      </c>
      <c r="H117" s="11">
        <v>9.2599999999999991E-3</v>
      </c>
      <c r="I117">
        <v>2.8255375048473375</v>
      </c>
    </row>
    <row r="118" spans="1:9" x14ac:dyDescent="0.3">
      <c r="A118">
        <v>0.6</v>
      </c>
      <c r="B118">
        <v>1</v>
      </c>
      <c r="C118">
        <v>40</v>
      </c>
      <c r="D118" s="3">
        <v>19.5</v>
      </c>
      <c r="E118">
        <v>9.5107790596613988</v>
      </c>
      <c r="F118" s="7">
        <v>3.76</v>
      </c>
      <c r="G118" s="7">
        <v>5.98</v>
      </c>
      <c r="H118" s="11">
        <v>9.2599999999999991E-3</v>
      </c>
      <c r="I118">
        <v>1.4884544506158961</v>
      </c>
    </row>
    <row r="119" spans="1:9" x14ac:dyDescent="0.3">
      <c r="A119">
        <v>0.6</v>
      </c>
      <c r="B119">
        <v>1</v>
      </c>
      <c r="C119">
        <v>40</v>
      </c>
      <c r="D119" s="3">
        <v>23.4</v>
      </c>
      <c r="E119">
        <v>14.806915224991243</v>
      </c>
      <c r="F119" s="7">
        <v>3.76</v>
      </c>
      <c r="G119" s="7">
        <v>9.31</v>
      </c>
      <c r="H119" s="11">
        <v>9.2599999999999991E-3</v>
      </c>
      <c r="I119">
        <v>0.38197231191479297</v>
      </c>
    </row>
    <row r="120" spans="1:9" x14ac:dyDescent="0.3">
      <c r="A120">
        <v>0.6</v>
      </c>
      <c r="B120">
        <v>1</v>
      </c>
      <c r="C120">
        <v>40</v>
      </c>
      <c r="D120" s="7">
        <v>27.7</v>
      </c>
      <c r="E120">
        <v>19.578209067630741</v>
      </c>
      <c r="F120" s="7">
        <v>3.76</v>
      </c>
      <c r="G120" s="7">
        <v>12.31</v>
      </c>
      <c r="H120" s="11">
        <v>9.2599999999999991E-3</v>
      </c>
      <c r="I120">
        <v>-0.31983343953114995</v>
      </c>
    </row>
    <row r="121" spans="1:9" x14ac:dyDescent="0.3">
      <c r="A121">
        <v>0.6</v>
      </c>
      <c r="B121">
        <v>2</v>
      </c>
      <c r="C121">
        <v>40</v>
      </c>
      <c r="D121" s="3">
        <v>3.9</v>
      </c>
      <c r="E121">
        <v>0</v>
      </c>
      <c r="F121" s="7">
        <v>3.76</v>
      </c>
      <c r="G121" s="7">
        <v>0</v>
      </c>
      <c r="H121" s="11">
        <v>9.2599999999999991E-3</v>
      </c>
      <c r="I121">
        <v>53.688632274677403</v>
      </c>
    </row>
    <row r="122" spans="1:9" x14ac:dyDescent="0.3">
      <c r="A122">
        <v>0.6</v>
      </c>
      <c r="B122">
        <v>2</v>
      </c>
      <c r="C122">
        <v>40</v>
      </c>
      <c r="D122" s="3">
        <v>7.8</v>
      </c>
      <c r="E122">
        <v>2.6719245518781189</v>
      </c>
      <c r="F122" s="7">
        <v>3.76</v>
      </c>
      <c r="G122" s="7">
        <v>1.68</v>
      </c>
      <c r="H122" s="11">
        <v>9.2599999999999991E-3</v>
      </c>
      <c r="I122">
        <v>13.097039713613256</v>
      </c>
    </row>
    <row r="123" spans="1:9" x14ac:dyDescent="0.3">
      <c r="A123">
        <v>0.6</v>
      </c>
      <c r="B123">
        <v>2</v>
      </c>
      <c r="C123">
        <v>40</v>
      </c>
      <c r="D123" s="3">
        <v>11.7</v>
      </c>
      <c r="E123">
        <v>5.1211887244330621</v>
      </c>
      <c r="F123" s="7">
        <v>3.76</v>
      </c>
      <c r="G123" s="7">
        <v>3.22</v>
      </c>
      <c r="H123" s="11">
        <v>9.2599999999999991E-3</v>
      </c>
      <c r="I123">
        <v>5.4345776298262711</v>
      </c>
    </row>
    <row r="124" spans="1:9" x14ac:dyDescent="0.3">
      <c r="A124">
        <v>0.6</v>
      </c>
      <c r="B124">
        <v>2</v>
      </c>
      <c r="C124">
        <v>40</v>
      </c>
      <c r="D124" s="3">
        <v>15.6</v>
      </c>
      <c r="E124">
        <v>9.4948747468526005</v>
      </c>
      <c r="F124" s="7">
        <v>3.76</v>
      </c>
      <c r="G124" s="7">
        <v>5.97</v>
      </c>
      <c r="H124" s="11">
        <v>9.2599999999999991E-3</v>
      </c>
      <c r="I124">
        <v>2.3291514448956216</v>
      </c>
    </row>
    <row r="125" spans="1:9" x14ac:dyDescent="0.3">
      <c r="A125">
        <v>0.6</v>
      </c>
      <c r="B125">
        <v>2</v>
      </c>
      <c r="C125">
        <v>40</v>
      </c>
      <c r="D125" s="3">
        <v>19.5</v>
      </c>
      <c r="E125">
        <v>14.854628163417638</v>
      </c>
      <c r="F125" s="7">
        <v>3.76</v>
      </c>
      <c r="G125" s="7">
        <v>9.34</v>
      </c>
      <c r="H125" s="11">
        <v>9.2599999999999991E-3</v>
      </c>
      <c r="I125">
        <v>0.53972812690934957</v>
      </c>
    </row>
    <row r="126" spans="1:9" x14ac:dyDescent="0.3">
      <c r="A126">
        <v>0.6</v>
      </c>
      <c r="B126">
        <v>2</v>
      </c>
      <c r="C126">
        <v>40</v>
      </c>
      <c r="D126" s="3">
        <v>23.4</v>
      </c>
      <c r="E126">
        <v>20.055338451894691</v>
      </c>
      <c r="F126" s="7">
        <v>3.76</v>
      </c>
      <c r="G126" s="7">
        <v>12.61</v>
      </c>
      <c r="H126" s="11">
        <v>9.2599999999999991E-3</v>
      </c>
      <c r="I126">
        <v>-0.54386548300118309</v>
      </c>
    </row>
    <row r="127" spans="1:9" x14ac:dyDescent="0.3">
      <c r="A127">
        <v>0.6</v>
      </c>
      <c r="B127">
        <v>2</v>
      </c>
      <c r="C127">
        <v>40</v>
      </c>
      <c r="D127" s="7">
        <v>27.5</v>
      </c>
      <c r="E127">
        <v>24.922058171386979</v>
      </c>
      <c r="F127" s="7">
        <v>3.76</v>
      </c>
      <c r="G127" s="13">
        <v>15.67</v>
      </c>
      <c r="H127" s="11">
        <v>9.2599999999999991E-3</v>
      </c>
      <c r="I127">
        <v>-1.1957343030896892</v>
      </c>
    </row>
    <row r="128" spans="1:9" x14ac:dyDescent="0.3">
      <c r="A128">
        <v>0.6</v>
      </c>
      <c r="B128">
        <v>4</v>
      </c>
      <c r="C128">
        <v>40</v>
      </c>
      <c r="D128" s="3">
        <v>3.9</v>
      </c>
      <c r="E128">
        <v>0</v>
      </c>
      <c r="F128" s="7">
        <v>3.76</v>
      </c>
      <c r="G128" s="7">
        <v>0</v>
      </c>
      <c r="H128" s="11">
        <v>9.2599999999999991E-3</v>
      </c>
      <c r="I128">
        <v>53.688632274677403</v>
      </c>
    </row>
    <row r="129" spans="1:9" x14ac:dyDescent="0.3">
      <c r="A129">
        <v>0.6</v>
      </c>
      <c r="B129">
        <v>4</v>
      </c>
      <c r="C129">
        <v>40</v>
      </c>
      <c r="D129" s="3">
        <v>7.8</v>
      </c>
      <c r="E129">
        <v>2.7832547415397073</v>
      </c>
      <c r="F129" s="7">
        <v>3.76</v>
      </c>
      <c r="G129" s="7">
        <v>1.75</v>
      </c>
      <c r="H129" s="11">
        <v>9.2599999999999991E-3</v>
      </c>
      <c r="I129">
        <v>13.069382075769942</v>
      </c>
    </row>
    <row r="130" spans="1:9" x14ac:dyDescent="0.3">
      <c r="A130">
        <v>0.6</v>
      </c>
      <c r="B130">
        <v>4</v>
      </c>
      <c r="C130">
        <v>40</v>
      </c>
      <c r="D130" s="3">
        <v>11.7</v>
      </c>
      <c r="E130">
        <v>5.6460310471234063</v>
      </c>
      <c r="F130" s="7">
        <v>3.76</v>
      </c>
      <c r="G130" s="7">
        <v>3.55</v>
      </c>
      <c r="H130" s="11">
        <v>9.2599999999999991E-3</v>
      </c>
      <c r="I130">
        <v>5.3201994934835506</v>
      </c>
    </row>
    <row r="131" spans="1:9" x14ac:dyDescent="0.3">
      <c r="A131">
        <v>0.6</v>
      </c>
      <c r="B131">
        <v>4</v>
      </c>
      <c r="C131">
        <v>40</v>
      </c>
      <c r="D131" s="3">
        <v>15.6</v>
      </c>
      <c r="E131">
        <v>9.2563100547206254</v>
      </c>
      <c r="F131" s="7">
        <v>3.76</v>
      </c>
      <c r="G131" s="7">
        <v>5.82</v>
      </c>
      <c r="H131" s="11">
        <v>9.2599999999999991E-3</v>
      </c>
      <c r="I131">
        <v>2.3800807790542016</v>
      </c>
    </row>
    <row r="132" spans="1:9" x14ac:dyDescent="0.3">
      <c r="A132">
        <v>0.6</v>
      </c>
      <c r="B132">
        <v>4</v>
      </c>
      <c r="C132">
        <v>40</v>
      </c>
      <c r="D132" s="3">
        <v>19.5</v>
      </c>
      <c r="E132">
        <v>14.743297973756048</v>
      </c>
      <c r="F132" s="7">
        <v>3.76</v>
      </c>
      <c r="G132" s="7">
        <v>9.27</v>
      </c>
      <c r="H132" s="11">
        <v>9.2599999999999991E-3</v>
      </c>
      <c r="I132">
        <v>0.56373785939980148</v>
      </c>
    </row>
    <row r="133" spans="1:9" x14ac:dyDescent="0.3">
      <c r="A133">
        <v>0.6</v>
      </c>
      <c r="B133">
        <v>4</v>
      </c>
      <c r="C133">
        <v>40</v>
      </c>
      <c r="D133" s="3">
        <v>23.4</v>
      </c>
      <c r="E133">
        <v>19.657730631674731</v>
      </c>
      <c r="F133" s="7">
        <v>3.76</v>
      </c>
      <c r="G133" s="7">
        <v>12.36</v>
      </c>
      <c r="H133" s="11">
        <v>9.2599999999999991E-3</v>
      </c>
      <c r="I133">
        <v>-0.4639669202556212</v>
      </c>
    </row>
    <row r="134" spans="1:9" x14ac:dyDescent="0.3">
      <c r="A134">
        <v>0.6</v>
      </c>
      <c r="B134">
        <v>4</v>
      </c>
      <c r="C134">
        <v>40</v>
      </c>
      <c r="D134" s="7">
        <v>27.6</v>
      </c>
      <c r="E134">
        <v>23.172583762419162</v>
      </c>
      <c r="F134" s="7">
        <v>3.76</v>
      </c>
      <c r="G134" s="7">
        <v>14.57</v>
      </c>
      <c r="H134" s="11">
        <v>9.2599999999999991E-3</v>
      </c>
      <c r="I134">
        <v>-0.88105213255168235</v>
      </c>
    </row>
    <row r="135" spans="1:9" x14ac:dyDescent="0.3">
      <c r="A135">
        <v>0.6</v>
      </c>
      <c r="B135">
        <v>6</v>
      </c>
      <c r="C135">
        <v>40</v>
      </c>
      <c r="D135" s="3">
        <v>3.9</v>
      </c>
      <c r="E135">
        <v>0</v>
      </c>
      <c r="F135" s="7">
        <v>3.76</v>
      </c>
      <c r="G135" s="7">
        <v>0</v>
      </c>
      <c r="H135" s="11">
        <v>9.259980000000001E-3</v>
      </c>
      <c r="I135">
        <v>53.688632274677403</v>
      </c>
    </row>
    <row r="136" spans="1:9" x14ac:dyDescent="0.3">
      <c r="A136">
        <v>0.6</v>
      </c>
      <c r="B136">
        <v>6</v>
      </c>
      <c r="C136">
        <v>40</v>
      </c>
      <c r="D136" s="3">
        <v>7.8</v>
      </c>
      <c r="E136">
        <v>2.0675606651437826</v>
      </c>
      <c r="F136" s="7">
        <v>3.76</v>
      </c>
      <c r="G136" s="7">
        <v>1.3</v>
      </c>
      <c r="H136" s="11">
        <v>9.259980000000001E-3</v>
      </c>
      <c r="I136">
        <v>13.22748331666935</v>
      </c>
    </row>
    <row r="137" spans="1:9" x14ac:dyDescent="0.3">
      <c r="A137">
        <v>0.6</v>
      </c>
      <c r="B137">
        <v>6</v>
      </c>
      <c r="C137">
        <v>40</v>
      </c>
      <c r="D137" s="3">
        <v>11.7</v>
      </c>
      <c r="E137">
        <v>4.6758679657867077</v>
      </c>
      <c r="F137" s="7">
        <v>3.76</v>
      </c>
      <c r="G137" s="7">
        <v>2.94</v>
      </c>
      <c r="H137" s="11">
        <v>9.259980000000001E-3</v>
      </c>
      <c r="I137">
        <v>5.5228813805822483</v>
      </c>
    </row>
    <row r="138" spans="1:9" x14ac:dyDescent="0.3">
      <c r="A138">
        <v>0.6</v>
      </c>
      <c r="B138">
        <v>6</v>
      </c>
      <c r="C138">
        <v>40</v>
      </c>
      <c r="D138" s="3">
        <v>15.6</v>
      </c>
      <c r="E138">
        <v>8.2543383477663319</v>
      </c>
      <c r="F138" s="7">
        <v>3.76</v>
      </c>
      <c r="G138" s="7">
        <v>5.19</v>
      </c>
      <c r="H138" s="11">
        <v>9.259980000000001E-3</v>
      </c>
      <c r="I138">
        <v>2.5798326255479291</v>
      </c>
    </row>
    <row r="139" spans="1:9" x14ac:dyDescent="0.3">
      <c r="A139">
        <v>0.6</v>
      </c>
      <c r="B139">
        <v>6</v>
      </c>
      <c r="C139">
        <v>40</v>
      </c>
      <c r="D139" s="3">
        <v>19.5</v>
      </c>
      <c r="E139">
        <v>10.814932709982862</v>
      </c>
      <c r="F139" s="7">
        <v>3.76</v>
      </c>
      <c r="G139" s="7">
        <v>6.8</v>
      </c>
      <c r="H139" s="11">
        <v>9.259980000000001E-3</v>
      </c>
      <c r="I139">
        <v>1.295307607438694</v>
      </c>
    </row>
    <row r="140" spans="1:9" x14ac:dyDescent="0.3">
      <c r="A140">
        <v>0.6</v>
      </c>
      <c r="B140">
        <v>6</v>
      </c>
      <c r="C140">
        <v>40</v>
      </c>
      <c r="D140" s="3">
        <v>23.4</v>
      </c>
      <c r="E140">
        <v>11.260253468629216</v>
      </c>
      <c r="F140" s="7">
        <v>3.76</v>
      </c>
      <c r="G140" s="7">
        <v>7.08</v>
      </c>
      <c r="H140" s="11">
        <v>9.259980000000001E-3</v>
      </c>
      <c r="I140">
        <v>0.84977663690982241</v>
      </c>
    </row>
    <row r="141" spans="1:9" x14ac:dyDescent="0.3">
      <c r="A141">
        <v>0.6</v>
      </c>
      <c r="B141">
        <v>6</v>
      </c>
      <c r="C141">
        <v>40</v>
      </c>
      <c r="D141" s="7">
        <v>27.2</v>
      </c>
      <c r="E141">
        <v>14.393403091962487</v>
      </c>
      <c r="F141" s="7">
        <v>3.76</v>
      </c>
      <c r="G141" s="7">
        <v>9.0500000000000007</v>
      </c>
      <c r="H141" s="11">
        <v>9.259980000000001E-3</v>
      </c>
      <c r="I141">
        <v>0.32791892486667806</v>
      </c>
    </row>
    <row r="142" spans="1:9" x14ac:dyDescent="0.3">
      <c r="A142">
        <v>0.6</v>
      </c>
      <c r="B142">
        <v>1</v>
      </c>
      <c r="C142">
        <v>60</v>
      </c>
      <c r="D142" s="3">
        <v>4.5999999999999996</v>
      </c>
      <c r="E142">
        <v>0</v>
      </c>
      <c r="F142" s="7">
        <v>5.64</v>
      </c>
      <c r="G142" s="7">
        <v>0</v>
      </c>
      <c r="H142" s="11">
        <v>1.379E-2</v>
      </c>
      <c r="I142">
        <v>86.83172107845688</v>
      </c>
    </row>
    <row r="143" spans="1:9" x14ac:dyDescent="0.3">
      <c r="A143">
        <v>0.6</v>
      </c>
      <c r="B143">
        <v>1</v>
      </c>
      <c r="C143">
        <v>60</v>
      </c>
      <c r="D143" s="3">
        <v>9.1999999999999993</v>
      </c>
      <c r="E143">
        <v>1.2246320862774713</v>
      </c>
      <c r="F143" s="7">
        <v>5.64</v>
      </c>
      <c r="G143" s="7">
        <v>0.77</v>
      </c>
      <c r="H143" s="11">
        <v>1.379E-2</v>
      </c>
      <c r="I143">
        <v>21.597471438124085</v>
      </c>
    </row>
    <row r="144" spans="1:9" x14ac:dyDescent="0.3">
      <c r="A144">
        <v>0.6</v>
      </c>
      <c r="B144">
        <v>1</v>
      </c>
      <c r="C144">
        <v>60</v>
      </c>
      <c r="D144" s="3">
        <v>13.8</v>
      </c>
      <c r="E144">
        <v>3.5625660691708263</v>
      </c>
      <c r="F144" s="7">
        <v>5.64</v>
      </c>
      <c r="G144" s="7">
        <v>2.2400000000000002</v>
      </c>
      <c r="H144" s="11">
        <v>1.379E-2</v>
      </c>
      <c r="I144">
        <v>9.2325058555644652</v>
      </c>
    </row>
    <row r="145" spans="1:9" x14ac:dyDescent="0.3">
      <c r="A145">
        <v>0.6</v>
      </c>
      <c r="B145">
        <v>1</v>
      </c>
      <c r="C145">
        <v>60</v>
      </c>
      <c r="D145" s="3">
        <v>18.399999999999999</v>
      </c>
      <c r="E145">
        <v>6.3299164979017348</v>
      </c>
      <c r="F145" s="7">
        <v>5.64</v>
      </c>
      <c r="G145" s="7">
        <v>3.98</v>
      </c>
      <c r="H145" s="11">
        <v>1.379E-2</v>
      </c>
      <c r="I145">
        <v>4.6892055078925532</v>
      </c>
    </row>
    <row r="146" spans="1:9" x14ac:dyDescent="0.3">
      <c r="A146">
        <v>0.6</v>
      </c>
      <c r="B146">
        <v>1</v>
      </c>
      <c r="C146">
        <v>60</v>
      </c>
      <c r="D146" s="3">
        <v>23</v>
      </c>
      <c r="E146">
        <v>9.7493437517933739</v>
      </c>
      <c r="F146" s="7">
        <v>5.64</v>
      </c>
      <c r="G146" s="7">
        <v>6.13</v>
      </c>
      <c r="H146" s="11">
        <v>1.379E-2</v>
      </c>
      <c r="I146">
        <v>2.3531607736435061</v>
      </c>
    </row>
    <row r="147" spans="1:9" x14ac:dyDescent="0.3">
      <c r="A147">
        <v>0.6</v>
      </c>
      <c r="B147">
        <v>1</v>
      </c>
      <c r="C147">
        <v>60</v>
      </c>
      <c r="D147" s="3">
        <v>27.6</v>
      </c>
      <c r="E147">
        <v>10.814932709982862</v>
      </c>
      <c r="F147" s="7">
        <v>5.64</v>
      </c>
      <c r="G147" s="7">
        <v>6.8</v>
      </c>
      <c r="H147" s="11">
        <v>1.379E-2</v>
      </c>
      <c r="I147">
        <v>1.454810721079169</v>
      </c>
    </row>
    <row r="148" spans="1:9" x14ac:dyDescent="0.3">
      <c r="A148">
        <v>0.6</v>
      </c>
      <c r="B148">
        <v>1</v>
      </c>
      <c r="C148">
        <v>60</v>
      </c>
      <c r="D148" s="7">
        <v>32</v>
      </c>
      <c r="E148">
        <v>13.423240010625786</v>
      </c>
      <c r="F148" s="7">
        <v>5.64</v>
      </c>
      <c r="G148" s="7">
        <v>8.44</v>
      </c>
      <c r="H148" s="11">
        <v>1.379E-2</v>
      </c>
      <c r="I148">
        <v>0.69736441550850048</v>
      </c>
    </row>
    <row r="149" spans="1:9" x14ac:dyDescent="0.3">
      <c r="A149">
        <v>0.6</v>
      </c>
      <c r="B149">
        <v>2</v>
      </c>
      <c r="C149">
        <v>60</v>
      </c>
      <c r="D149" s="3">
        <v>4.5999999999999996</v>
      </c>
      <c r="E149">
        <v>0</v>
      </c>
      <c r="F149" s="7">
        <v>5.64</v>
      </c>
      <c r="G149" s="7">
        <v>0</v>
      </c>
      <c r="H149" s="11">
        <v>1.379E-2</v>
      </c>
      <c r="I149">
        <v>86.83172107845688</v>
      </c>
    </row>
    <row r="150" spans="1:9" x14ac:dyDescent="0.3">
      <c r="A150">
        <v>0.6</v>
      </c>
      <c r="B150">
        <v>2</v>
      </c>
      <c r="C150">
        <v>60</v>
      </c>
      <c r="D150" s="3">
        <v>9.1999999999999993</v>
      </c>
      <c r="E150">
        <v>1.5745269680710345</v>
      </c>
      <c r="F150" s="7">
        <v>5.64</v>
      </c>
      <c r="G150" s="7">
        <v>0.99</v>
      </c>
      <c r="H150" s="11">
        <v>1.379E-2</v>
      </c>
      <c r="I150">
        <v>21.525335058375429</v>
      </c>
    </row>
    <row r="151" spans="1:9" x14ac:dyDescent="0.3">
      <c r="A151">
        <v>0.6</v>
      </c>
      <c r="B151">
        <v>2</v>
      </c>
      <c r="C151">
        <v>60</v>
      </c>
      <c r="D151" s="3">
        <v>13.8</v>
      </c>
      <c r="E151">
        <v>4.0078868278171784</v>
      </c>
      <c r="F151" s="7">
        <v>5.64</v>
      </c>
      <c r="G151" s="7">
        <v>2.52</v>
      </c>
      <c r="H151" s="11">
        <v>1.379E-2</v>
      </c>
      <c r="I151">
        <v>9.1221484555082082</v>
      </c>
    </row>
    <row r="152" spans="1:9" x14ac:dyDescent="0.3">
      <c r="A152">
        <v>0.6</v>
      </c>
      <c r="B152">
        <v>2</v>
      </c>
      <c r="C152">
        <v>60</v>
      </c>
      <c r="D152" s="3">
        <v>18.399999999999999</v>
      </c>
      <c r="E152">
        <v>7.22055801519444</v>
      </c>
      <c r="F152" s="7">
        <v>5.64</v>
      </c>
      <c r="G152" s="7">
        <v>4.54</v>
      </c>
      <c r="H152" s="11">
        <v>1.379E-2</v>
      </c>
      <c r="I152">
        <v>4.4669837264767489</v>
      </c>
    </row>
    <row r="153" spans="1:9" x14ac:dyDescent="0.3">
      <c r="A153">
        <v>0.6</v>
      </c>
      <c r="B153">
        <v>2</v>
      </c>
      <c r="C153">
        <v>60</v>
      </c>
      <c r="D153" s="3">
        <v>23</v>
      </c>
      <c r="E153">
        <v>10.369611951336509</v>
      </c>
      <c r="F153" s="7">
        <v>5.64</v>
      </c>
      <c r="G153" s="7">
        <v>6.52</v>
      </c>
      <c r="H153" s="11">
        <v>1.379E-2</v>
      </c>
      <c r="I153">
        <v>2.2061009267468101</v>
      </c>
    </row>
    <row r="154" spans="1:9" x14ac:dyDescent="0.3">
      <c r="A154">
        <v>0.6</v>
      </c>
      <c r="B154">
        <v>2</v>
      </c>
      <c r="C154">
        <v>60</v>
      </c>
      <c r="D154" s="3">
        <v>27.6</v>
      </c>
      <c r="E154">
        <v>12.198607924348318</v>
      </c>
      <c r="F154" s="7">
        <v>5.64</v>
      </c>
      <c r="G154" s="7">
        <v>7.67</v>
      </c>
      <c r="H154" s="11">
        <v>1.379E-2</v>
      </c>
      <c r="I154">
        <v>1.1942168072195845</v>
      </c>
    </row>
    <row r="155" spans="1:9" x14ac:dyDescent="0.3">
      <c r="A155">
        <v>0.6</v>
      </c>
      <c r="B155">
        <v>2</v>
      </c>
      <c r="C155">
        <v>60</v>
      </c>
      <c r="D155" s="7">
        <v>32</v>
      </c>
      <c r="E155">
        <v>15.39537479891678</v>
      </c>
      <c r="F155" s="7">
        <v>5.64</v>
      </c>
      <c r="G155" s="7">
        <v>9.68</v>
      </c>
      <c r="H155" s="11">
        <v>1.379E-2</v>
      </c>
      <c r="I155">
        <v>0.35136563280660038</v>
      </c>
    </row>
    <row r="156" spans="1:9" x14ac:dyDescent="0.3">
      <c r="A156">
        <v>0.6</v>
      </c>
      <c r="B156">
        <v>4</v>
      </c>
      <c r="C156">
        <v>60</v>
      </c>
      <c r="D156" s="3">
        <v>4.5999999999999996</v>
      </c>
      <c r="E156">
        <v>0</v>
      </c>
      <c r="F156" s="7">
        <v>5.64</v>
      </c>
      <c r="G156" s="7">
        <v>0</v>
      </c>
      <c r="H156" s="11">
        <v>1.379E-2</v>
      </c>
      <c r="I156">
        <v>86.83172107845688</v>
      </c>
    </row>
    <row r="157" spans="1:9" x14ac:dyDescent="0.3">
      <c r="A157">
        <v>0.6</v>
      </c>
      <c r="B157">
        <v>4</v>
      </c>
      <c r="C157">
        <v>60</v>
      </c>
      <c r="D157" s="3">
        <v>9.1999999999999993</v>
      </c>
      <c r="E157">
        <v>0.28274333882308139</v>
      </c>
      <c r="F157" s="7">
        <v>5.64</v>
      </c>
      <c r="G157" s="7">
        <v>0.4</v>
      </c>
      <c r="H157" s="11">
        <v>1.379E-2</v>
      </c>
      <c r="I157">
        <v>21.678121848230475</v>
      </c>
    </row>
    <row r="158" spans="1:9" x14ac:dyDescent="0.3">
      <c r="A158">
        <v>0.6</v>
      </c>
      <c r="B158">
        <v>4</v>
      </c>
      <c r="C158">
        <v>60</v>
      </c>
      <c r="D158" s="3">
        <v>13.8</v>
      </c>
      <c r="E158">
        <v>2.4015512341285472</v>
      </c>
      <c r="F158" s="7">
        <v>5.64</v>
      </c>
      <c r="G158" s="7">
        <v>1.51</v>
      </c>
      <c r="H158" s="11">
        <v>1.379E-2</v>
      </c>
      <c r="I158">
        <v>9.4591740598366769</v>
      </c>
    </row>
    <row r="159" spans="1:9" x14ac:dyDescent="0.3">
      <c r="A159">
        <v>0.6</v>
      </c>
      <c r="B159">
        <v>4</v>
      </c>
      <c r="C159">
        <v>60</v>
      </c>
      <c r="D159" s="3">
        <v>18.399999999999999</v>
      </c>
      <c r="E159">
        <v>3.1490539361420691</v>
      </c>
      <c r="F159" s="7">
        <v>5.64</v>
      </c>
      <c r="G159" s="7">
        <v>1.98</v>
      </c>
      <c r="H159" s="11">
        <v>1.379E-2</v>
      </c>
      <c r="I159">
        <v>5.2443873561647649</v>
      </c>
    </row>
    <row r="160" spans="1:9" x14ac:dyDescent="0.3">
      <c r="A160">
        <v>0.6</v>
      </c>
      <c r="B160">
        <v>4</v>
      </c>
      <c r="C160">
        <v>60</v>
      </c>
      <c r="D160" s="3">
        <v>23</v>
      </c>
      <c r="E160">
        <v>4.4691118992723293</v>
      </c>
      <c r="F160" s="7">
        <v>5.64</v>
      </c>
      <c r="G160" s="7">
        <v>2.81</v>
      </c>
      <c r="H160" s="11">
        <v>1.379E-2</v>
      </c>
      <c r="I160">
        <v>3.2378985670501028</v>
      </c>
    </row>
    <row r="161" spans="1:9" x14ac:dyDescent="0.3">
      <c r="A161">
        <v>0.6</v>
      </c>
      <c r="B161">
        <v>4</v>
      </c>
      <c r="C161">
        <v>60</v>
      </c>
      <c r="D161" s="3">
        <v>27.6</v>
      </c>
      <c r="E161">
        <v>6.0754474929609605</v>
      </c>
      <c r="F161" s="7">
        <v>5.64</v>
      </c>
      <c r="G161" s="7">
        <v>3.82</v>
      </c>
      <c r="H161" s="11">
        <v>1.379E-2</v>
      </c>
      <c r="I161">
        <v>2.1099253020403785</v>
      </c>
    </row>
    <row r="162" spans="1:9" x14ac:dyDescent="0.3">
      <c r="A162">
        <v>0.6</v>
      </c>
      <c r="B162">
        <v>4</v>
      </c>
      <c r="C162">
        <v>60</v>
      </c>
      <c r="D162" s="7">
        <v>32.299999999999997</v>
      </c>
      <c r="E162">
        <v>7.2523666408120366</v>
      </c>
      <c r="F162" s="7">
        <v>5.64</v>
      </c>
      <c r="G162" s="7">
        <v>4.5599999999999996</v>
      </c>
      <c r="H162" s="11">
        <v>1.379E-2</v>
      </c>
      <c r="I162">
        <v>1.4468384775488932</v>
      </c>
    </row>
    <row r="163" spans="1:9" x14ac:dyDescent="0.3">
      <c r="A163">
        <v>0.6</v>
      </c>
      <c r="B163">
        <v>6</v>
      </c>
      <c r="C163">
        <v>60</v>
      </c>
      <c r="D163" s="3">
        <v>4.5999999999999996</v>
      </c>
      <c r="E163">
        <v>0</v>
      </c>
      <c r="F163" s="7">
        <v>5.64</v>
      </c>
      <c r="G163" s="7">
        <v>0</v>
      </c>
      <c r="H163" s="11">
        <v>1.378998E-2</v>
      </c>
      <c r="I163">
        <v>86.83172107845688</v>
      </c>
    </row>
    <row r="164" spans="1:9" x14ac:dyDescent="0.3">
      <c r="A164">
        <v>0.6</v>
      </c>
      <c r="B164">
        <v>6</v>
      </c>
      <c r="C164">
        <v>60</v>
      </c>
      <c r="D164" s="3">
        <v>9.1999999999999993</v>
      </c>
      <c r="E164">
        <v>0</v>
      </c>
      <c r="F164" s="7">
        <v>5.64</v>
      </c>
      <c r="G164" s="7">
        <v>0</v>
      </c>
      <c r="H164" s="11">
        <v>1.378998E-2</v>
      </c>
      <c r="I164">
        <v>21.70793026961422</v>
      </c>
    </row>
    <row r="165" spans="1:9" x14ac:dyDescent="0.3">
      <c r="A165">
        <v>0.6</v>
      </c>
      <c r="B165">
        <v>6</v>
      </c>
      <c r="C165">
        <v>60</v>
      </c>
      <c r="D165" s="3">
        <v>13.8</v>
      </c>
      <c r="E165">
        <v>0</v>
      </c>
      <c r="F165" s="7">
        <v>5.64</v>
      </c>
      <c r="G165" s="7">
        <v>0</v>
      </c>
      <c r="H165" s="11">
        <v>1.378998E-2</v>
      </c>
      <c r="I165">
        <v>9.6479690087174319</v>
      </c>
    </row>
    <row r="166" spans="1:9" x14ac:dyDescent="0.3">
      <c r="A166">
        <v>0.6</v>
      </c>
      <c r="B166">
        <v>6</v>
      </c>
      <c r="C166">
        <v>60</v>
      </c>
      <c r="D166" s="3">
        <v>18.399999999999999</v>
      </c>
      <c r="E166">
        <v>0.56548667764616278</v>
      </c>
      <c r="F166" s="7">
        <v>5.64</v>
      </c>
      <c r="G166" s="7">
        <v>0.8</v>
      </c>
      <c r="H166" s="11">
        <v>1.378998E-2</v>
      </c>
      <c r="I166">
        <v>5.3971741460198119</v>
      </c>
    </row>
    <row r="167" spans="1:9" x14ac:dyDescent="0.3">
      <c r="A167">
        <v>0.6</v>
      </c>
      <c r="B167">
        <v>6</v>
      </c>
      <c r="C167">
        <v>60</v>
      </c>
      <c r="D167" s="3">
        <v>23</v>
      </c>
      <c r="E167">
        <v>1.3076879420567513</v>
      </c>
      <c r="F167" s="7">
        <v>5.64</v>
      </c>
      <c r="G167" s="7">
        <v>1.85</v>
      </c>
      <c r="H167" s="11">
        <v>1.378998E-2</v>
      </c>
      <c r="I167">
        <v>3.3712495209524151</v>
      </c>
    </row>
    <row r="168" spans="1:9" x14ac:dyDescent="0.3">
      <c r="A168">
        <v>0.6</v>
      </c>
      <c r="B168">
        <v>6</v>
      </c>
      <c r="C168">
        <v>60</v>
      </c>
      <c r="D168" s="3">
        <v>27.6</v>
      </c>
      <c r="E168">
        <v>1.9085175370557994</v>
      </c>
      <c r="F168" s="7">
        <v>5.64</v>
      </c>
      <c r="G168" s="7">
        <v>1.2</v>
      </c>
      <c r="H168" s="11">
        <v>1.378998E-2</v>
      </c>
      <c r="I168">
        <v>2.3821838307956154</v>
      </c>
    </row>
    <row r="169" spans="1:9" x14ac:dyDescent="0.3">
      <c r="A169">
        <v>0.6</v>
      </c>
      <c r="B169">
        <v>6</v>
      </c>
      <c r="C169">
        <v>60</v>
      </c>
      <c r="D169" s="7">
        <v>31.5</v>
      </c>
      <c r="E169">
        <v>2.4810727981725389</v>
      </c>
      <c r="F169" s="7">
        <v>5.64</v>
      </c>
      <c r="G169" s="7">
        <v>1.56</v>
      </c>
      <c r="H169" s="11">
        <v>1.378998E-2</v>
      </c>
      <c r="I169">
        <v>1.8130356456803267</v>
      </c>
    </row>
    <row r="170" spans="1:9" x14ac:dyDescent="0.3">
      <c r="A170">
        <f>100/60</f>
        <v>1.6666666666666667</v>
      </c>
      <c r="B170">
        <v>1</v>
      </c>
      <c r="C170">
        <v>10</v>
      </c>
      <c r="D170" s="15">
        <v>1.6</v>
      </c>
      <c r="E170">
        <v>0.76340701482231965</v>
      </c>
      <c r="F170" s="9">
        <v>0.54</v>
      </c>
      <c r="G170" s="7">
        <v>0.48</v>
      </c>
      <c r="H170" s="11">
        <v>2.5500000000000002E-3</v>
      </c>
      <c r="I170">
        <v>19.897201822140001</v>
      </c>
    </row>
    <row r="171" spans="1:9" x14ac:dyDescent="0.3">
      <c r="A171">
        <f t="shared" ref="A171:A234" si="0">100/60</f>
        <v>1.6666666666666667</v>
      </c>
      <c r="B171">
        <v>1</v>
      </c>
      <c r="C171">
        <v>10</v>
      </c>
      <c r="D171" s="15">
        <v>3.2</v>
      </c>
      <c r="E171">
        <v>2.9422978696276907</v>
      </c>
      <c r="F171" s="9">
        <v>0.54</v>
      </c>
      <c r="G171" s="7">
        <v>1.85</v>
      </c>
      <c r="H171" s="11">
        <v>2.5500000000000002E-3</v>
      </c>
      <c r="I171">
        <v>4.8377576947260943</v>
      </c>
    </row>
    <row r="172" spans="1:9" x14ac:dyDescent="0.3">
      <c r="A172">
        <f t="shared" si="0"/>
        <v>1.6666666666666667</v>
      </c>
      <c r="B172">
        <v>1</v>
      </c>
      <c r="C172">
        <v>10</v>
      </c>
      <c r="D172" s="15">
        <v>4.8</v>
      </c>
      <c r="E172">
        <v>5.8845957392553814</v>
      </c>
      <c r="F172" s="9">
        <v>0.54</v>
      </c>
      <c r="G172" s="7">
        <v>3.7</v>
      </c>
      <c r="H172" s="11">
        <v>2.5500000000000002E-3</v>
      </c>
      <c r="I172">
        <v>1.9549169708175005</v>
      </c>
    </row>
    <row r="173" spans="1:9" x14ac:dyDescent="0.3">
      <c r="A173">
        <f t="shared" si="0"/>
        <v>1.6666666666666667</v>
      </c>
      <c r="B173">
        <v>1</v>
      </c>
      <c r="C173">
        <v>10</v>
      </c>
      <c r="D173" s="15">
        <v>6.4</v>
      </c>
      <c r="E173">
        <v>10.528655079424492</v>
      </c>
      <c r="F173" s="9">
        <v>0.54</v>
      </c>
      <c r="G173" s="7">
        <v>6.62</v>
      </c>
      <c r="H173" s="11">
        <v>2.5500000000000002E-3</v>
      </c>
      <c r="I173">
        <v>0.77738944342359384</v>
      </c>
    </row>
    <row r="174" spans="1:9" x14ac:dyDescent="0.3">
      <c r="A174">
        <f t="shared" si="0"/>
        <v>1.6666666666666667</v>
      </c>
      <c r="B174">
        <v>1</v>
      </c>
      <c r="C174">
        <v>10</v>
      </c>
      <c r="D174" s="15">
        <v>8</v>
      </c>
      <c r="E174">
        <v>14.123029774212915</v>
      </c>
      <c r="F174" s="9">
        <v>0.54</v>
      </c>
      <c r="G174" s="7">
        <v>8.8800000000000008</v>
      </c>
      <c r="H174" s="11">
        <v>2.5500000000000002E-3</v>
      </c>
      <c r="I174">
        <v>0.25778272401359986</v>
      </c>
    </row>
    <row r="175" spans="1:9" x14ac:dyDescent="0.3">
      <c r="A175">
        <f t="shared" si="0"/>
        <v>1.6666666666666667</v>
      </c>
      <c r="B175">
        <v>1</v>
      </c>
      <c r="C175">
        <v>10</v>
      </c>
      <c r="D175" s="15">
        <v>9.6</v>
      </c>
      <c r="E175">
        <v>18.067299350794901</v>
      </c>
      <c r="F175" s="9">
        <v>0.54</v>
      </c>
      <c r="G175" s="7">
        <v>11.36</v>
      </c>
      <c r="H175" s="11">
        <v>2.5500000000000002E-3</v>
      </c>
      <c r="I175">
        <v>-5.9552044424999957E-2</v>
      </c>
    </row>
    <row r="176" spans="1:9" x14ac:dyDescent="0.3">
      <c r="A176">
        <f t="shared" si="0"/>
        <v>1.6666666666666667</v>
      </c>
      <c r="B176">
        <v>1</v>
      </c>
      <c r="C176">
        <v>10</v>
      </c>
      <c r="D176" s="16">
        <v>9.8000000000000007</v>
      </c>
      <c r="E176">
        <v>18.544428735058851</v>
      </c>
      <c r="F176" s="9">
        <v>0.54</v>
      </c>
      <c r="G176" s="7">
        <v>11.66</v>
      </c>
      <c r="H176" s="11">
        <v>2.5500000000000002E-3</v>
      </c>
      <c r="I176">
        <v>-8.8642961767596729E-2</v>
      </c>
    </row>
    <row r="177" spans="1:9" x14ac:dyDescent="0.3">
      <c r="A177">
        <f t="shared" si="0"/>
        <v>1.6666666666666667</v>
      </c>
      <c r="B177">
        <v>2</v>
      </c>
      <c r="C177">
        <v>10</v>
      </c>
      <c r="D177" s="15">
        <v>1.6</v>
      </c>
      <c r="E177">
        <v>1.5745269680710345</v>
      </c>
      <c r="F177" s="9">
        <v>0.54</v>
      </c>
      <c r="G177" s="7">
        <v>0.99</v>
      </c>
      <c r="H177" s="11">
        <v>2.5500000000000002E-3</v>
      </c>
      <c r="I177">
        <v>19.768927510209373</v>
      </c>
    </row>
    <row r="178" spans="1:9" x14ac:dyDescent="0.3">
      <c r="A178">
        <f t="shared" si="0"/>
        <v>1.6666666666666667</v>
      </c>
      <c r="B178">
        <v>2</v>
      </c>
      <c r="C178">
        <v>10</v>
      </c>
      <c r="D178" s="15">
        <v>3.2</v>
      </c>
      <c r="E178">
        <v>4.3736860224195393</v>
      </c>
      <c r="F178" s="9">
        <v>0.54</v>
      </c>
      <c r="G178" s="7">
        <v>2.75</v>
      </c>
      <c r="H178" s="11">
        <v>2.5500000000000002E-3</v>
      </c>
      <c r="I178">
        <v>4.6606683085073435</v>
      </c>
    </row>
    <row r="179" spans="1:9" x14ac:dyDescent="0.3">
      <c r="A179">
        <f t="shared" si="0"/>
        <v>1.6666666666666667</v>
      </c>
      <c r="B179">
        <v>2</v>
      </c>
      <c r="C179">
        <v>10</v>
      </c>
      <c r="D179" s="15">
        <v>4.8</v>
      </c>
      <c r="E179">
        <v>8.4133814758543153</v>
      </c>
      <c r="F179" s="9">
        <v>0.54</v>
      </c>
      <c r="G179" s="7">
        <v>5.29</v>
      </c>
      <c r="H179" s="11">
        <v>2.5500000000000002E-3</v>
      </c>
      <c r="I179">
        <v>1.6831688875593753</v>
      </c>
    </row>
    <row r="180" spans="1:9" x14ac:dyDescent="0.3">
      <c r="A180">
        <f t="shared" si="0"/>
        <v>1.6666666666666667</v>
      </c>
      <c r="B180">
        <v>2</v>
      </c>
      <c r="C180">
        <v>10</v>
      </c>
      <c r="D180" s="15">
        <v>6.4</v>
      </c>
      <c r="E180">
        <v>17.399318212825371</v>
      </c>
      <c r="F180" s="9">
        <v>0.54</v>
      </c>
      <c r="G180" s="7">
        <v>10.94</v>
      </c>
      <c r="H180" s="11">
        <v>2.5500000000000002E-3</v>
      </c>
      <c r="I180">
        <v>-3.3833936228905959E-2</v>
      </c>
    </row>
    <row r="181" spans="1:9" x14ac:dyDescent="0.3">
      <c r="A181">
        <f t="shared" si="0"/>
        <v>1.6666666666666667</v>
      </c>
      <c r="B181">
        <v>2</v>
      </c>
      <c r="C181">
        <v>10</v>
      </c>
      <c r="D181" s="15">
        <v>8</v>
      </c>
      <c r="E181">
        <v>21.470822291877742</v>
      </c>
      <c r="F181" s="9">
        <v>0.54</v>
      </c>
      <c r="G181" s="7">
        <v>13.5</v>
      </c>
      <c r="H181" s="11">
        <v>2.5500000000000002E-3</v>
      </c>
      <c r="I181">
        <v>-0.44986030368569979</v>
      </c>
    </row>
    <row r="182" spans="1:9" x14ac:dyDescent="0.3">
      <c r="A182">
        <f t="shared" si="0"/>
        <v>1.6666666666666667</v>
      </c>
      <c r="B182">
        <v>2</v>
      </c>
      <c r="C182">
        <v>10</v>
      </c>
      <c r="D182" s="15">
        <v>9.6</v>
      </c>
      <c r="E182">
        <v>28.34148542527862</v>
      </c>
      <c r="F182" s="9">
        <v>0.54</v>
      </c>
      <c r="G182" s="7">
        <v>17.82</v>
      </c>
      <c r="H182" s="11">
        <v>2.5500000000000002E-3</v>
      </c>
      <c r="I182">
        <v>-0.95546844680062548</v>
      </c>
    </row>
    <row r="183" spans="1:9" x14ac:dyDescent="0.3">
      <c r="A183">
        <f t="shared" si="0"/>
        <v>1.6666666666666667</v>
      </c>
      <c r="B183">
        <v>2</v>
      </c>
      <c r="C183">
        <v>10</v>
      </c>
      <c r="D183" s="16">
        <v>9.8000000000000007</v>
      </c>
      <c r="E183">
        <v>28.961753624821757</v>
      </c>
      <c r="F183" s="9">
        <v>0.54</v>
      </c>
      <c r="G183" s="7">
        <v>18.21</v>
      </c>
      <c r="H183" s="11">
        <v>2.5500000000000002E-3</v>
      </c>
      <c r="I183">
        <v>-0.98095452192494748</v>
      </c>
    </row>
    <row r="184" spans="1:9" x14ac:dyDescent="0.3">
      <c r="A184">
        <f t="shared" si="0"/>
        <v>1.6666666666666667</v>
      </c>
      <c r="B184">
        <v>4</v>
      </c>
      <c r="C184">
        <v>10</v>
      </c>
      <c r="D184" s="15">
        <v>1.6</v>
      </c>
      <c r="E184">
        <v>0</v>
      </c>
      <c r="F184" s="9">
        <v>0.54</v>
      </c>
      <c r="G184" s="7">
        <v>0</v>
      </c>
      <c r="H184" s="11">
        <v>2.5500000000000002E-3</v>
      </c>
      <c r="I184">
        <v>19.936623459420002</v>
      </c>
    </row>
    <row r="185" spans="1:9" x14ac:dyDescent="0.3">
      <c r="A185">
        <f t="shared" si="0"/>
        <v>1.6666666666666667</v>
      </c>
      <c r="B185">
        <v>4</v>
      </c>
      <c r="C185">
        <v>10</v>
      </c>
      <c r="D185" s="15">
        <v>3.2</v>
      </c>
      <c r="E185">
        <v>5.2325189140946495</v>
      </c>
      <c r="F185" s="9">
        <v>0.54</v>
      </c>
      <c r="G185" s="7">
        <v>3.29</v>
      </c>
      <c r="H185" s="11">
        <v>2.5500000000000002E-3</v>
      </c>
      <c r="I185">
        <v>4.5211526703210936</v>
      </c>
    </row>
    <row r="186" spans="1:9" x14ac:dyDescent="0.3">
      <c r="A186">
        <f t="shared" si="0"/>
        <v>1.6666666666666667</v>
      </c>
      <c r="B186">
        <v>4</v>
      </c>
      <c r="C186">
        <v>10</v>
      </c>
      <c r="D186" s="15">
        <v>4.8</v>
      </c>
      <c r="E186">
        <v>10.926262899644453</v>
      </c>
      <c r="F186" s="9">
        <v>0.54</v>
      </c>
      <c r="G186" s="7">
        <v>6.87</v>
      </c>
      <c r="H186" s="11">
        <v>2.5500000000000002E-3</v>
      </c>
      <c r="I186">
        <v>1.3179103841193753</v>
      </c>
    </row>
    <row r="187" spans="1:9" x14ac:dyDescent="0.3">
      <c r="A187">
        <f t="shared" si="0"/>
        <v>1.6666666666666667</v>
      </c>
      <c r="B187">
        <v>4</v>
      </c>
      <c r="C187">
        <v>10</v>
      </c>
      <c r="D187" s="15">
        <v>6.4</v>
      </c>
      <c r="E187">
        <v>19.085175370557995</v>
      </c>
      <c r="F187" s="9">
        <v>0.54</v>
      </c>
      <c r="G187" s="7">
        <v>12</v>
      </c>
      <c r="H187" s="11">
        <v>2.5500000000000002E-3</v>
      </c>
      <c r="I187">
        <v>-0.29386874003624974</v>
      </c>
    </row>
    <row r="188" spans="1:9" x14ac:dyDescent="0.3">
      <c r="A188">
        <f t="shared" si="0"/>
        <v>1.6666666666666667</v>
      </c>
      <c r="B188">
        <v>4</v>
      </c>
      <c r="C188">
        <v>10</v>
      </c>
      <c r="D188" s="15">
        <v>8</v>
      </c>
      <c r="E188">
        <v>27.307705092706733</v>
      </c>
      <c r="F188" s="9">
        <v>0.54</v>
      </c>
      <c r="G188" s="7">
        <v>17.170000000000002</v>
      </c>
      <c r="H188" s="11">
        <v>2.5500000000000002E-3</v>
      </c>
      <c r="I188">
        <v>-1.2202172704280252</v>
      </c>
    </row>
    <row r="189" spans="1:9" x14ac:dyDescent="0.3">
      <c r="A189">
        <f t="shared" si="0"/>
        <v>1.6666666666666667</v>
      </c>
      <c r="B189">
        <v>4</v>
      </c>
      <c r="C189">
        <v>10</v>
      </c>
      <c r="D189" s="15">
        <v>9.6</v>
      </c>
      <c r="E189">
        <v>39.90392083727501</v>
      </c>
      <c r="F189" s="9">
        <v>0.54</v>
      </c>
      <c r="G189" s="7">
        <v>25.09</v>
      </c>
      <c r="H189" s="11">
        <v>2.5500000000000002E-3</v>
      </c>
      <c r="I189">
        <v>-2.4381319851914065</v>
      </c>
    </row>
    <row r="190" spans="1:9" x14ac:dyDescent="0.3">
      <c r="A190">
        <f t="shared" si="0"/>
        <v>1.6666666666666667</v>
      </c>
      <c r="B190">
        <v>4</v>
      </c>
      <c r="C190">
        <v>10</v>
      </c>
      <c r="D190" s="16">
        <v>9.8000000000000007</v>
      </c>
      <c r="E190">
        <v>40.937701169846896</v>
      </c>
      <c r="F190" s="9">
        <v>0.54</v>
      </c>
      <c r="G190" s="7">
        <v>25.74</v>
      </c>
      <c r="H190" s="11">
        <v>2.5500000000000002E-3</v>
      </c>
      <c r="I190">
        <v>-2.490318052996916</v>
      </c>
    </row>
    <row r="191" spans="1:9" x14ac:dyDescent="0.3">
      <c r="A191">
        <f t="shared" si="0"/>
        <v>1.6666666666666667</v>
      </c>
      <c r="B191">
        <v>6</v>
      </c>
      <c r="C191">
        <v>10</v>
      </c>
      <c r="D191" s="15">
        <v>1.6</v>
      </c>
      <c r="E191">
        <v>0</v>
      </c>
      <c r="F191" s="9">
        <v>0.54</v>
      </c>
      <c r="G191" s="7">
        <v>0</v>
      </c>
      <c r="H191" s="11">
        <v>2.5499999999999997E-3</v>
      </c>
      <c r="I191">
        <v>19.936623459420002</v>
      </c>
    </row>
    <row r="192" spans="1:9" x14ac:dyDescent="0.3">
      <c r="A192">
        <f t="shared" si="0"/>
        <v>1.6666666666666667</v>
      </c>
      <c r="B192">
        <v>6</v>
      </c>
      <c r="C192">
        <v>10</v>
      </c>
      <c r="D192" s="15">
        <v>3.2</v>
      </c>
      <c r="E192">
        <v>4.2146428943315559</v>
      </c>
      <c r="F192" s="9">
        <v>0.54</v>
      </c>
      <c r="G192" s="7">
        <v>2.65</v>
      </c>
      <c r="H192" s="11">
        <v>2.5499999999999997E-3</v>
      </c>
      <c r="I192">
        <v>4.6837669241010937</v>
      </c>
    </row>
    <row r="193" spans="1:9" x14ac:dyDescent="0.3">
      <c r="A193">
        <f t="shared" si="0"/>
        <v>1.6666666666666667</v>
      </c>
      <c r="B193">
        <v>6</v>
      </c>
      <c r="C193">
        <v>10</v>
      </c>
      <c r="D193" s="15">
        <v>4.8</v>
      </c>
      <c r="E193">
        <v>9.908386879881359</v>
      </c>
      <c r="F193" s="9">
        <v>0.54</v>
      </c>
      <c r="G193" s="7">
        <v>6.23</v>
      </c>
      <c r="H193" s="11">
        <v>2.5499999999999997E-3</v>
      </c>
      <c r="I193">
        <v>1.4773003373193752</v>
      </c>
    </row>
    <row r="194" spans="1:9" x14ac:dyDescent="0.3">
      <c r="A194">
        <f t="shared" si="0"/>
        <v>1.6666666666666667</v>
      </c>
      <c r="B194">
        <v>6</v>
      </c>
      <c r="C194">
        <v>10</v>
      </c>
      <c r="D194" s="15">
        <v>6.4</v>
      </c>
      <c r="E194">
        <v>18.035490725177304</v>
      </c>
      <c r="F194" s="9">
        <v>0.54</v>
      </c>
      <c r="G194" s="7">
        <v>11.34</v>
      </c>
      <c r="H194" s="11">
        <v>2.5499999999999997E-3</v>
      </c>
      <c r="I194">
        <v>-0.12913711316015614</v>
      </c>
    </row>
    <row r="195" spans="1:9" x14ac:dyDescent="0.3">
      <c r="A195">
        <f t="shared" si="0"/>
        <v>1.6666666666666667</v>
      </c>
      <c r="B195">
        <v>6</v>
      </c>
      <c r="C195">
        <v>10</v>
      </c>
      <c r="D195" s="15">
        <v>8</v>
      </c>
      <c r="E195">
        <v>27.80073878977948</v>
      </c>
      <c r="F195" s="9">
        <v>0.54</v>
      </c>
      <c r="G195" s="7">
        <v>17.48</v>
      </c>
      <c r="H195" s="11">
        <v>2.5499999999999997E-3</v>
      </c>
      <c r="I195">
        <v>-1.2937324643243999</v>
      </c>
    </row>
    <row r="196" spans="1:9" x14ac:dyDescent="0.3">
      <c r="A196">
        <f t="shared" si="0"/>
        <v>1.6666666666666667</v>
      </c>
      <c r="B196">
        <v>6</v>
      </c>
      <c r="C196">
        <v>10</v>
      </c>
      <c r="D196" s="15">
        <v>9.6</v>
      </c>
      <c r="E196">
        <v>37.820455859322422</v>
      </c>
      <c r="F196" s="9">
        <v>0.54</v>
      </c>
      <c r="G196" s="7">
        <v>23.78</v>
      </c>
      <c r="H196" s="11">
        <v>2.5499999999999997E-3</v>
      </c>
      <c r="I196">
        <v>-2.133859055000626</v>
      </c>
    </row>
    <row r="197" spans="1:9" x14ac:dyDescent="0.3">
      <c r="A197">
        <f t="shared" si="0"/>
        <v>1.6666666666666667</v>
      </c>
      <c r="B197">
        <v>6</v>
      </c>
      <c r="C197">
        <v>10</v>
      </c>
      <c r="D197" s="16">
        <v>9.8000000000000007</v>
      </c>
      <c r="E197">
        <v>38.488436997291956</v>
      </c>
      <c r="F197" s="9">
        <v>0.54</v>
      </c>
      <c r="G197" s="7">
        <v>24.2</v>
      </c>
      <c r="H197" s="11">
        <v>2.5499999999999997E-3</v>
      </c>
      <c r="I197">
        <v>-2.1395587037355757</v>
      </c>
    </row>
    <row r="198" spans="1:9" x14ac:dyDescent="0.3">
      <c r="A198">
        <f t="shared" si="0"/>
        <v>1.6666666666666667</v>
      </c>
      <c r="B198">
        <v>1</v>
      </c>
      <c r="C198">
        <v>15</v>
      </c>
      <c r="D198" s="15">
        <v>1.9</v>
      </c>
      <c r="E198">
        <v>0</v>
      </c>
      <c r="F198" s="9">
        <v>0.81</v>
      </c>
      <c r="G198" s="7">
        <v>0</v>
      </c>
      <c r="H198" s="11">
        <v>3.7299999999999998E-3</v>
      </c>
      <c r="I198">
        <v>31.810235769046876</v>
      </c>
    </row>
    <row r="199" spans="1:9" x14ac:dyDescent="0.3">
      <c r="A199">
        <f t="shared" si="0"/>
        <v>1.6666666666666667</v>
      </c>
      <c r="B199">
        <v>1</v>
      </c>
      <c r="C199">
        <v>15</v>
      </c>
      <c r="D199" s="15">
        <v>3.8</v>
      </c>
      <c r="E199">
        <v>2.815063367157304</v>
      </c>
      <c r="F199" s="9">
        <v>0.81</v>
      </c>
      <c r="G199" s="7">
        <v>1.77</v>
      </c>
      <c r="H199" s="11">
        <v>3.7299999999999998E-3</v>
      </c>
      <c r="I199">
        <v>7.7387361454568167</v>
      </c>
    </row>
    <row r="200" spans="1:9" x14ac:dyDescent="0.3">
      <c r="A200">
        <f t="shared" si="0"/>
        <v>1.6666666666666667</v>
      </c>
      <c r="B200">
        <v>1</v>
      </c>
      <c r="C200">
        <v>15</v>
      </c>
      <c r="D200" s="15">
        <v>5.7</v>
      </c>
      <c r="E200">
        <v>5.0575714731978687</v>
      </c>
      <c r="F200" s="9">
        <v>0.81</v>
      </c>
      <c r="G200" s="7">
        <v>3.18</v>
      </c>
      <c r="H200" s="11">
        <v>3.7299999999999998E-3</v>
      </c>
      <c r="I200">
        <v>3.2277244384580617</v>
      </c>
    </row>
    <row r="201" spans="1:9" x14ac:dyDescent="0.3">
      <c r="A201">
        <f t="shared" si="0"/>
        <v>1.6666666666666667</v>
      </c>
      <c r="B201">
        <v>1</v>
      </c>
      <c r="C201">
        <v>15</v>
      </c>
      <c r="D201" s="15">
        <v>7.6</v>
      </c>
      <c r="E201">
        <v>8.4610944142807121</v>
      </c>
      <c r="F201" s="9">
        <v>0.81</v>
      </c>
      <c r="G201" s="7">
        <v>5.32</v>
      </c>
      <c r="H201" s="11">
        <v>3.7299999999999998E-3</v>
      </c>
      <c r="I201">
        <v>1.5052246788854298</v>
      </c>
    </row>
    <row r="202" spans="1:9" x14ac:dyDescent="0.3">
      <c r="A202">
        <f t="shared" si="0"/>
        <v>1.6666666666666667</v>
      </c>
      <c r="B202">
        <v>1</v>
      </c>
      <c r="C202">
        <v>15</v>
      </c>
      <c r="D202" s="15">
        <v>9.5</v>
      </c>
      <c r="E202">
        <v>13.327814133773</v>
      </c>
      <c r="F202" s="9">
        <v>0.81</v>
      </c>
      <c r="G202" s="7">
        <v>8.3800000000000008</v>
      </c>
      <c r="H202" s="11">
        <v>3.7299999999999998E-3</v>
      </c>
      <c r="I202">
        <v>0.50555047646668594</v>
      </c>
    </row>
    <row r="203" spans="1:9" x14ac:dyDescent="0.3">
      <c r="A203">
        <f t="shared" si="0"/>
        <v>1.6666666666666667</v>
      </c>
      <c r="B203">
        <v>1</v>
      </c>
      <c r="C203">
        <v>15</v>
      </c>
      <c r="D203" s="15">
        <v>11.4</v>
      </c>
      <c r="E203">
        <v>17.113040582267001</v>
      </c>
      <c r="F203" s="9">
        <v>0.81</v>
      </c>
      <c r="G203" s="7">
        <v>10.76</v>
      </c>
      <c r="H203" s="11">
        <v>3.7299999999999998E-3</v>
      </c>
      <c r="I203">
        <v>5.6277879157895722E-3</v>
      </c>
    </row>
    <row r="204" spans="1:9" x14ac:dyDescent="0.3">
      <c r="A204">
        <f t="shared" si="0"/>
        <v>1.6666666666666667</v>
      </c>
      <c r="B204">
        <v>1</v>
      </c>
      <c r="C204">
        <v>15</v>
      </c>
      <c r="D204" s="16">
        <v>13.3</v>
      </c>
      <c r="E204">
        <v>21.025501533231392</v>
      </c>
      <c r="F204" s="9">
        <v>0.81</v>
      </c>
      <c r="G204" s="7">
        <v>13.22</v>
      </c>
      <c r="H204" s="11">
        <v>3.7299999999999998E-3</v>
      </c>
      <c r="I204">
        <v>-0.32453197294301311</v>
      </c>
    </row>
    <row r="205" spans="1:9" x14ac:dyDescent="0.3">
      <c r="A205">
        <f t="shared" si="0"/>
        <v>1.6666666666666667</v>
      </c>
      <c r="B205">
        <v>2</v>
      </c>
      <c r="C205">
        <v>15</v>
      </c>
      <c r="D205" s="15">
        <v>1.9</v>
      </c>
      <c r="E205">
        <v>0</v>
      </c>
      <c r="F205" s="9">
        <v>0.81</v>
      </c>
      <c r="G205" s="7">
        <v>0</v>
      </c>
      <c r="H205" s="11">
        <v>3.7299999999999998E-3</v>
      </c>
      <c r="I205">
        <v>31.810235769046876</v>
      </c>
    </row>
    <row r="206" spans="1:9" x14ac:dyDescent="0.3">
      <c r="A206">
        <f t="shared" si="0"/>
        <v>1.6666666666666667</v>
      </c>
      <c r="B206">
        <v>2</v>
      </c>
      <c r="C206">
        <v>15</v>
      </c>
      <c r="D206" s="15">
        <v>3.8</v>
      </c>
      <c r="E206">
        <v>5.0575714731978687</v>
      </c>
      <c r="F206" s="9">
        <v>0.81</v>
      </c>
      <c r="G206" s="7">
        <v>3.18</v>
      </c>
      <c r="H206" s="11">
        <v>3.7299999999999998E-3</v>
      </c>
      <c r="I206">
        <v>7.2623799865306387</v>
      </c>
    </row>
    <row r="207" spans="1:9" x14ac:dyDescent="0.3">
      <c r="A207">
        <f t="shared" si="0"/>
        <v>1.6666666666666667</v>
      </c>
      <c r="B207">
        <v>2</v>
      </c>
      <c r="C207">
        <v>15</v>
      </c>
      <c r="D207" s="15">
        <v>5.7</v>
      </c>
      <c r="E207">
        <v>12.134990673113125</v>
      </c>
      <c r="F207" s="9">
        <v>0.81</v>
      </c>
      <c r="G207" s="7">
        <v>7.63</v>
      </c>
      <c r="H207" s="11">
        <v>3.7299999999999998E-3</v>
      </c>
      <c r="I207">
        <v>1.7685384192708038</v>
      </c>
    </row>
    <row r="208" spans="1:9" x14ac:dyDescent="0.3">
      <c r="A208">
        <f t="shared" si="0"/>
        <v>1.6666666666666667</v>
      </c>
      <c r="B208">
        <v>2</v>
      </c>
      <c r="C208">
        <v>15</v>
      </c>
      <c r="D208" s="15">
        <v>7.6</v>
      </c>
      <c r="E208">
        <v>17.319796648781381</v>
      </c>
      <c r="F208" s="9">
        <v>0.81</v>
      </c>
      <c r="G208" s="7">
        <v>10.89</v>
      </c>
      <c r="H208" s="11">
        <v>3.7299999999999998E-3</v>
      </c>
      <c r="I208">
        <v>-3.5360416128428065E-2</v>
      </c>
    </row>
    <row r="209" spans="1:9" x14ac:dyDescent="0.3">
      <c r="A209">
        <f t="shared" si="0"/>
        <v>1.6666666666666667</v>
      </c>
      <c r="B209">
        <v>2</v>
      </c>
      <c r="C209">
        <v>15</v>
      </c>
      <c r="D209" s="15">
        <v>9.5</v>
      </c>
      <c r="E209">
        <v>23.188488075227962</v>
      </c>
      <c r="F209" s="9">
        <v>0.81</v>
      </c>
      <c r="G209" s="7">
        <v>14.58</v>
      </c>
      <c r="H209" s="11">
        <v>3.7299999999999998E-3</v>
      </c>
      <c r="I209">
        <v>-1.0489506066586771</v>
      </c>
    </row>
    <row r="210" spans="1:9" x14ac:dyDescent="0.3">
      <c r="A210">
        <f t="shared" si="0"/>
        <v>1.6666666666666667</v>
      </c>
      <c r="B210">
        <v>2</v>
      </c>
      <c r="C210">
        <v>15</v>
      </c>
      <c r="D210" s="15">
        <v>11.4</v>
      </c>
      <c r="E210">
        <v>29.62973476279128</v>
      </c>
      <c r="F210" s="9">
        <v>0.81</v>
      </c>
      <c r="G210" s="7">
        <v>18.63</v>
      </c>
      <c r="H210" s="11">
        <v>3.7299999999999998E-3</v>
      </c>
      <c r="I210">
        <v>-1.7484113602293909</v>
      </c>
    </row>
    <row r="211" spans="1:9" x14ac:dyDescent="0.3">
      <c r="A211">
        <f t="shared" si="0"/>
        <v>1.6666666666666667</v>
      </c>
      <c r="B211">
        <v>2</v>
      </c>
      <c r="C211">
        <v>15</v>
      </c>
      <c r="D211" s="16">
        <v>13.3</v>
      </c>
      <c r="E211">
        <v>36.404972019339375</v>
      </c>
      <c r="F211" s="9">
        <v>0.81</v>
      </c>
      <c r="G211" s="7">
        <v>22.89</v>
      </c>
      <c r="H211" s="11">
        <v>3.7299999999999998E-3</v>
      </c>
      <c r="I211">
        <v>-2.2700055957436702</v>
      </c>
    </row>
    <row r="212" spans="1:9" x14ac:dyDescent="0.3">
      <c r="A212">
        <f t="shared" si="0"/>
        <v>1.6666666666666667</v>
      </c>
      <c r="B212">
        <v>4</v>
      </c>
      <c r="C212">
        <v>15</v>
      </c>
      <c r="D212" s="15">
        <v>1.9</v>
      </c>
      <c r="E212">
        <v>0</v>
      </c>
      <c r="F212" s="9">
        <v>0.81</v>
      </c>
      <c r="G212" s="7">
        <v>0</v>
      </c>
      <c r="H212" s="11">
        <v>3.7299999999999998E-3</v>
      </c>
      <c r="I212">
        <v>31.810235769046876</v>
      </c>
    </row>
    <row r="213" spans="1:9" x14ac:dyDescent="0.3">
      <c r="A213">
        <f t="shared" si="0"/>
        <v>1.6666666666666667</v>
      </c>
      <c r="B213">
        <v>4</v>
      </c>
      <c r="C213">
        <v>15</v>
      </c>
      <c r="D213" s="15">
        <v>3.8</v>
      </c>
      <c r="E213">
        <v>4.7076765914043053</v>
      </c>
      <c r="F213" s="9">
        <v>0.81</v>
      </c>
      <c r="G213" s="7">
        <v>2.96</v>
      </c>
      <c r="H213" s="11">
        <v>3.7299999999999998E-3</v>
      </c>
      <c r="I213">
        <v>7.3545731091722999</v>
      </c>
    </row>
    <row r="214" spans="1:9" x14ac:dyDescent="0.3">
      <c r="A214">
        <f t="shared" si="0"/>
        <v>1.6666666666666667</v>
      </c>
      <c r="B214">
        <v>4</v>
      </c>
      <c r="C214">
        <v>15</v>
      </c>
      <c r="D214" s="15">
        <v>5.7</v>
      </c>
      <c r="E214">
        <v>12.166799298730721</v>
      </c>
      <c r="F214" s="9">
        <v>0.81</v>
      </c>
      <c r="G214" s="7">
        <v>7.65</v>
      </c>
      <c r="H214" s="11">
        <v>3.7299999999999998E-3</v>
      </c>
      <c r="I214">
        <v>1.7592684497780613</v>
      </c>
    </row>
    <row r="215" spans="1:9" x14ac:dyDescent="0.3">
      <c r="A215">
        <f t="shared" si="0"/>
        <v>1.6666666666666667</v>
      </c>
      <c r="B215">
        <v>4</v>
      </c>
      <c r="C215">
        <v>15</v>
      </c>
      <c r="D215" s="15">
        <v>7.6</v>
      </c>
      <c r="E215">
        <v>20.961884281996195</v>
      </c>
      <c r="F215" s="9">
        <v>0.81</v>
      </c>
      <c r="G215" s="7">
        <v>13.18</v>
      </c>
      <c r="H215" s="11">
        <v>3.7299999999999998E-3</v>
      </c>
      <c r="I215">
        <v>-0.97586096727315796</v>
      </c>
    </row>
    <row r="216" spans="1:9" x14ac:dyDescent="0.3">
      <c r="A216">
        <f t="shared" si="0"/>
        <v>1.6666666666666667</v>
      </c>
      <c r="B216">
        <v>4</v>
      </c>
      <c r="C216">
        <v>15</v>
      </c>
      <c r="D216" s="15">
        <v>9.5</v>
      </c>
      <c r="E216">
        <v>29.64563907560008</v>
      </c>
      <c r="F216" s="9">
        <v>0.81</v>
      </c>
      <c r="G216" s="7">
        <v>18.64</v>
      </c>
      <c r="H216" s="11">
        <v>3.7299999999999998E-3</v>
      </c>
      <c r="I216">
        <v>-2.5217822878755469</v>
      </c>
    </row>
    <row r="217" spans="1:9" x14ac:dyDescent="0.3">
      <c r="A217">
        <f t="shared" si="0"/>
        <v>1.6666666666666667</v>
      </c>
      <c r="B217">
        <v>4</v>
      </c>
      <c r="C217">
        <v>15</v>
      </c>
      <c r="D217" s="15">
        <v>11.4</v>
      </c>
      <c r="E217">
        <v>35.243957184297095</v>
      </c>
      <c r="F217" s="9">
        <v>0.81</v>
      </c>
      <c r="G217" s="7">
        <v>22.16</v>
      </c>
      <c r="H217" s="11">
        <v>3.7299999999999998E-3</v>
      </c>
      <c r="I217">
        <v>-2.8403377806315797</v>
      </c>
    </row>
    <row r="218" spans="1:9" x14ac:dyDescent="0.3">
      <c r="A218">
        <f t="shared" si="0"/>
        <v>1.6666666666666667</v>
      </c>
      <c r="B218">
        <v>4</v>
      </c>
      <c r="C218">
        <v>15</v>
      </c>
      <c r="D218" s="16">
        <v>13.3</v>
      </c>
      <c r="E218">
        <v>43.975424916327377</v>
      </c>
      <c r="F218" s="9">
        <v>0.81</v>
      </c>
      <c r="G218" s="7">
        <v>27.65</v>
      </c>
      <c r="H218" s="11">
        <v>3.7299999999999998E-3</v>
      </c>
      <c r="I218">
        <v>-3.61034126326367</v>
      </c>
    </row>
    <row r="219" spans="1:9" x14ac:dyDescent="0.3">
      <c r="A219">
        <f t="shared" si="0"/>
        <v>1.6666666666666667</v>
      </c>
      <c r="B219">
        <v>6</v>
      </c>
      <c r="C219">
        <v>15</v>
      </c>
      <c r="D219" s="15">
        <v>1.9</v>
      </c>
      <c r="E219">
        <v>0</v>
      </c>
      <c r="F219" s="9">
        <v>0.81</v>
      </c>
      <c r="G219" s="7">
        <v>0</v>
      </c>
      <c r="H219" s="11">
        <v>3.7300199999999997E-3</v>
      </c>
      <c r="I219">
        <v>31.810235769046876</v>
      </c>
    </row>
    <row r="220" spans="1:9" x14ac:dyDescent="0.3">
      <c r="A220">
        <f t="shared" si="0"/>
        <v>1.6666666666666667</v>
      </c>
      <c r="B220">
        <v>6</v>
      </c>
      <c r="C220">
        <v>15</v>
      </c>
      <c r="D220" s="15">
        <v>3.8</v>
      </c>
      <c r="E220">
        <v>4.5327291505075236</v>
      </c>
      <c r="F220" s="9">
        <v>0.81</v>
      </c>
      <c r="G220" s="7">
        <v>2.85</v>
      </c>
      <c r="H220" s="11">
        <v>3.7300199999999997E-3</v>
      </c>
      <c r="I220">
        <v>7.3981921680117191</v>
      </c>
    </row>
    <row r="221" spans="1:9" x14ac:dyDescent="0.3">
      <c r="A221">
        <f t="shared" si="0"/>
        <v>1.6666666666666667</v>
      </c>
      <c r="B221">
        <v>6</v>
      </c>
      <c r="C221">
        <v>15</v>
      </c>
      <c r="D221" s="15">
        <v>5.7</v>
      </c>
      <c r="E221">
        <v>8.9859367369710554</v>
      </c>
      <c r="F221" s="9">
        <v>0.81</v>
      </c>
      <c r="G221" s="7">
        <v>5.65</v>
      </c>
      <c r="H221" s="11">
        <v>3.7300199999999997E-3</v>
      </c>
      <c r="I221">
        <v>2.5661440666201667</v>
      </c>
    </row>
    <row r="222" spans="1:9" x14ac:dyDescent="0.3">
      <c r="A222">
        <f t="shared" si="0"/>
        <v>1.6666666666666667</v>
      </c>
      <c r="B222">
        <v>6</v>
      </c>
      <c r="C222">
        <v>15</v>
      </c>
      <c r="D222" s="15">
        <v>7.6</v>
      </c>
      <c r="E222">
        <v>18.576237360676448</v>
      </c>
      <c r="F222" s="9">
        <v>0.81</v>
      </c>
      <c r="G222" s="7">
        <v>11.68</v>
      </c>
      <c r="H222" s="11">
        <v>3.7300199999999997E-3</v>
      </c>
      <c r="I222">
        <v>-0.33959328454670346</v>
      </c>
    </row>
    <row r="223" spans="1:9" x14ac:dyDescent="0.3">
      <c r="A223">
        <f t="shared" si="0"/>
        <v>1.6666666666666667</v>
      </c>
      <c r="B223">
        <v>6</v>
      </c>
      <c r="C223">
        <v>15</v>
      </c>
      <c r="D223" s="15">
        <v>9.5</v>
      </c>
      <c r="E223">
        <v>26.305733385752433</v>
      </c>
      <c r="F223" s="9">
        <v>0.81</v>
      </c>
      <c r="G223" s="7">
        <v>16.54</v>
      </c>
      <c r="H223" s="11">
        <v>3.7300199999999997E-3</v>
      </c>
      <c r="I223">
        <v>-1.7150255790190803</v>
      </c>
    </row>
    <row r="224" spans="1:9" x14ac:dyDescent="0.3">
      <c r="A224">
        <f t="shared" si="0"/>
        <v>1.6666666666666667</v>
      </c>
      <c r="B224">
        <v>6</v>
      </c>
      <c r="C224">
        <v>15</v>
      </c>
      <c r="D224" s="15">
        <v>11.4</v>
      </c>
      <c r="E224">
        <v>33.621717277799661</v>
      </c>
      <c r="F224" s="9">
        <v>0.81</v>
      </c>
      <c r="G224" s="7">
        <v>21.14</v>
      </c>
      <c r="H224" s="11">
        <v>3.7300199999999997E-3</v>
      </c>
      <c r="I224">
        <v>-2.5054085654675906</v>
      </c>
    </row>
    <row r="225" spans="1:9" x14ac:dyDescent="0.3">
      <c r="A225">
        <f t="shared" si="0"/>
        <v>1.6666666666666667</v>
      </c>
      <c r="B225">
        <v>6</v>
      </c>
      <c r="C225">
        <v>15</v>
      </c>
      <c r="D225" s="16">
        <v>13.3</v>
      </c>
      <c r="E225">
        <v>42.273663445785957</v>
      </c>
      <c r="F225" s="9">
        <v>0.81</v>
      </c>
      <c r="G225" s="7">
        <v>26.58</v>
      </c>
      <c r="H225" s="11">
        <v>3.7300199999999997E-3</v>
      </c>
      <c r="I225">
        <v>-3.2870494057571671</v>
      </c>
    </row>
    <row r="226" spans="1:9" x14ac:dyDescent="0.3">
      <c r="A226">
        <f t="shared" si="0"/>
        <v>1.6666666666666667</v>
      </c>
      <c r="B226">
        <v>1</v>
      </c>
      <c r="C226">
        <v>20</v>
      </c>
      <c r="D226" s="15">
        <v>2.2999999999999998</v>
      </c>
      <c r="E226">
        <v>0</v>
      </c>
      <c r="F226" s="9">
        <v>1.08</v>
      </c>
      <c r="G226" s="7">
        <v>0</v>
      </c>
      <c r="H226" s="11">
        <v>4.8399999999999997E-3</v>
      </c>
      <c r="I226">
        <v>38.591876034869706</v>
      </c>
    </row>
    <row r="227" spans="1:9" x14ac:dyDescent="0.3">
      <c r="A227">
        <f t="shared" si="0"/>
        <v>1.6666666666666667</v>
      </c>
      <c r="B227">
        <v>1</v>
      </c>
      <c r="C227">
        <v>20</v>
      </c>
      <c r="D227" s="15">
        <v>4.5999999999999996</v>
      </c>
      <c r="E227">
        <v>2.115273603570178</v>
      </c>
      <c r="F227" s="9">
        <v>1.08</v>
      </c>
      <c r="G227" s="7">
        <v>1.33</v>
      </c>
      <c r="H227" s="11">
        <v>4.8399999999999997E-3</v>
      </c>
      <c r="I227">
        <v>9.5015020182015864</v>
      </c>
    </row>
    <row r="228" spans="1:9" x14ac:dyDescent="0.3">
      <c r="A228">
        <f t="shared" si="0"/>
        <v>1.6666666666666667</v>
      </c>
      <c r="B228">
        <v>1</v>
      </c>
      <c r="C228">
        <v>20</v>
      </c>
      <c r="D228" s="15">
        <v>6.9</v>
      </c>
      <c r="E228">
        <v>4.2464515199491535</v>
      </c>
      <c r="F228" s="9">
        <v>1.08</v>
      </c>
      <c r="G228" s="7">
        <v>2.67</v>
      </c>
      <c r="H228" s="11">
        <v>4.8399999999999997E-3</v>
      </c>
      <c r="I228">
        <v>4.0256389974514928</v>
      </c>
    </row>
    <row r="229" spans="1:9" x14ac:dyDescent="0.3">
      <c r="A229">
        <f t="shared" si="0"/>
        <v>1.6666666666666667</v>
      </c>
      <c r="B229">
        <v>1</v>
      </c>
      <c r="C229">
        <v>20</v>
      </c>
      <c r="D229" s="15">
        <v>9.1999999999999993</v>
      </c>
      <c r="E229">
        <v>6.95018469744487</v>
      </c>
      <c r="F229" s="9">
        <v>1.08</v>
      </c>
      <c r="G229" s="7">
        <v>4.37</v>
      </c>
      <c r="H229" s="11">
        <v>4.8399999999999997E-3</v>
      </c>
      <c r="I229">
        <v>2.0166808338993563</v>
      </c>
    </row>
    <row r="230" spans="1:9" x14ac:dyDescent="0.3">
      <c r="A230">
        <f t="shared" si="0"/>
        <v>1.6666666666666667</v>
      </c>
      <c r="B230">
        <v>1</v>
      </c>
      <c r="C230">
        <v>20</v>
      </c>
      <c r="D230" s="15">
        <v>11.5</v>
      </c>
      <c r="E230">
        <v>10.512750766615696</v>
      </c>
      <c r="F230" s="9">
        <v>1.08</v>
      </c>
      <c r="G230" s="7">
        <v>6.61</v>
      </c>
      <c r="H230" s="11">
        <v>4.8399999999999997E-3</v>
      </c>
      <c r="I230">
        <v>0.96483391786561834</v>
      </c>
    </row>
    <row r="231" spans="1:9" x14ac:dyDescent="0.3">
      <c r="A231">
        <f t="shared" si="0"/>
        <v>1.6666666666666667</v>
      </c>
      <c r="B231">
        <v>1</v>
      </c>
      <c r="C231">
        <v>20</v>
      </c>
      <c r="D231" s="15">
        <v>13.8</v>
      </c>
      <c r="E231">
        <v>15.39537479891678</v>
      </c>
      <c r="F231" s="9">
        <v>1.08</v>
      </c>
      <c r="G231" s="7">
        <v>9.68</v>
      </c>
      <c r="H231" s="11">
        <v>4.8399999999999997E-3</v>
      </c>
      <c r="I231">
        <v>0.20992228989822315</v>
      </c>
    </row>
    <row r="232" spans="1:9" x14ac:dyDescent="0.3">
      <c r="A232">
        <f t="shared" si="0"/>
        <v>1.6666666666666667</v>
      </c>
      <c r="B232">
        <v>1</v>
      </c>
      <c r="C232">
        <v>20</v>
      </c>
      <c r="D232" s="16">
        <v>17.3</v>
      </c>
      <c r="E232">
        <v>25.224240114754146</v>
      </c>
      <c r="F232" s="9">
        <v>1.08</v>
      </c>
      <c r="G232" s="7">
        <v>15.86</v>
      </c>
      <c r="H232" s="11">
        <v>4.8399999999999997E-3</v>
      </c>
      <c r="I232">
        <v>-0.79041952290137274</v>
      </c>
    </row>
    <row r="233" spans="1:9" x14ac:dyDescent="0.3">
      <c r="A233">
        <f t="shared" si="0"/>
        <v>1.6666666666666667</v>
      </c>
      <c r="B233">
        <v>2</v>
      </c>
      <c r="C233">
        <v>20</v>
      </c>
      <c r="D233" s="15">
        <v>2.2999999999999998</v>
      </c>
      <c r="E233">
        <v>0.90654583010150458</v>
      </c>
      <c r="F233" s="9">
        <v>1.08</v>
      </c>
      <c r="G233" s="7">
        <v>0.56999999999999995</v>
      </c>
      <c r="H233" s="11">
        <v>4.8399999999999997E-3</v>
      </c>
      <c r="I233">
        <v>38.484267633674392</v>
      </c>
    </row>
    <row r="234" spans="1:9" x14ac:dyDescent="0.3">
      <c r="A234">
        <f t="shared" si="0"/>
        <v>1.6666666666666667</v>
      </c>
      <c r="B234">
        <v>2</v>
      </c>
      <c r="C234">
        <v>20</v>
      </c>
      <c r="D234" s="15">
        <v>4.5999999999999996</v>
      </c>
      <c r="E234">
        <v>3.5466617563620275</v>
      </c>
      <c r="F234" s="9">
        <v>1.08</v>
      </c>
      <c r="G234" s="7">
        <v>2.23</v>
      </c>
      <c r="H234" s="11">
        <v>4.8399999999999997E-3</v>
      </c>
      <c r="I234">
        <v>9.2362070678862747</v>
      </c>
    </row>
    <row r="235" spans="1:9" x14ac:dyDescent="0.3">
      <c r="A235">
        <f t="shared" ref="A235:A298" si="1">100/60</f>
        <v>1.6666666666666667</v>
      </c>
      <c r="B235">
        <v>2</v>
      </c>
      <c r="C235">
        <v>20</v>
      </c>
      <c r="D235" s="15">
        <v>6.9</v>
      </c>
      <c r="E235">
        <v>8.1907210965311403</v>
      </c>
      <c r="F235" s="9">
        <v>1.08</v>
      </c>
      <c r="G235" s="7">
        <v>5.15</v>
      </c>
      <c r="H235" s="11">
        <v>4.8399999999999997E-3</v>
      </c>
      <c r="I235">
        <v>3.3119444283801882</v>
      </c>
    </row>
    <row r="236" spans="1:9" x14ac:dyDescent="0.3">
      <c r="A236">
        <f t="shared" si="1"/>
        <v>1.6666666666666667</v>
      </c>
      <c r="B236">
        <v>2</v>
      </c>
      <c r="C236">
        <v>20</v>
      </c>
      <c r="D236" s="15">
        <v>9.1999999999999993</v>
      </c>
      <c r="E236">
        <v>13.280101195346603</v>
      </c>
      <c r="F236" s="9">
        <v>1.08</v>
      </c>
      <c r="G236" s="7">
        <v>8.35</v>
      </c>
      <c r="H236" s="11">
        <v>4.8399999999999997E-3</v>
      </c>
      <c r="I236">
        <v>0.96871609945156889</v>
      </c>
    </row>
    <row r="237" spans="1:9" x14ac:dyDescent="0.3">
      <c r="A237">
        <f t="shared" si="1"/>
        <v>1.6666666666666667</v>
      </c>
      <c r="B237">
        <v>2</v>
      </c>
      <c r="C237">
        <v>20</v>
      </c>
      <c r="D237" s="15">
        <v>11.5</v>
      </c>
      <c r="E237">
        <v>24.937962484195776</v>
      </c>
      <c r="F237" s="9">
        <v>1.08</v>
      </c>
      <c r="G237" s="7">
        <v>15.68</v>
      </c>
      <c r="H237" s="11">
        <v>4.8399999999999997E-3</v>
      </c>
      <c r="I237">
        <v>-1.7135560793244793</v>
      </c>
    </row>
    <row r="238" spans="1:9" x14ac:dyDescent="0.3">
      <c r="A238">
        <f t="shared" si="1"/>
        <v>1.6666666666666667</v>
      </c>
      <c r="B238">
        <v>2</v>
      </c>
      <c r="C238">
        <v>20</v>
      </c>
      <c r="D238" s="15">
        <v>13.8</v>
      </c>
      <c r="E238">
        <v>34.210176851725201</v>
      </c>
      <c r="F238" s="9">
        <v>1.08</v>
      </c>
      <c r="G238" s="7">
        <v>21.51</v>
      </c>
      <c r="H238" s="11">
        <v>4.8399999999999997E-3</v>
      </c>
      <c r="I238">
        <v>-3.184720538127789</v>
      </c>
    </row>
    <row r="239" spans="1:9" x14ac:dyDescent="0.3">
      <c r="A239">
        <f t="shared" si="1"/>
        <v>1.6666666666666667</v>
      </c>
      <c r="B239">
        <v>2</v>
      </c>
      <c r="C239">
        <v>20</v>
      </c>
      <c r="D239" s="16">
        <v>17.399999999999999</v>
      </c>
      <c r="E239">
        <v>47.235809042131038</v>
      </c>
      <c r="F239" s="9">
        <v>1.08</v>
      </c>
      <c r="G239" s="7">
        <v>29.7</v>
      </c>
      <c r="H239" s="11">
        <v>4.8399999999999997E-3</v>
      </c>
      <c r="I239">
        <v>-4.4303568625335545</v>
      </c>
    </row>
    <row r="240" spans="1:9" x14ac:dyDescent="0.3">
      <c r="A240">
        <f t="shared" si="1"/>
        <v>1.6666666666666667</v>
      </c>
      <c r="B240">
        <v>4</v>
      </c>
      <c r="C240">
        <v>20</v>
      </c>
      <c r="D240" s="15">
        <v>2.2999999999999998</v>
      </c>
      <c r="E240">
        <v>1.1928234606598747</v>
      </c>
      <c r="F240" s="9">
        <v>1.08</v>
      </c>
      <c r="G240" s="7">
        <v>0.75</v>
      </c>
      <c r="H240" s="11">
        <v>4.8399999999999997E-3</v>
      </c>
      <c r="I240">
        <v>38.405573401221311</v>
      </c>
    </row>
    <row r="241" spans="1:9" x14ac:dyDescent="0.3">
      <c r="A241">
        <f t="shared" si="1"/>
        <v>1.6666666666666667</v>
      </c>
      <c r="B241">
        <v>4</v>
      </c>
      <c r="C241">
        <v>20</v>
      </c>
      <c r="D241" s="15">
        <v>4.5999999999999996</v>
      </c>
      <c r="E241">
        <v>4.3895903352283376</v>
      </c>
      <c r="F241" s="9">
        <v>1.08</v>
      </c>
      <c r="G241" s="7">
        <v>2.76</v>
      </c>
      <c r="H241" s="11">
        <v>4.8399999999999997E-3</v>
      </c>
      <c r="I241">
        <v>9.0172228122374261</v>
      </c>
    </row>
    <row r="242" spans="1:9" x14ac:dyDescent="0.3">
      <c r="A242">
        <f t="shared" si="1"/>
        <v>1.6666666666666667</v>
      </c>
      <c r="B242">
        <v>4</v>
      </c>
      <c r="C242">
        <v>20</v>
      </c>
      <c r="D242" s="15">
        <v>6.9</v>
      </c>
      <c r="E242">
        <v>9.097266926632642</v>
      </c>
      <c r="F242" s="9">
        <v>1.08</v>
      </c>
      <c r="G242" s="7">
        <v>5.72</v>
      </c>
      <c r="H242" s="11">
        <v>4.8399999999999997E-3</v>
      </c>
      <c r="I242">
        <v>3.0839320851066914</v>
      </c>
    </row>
    <row r="243" spans="1:9" x14ac:dyDescent="0.3">
      <c r="A243">
        <f t="shared" si="1"/>
        <v>1.6666666666666667</v>
      </c>
      <c r="B243">
        <v>4</v>
      </c>
      <c r="C243">
        <v>20</v>
      </c>
      <c r="D243" s="15">
        <v>9.1999999999999993</v>
      </c>
      <c r="E243">
        <v>17.033519018223011</v>
      </c>
      <c r="F243" s="9">
        <v>1.08</v>
      </c>
      <c r="G243" s="7">
        <v>10.71</v>
      </c>
      <c r="H243" s="11">
        <v>4.8399999999999997E-3</v>
      </c>
      <c r="I243">
        <v>3.7583816593950603E-2</v>
      </c>
    </row>
    <row r="244" spans="1:9" x14ac:dyDescent="0.3">
      <c r="A244">
        <f t="shared" si="1"/>
        <v>1.6666666666666667</v>
      </c>
      <c r="B244">
        <v>4</v>
      </c>
      <c r="C244">
        <v>20</v>
      </c>
      <c r="D244" s="15">
        <v>11.5</v>
      </c>
      <c r="E244">
        <v>28.357389738087413</v>
      </c>
      <c r="F244" s="9">
        <v>1.08</v>
      </c>
      <c r="G244" s="7">
        <v>17.829999999999998</v>
      </c>
      <c r="H244" s="11">
        <v>4.8399999999999997E-3</v>
      </c>
      <c r="I244">
        <v>-2.6680416043128496</v>
      </c>
    </row>
    <row r="245" spans="1:9" x14ac:dyDescent="0.3">
      <c r="A245">
        <f t="shared" si="1"/>
        <v>1.6666666666666667</v>
      </c>
      <c r="B245">
        <v>4</v>
      </c>
      <c r="C245">
        <v>20</v>
      </c>
      <c r="D245" s="15">
        <v>13.8</v>
      </c>
      <c r="E245">
        <v>36.102790075972202</v>
      </c>
      <c r="F245" s="9">
        <v>1.08</v>
      </c>
      <c r="G245" s="7">
        <v>22.7</v>
      </c>
      <c r="H245" s="11">
        <v>4.8399999999999997E-3</v>
      </c>
      <c r="I245">
        <v>-3.6687384603983353</v>
      </c>
    </row>
    <row r="246" spans="1:9" x14ac:dyDescent="0.3">
      <c r="A246">
        <f t="shared" si="1"/>
        <v>1.6666666666666667</v>
      </c>
      <c r="B246">
        <v>4</v>
      </c>
      <c r="C246">
        <v>20</v>
      </c>
      <c r="D246" s="16">
        <v>17</v>
      </c>
      <c r="E246">
        <v>44.516171551826517</v>
      </c>
      <c r="F246" s="9">
        <v>1.08</v>
      </c>
      <c r="G246" s="7">
        <v>27.99</v>
      </c>
      <c r="H246" s="11">
        <v>4.8399999999999997E-3</v>
      </c>
      <c r="I246">
        <v>-4.0432285133035828</v>
      </c>
    </row>
    <row r="247" spans="1:9" x14ac:dyDescent="0.3">
      <c r="A247">
        <f t="shared" si="1"/>
        <v>1.6666666666666667</v>
      </c>
      <c r="B247">
        <v>6</v>
      </c>
      <c r="C247">
        <v>20</v>
      </c>
      <c r="D247" s="15">
        <v>2.2999999999999998</v>
      </c>
      <c r="E247">
        <v>0</v>
      </c>
      <c r="F247" s="9">
        <v>1.08</v>
      </c>
      <c r="G247" s="7">
        <v>0</v>
      </c>
      <c r="H247" s="11">
        <v>4.8400200000000004E-3</v>
      </c>
      <c r="I247">
        <v>38.591876034869706</v>
      </c>
    </row>
    <row r="248" spans="1:9" x14ac:dyDescent="0.3">
      <c r="A248">
        <f t="shared" si="1"/>
        <v>1.6666666666666667</v>
      </c>
      <c r="B248">
        <v>6</v>
      </c>
      <c r="C248">
        <v>20</v>
      </c>
      <c r="D248" s="15">
        <v>4.5999999999999996</v>
      </c>
      <c r="E248">
        <v>3.9442695765819855</v>
      </c>
      <c r="F248" s="9">
        <v>1.08</v>
      </c>
      <c r="G248" s="7">
        <v>2.48</v>
      </c>
      <c r="H248" s="11">
        <v>4.8400200000000004E-3</v>
      </c>
      <c r="I248">
        <v>9.1387086896102812</v>
      </c>
    </row>
    <row r="249" spans="1:9" x14ac:dyDescent="0.3">
      <c r="A249">
        <f t="shared" si="1"/>
        <v>1.6666666666666667</v>
      </c>
      <c r="B249">
        <v>6</v>
      </c>
      <c r="C249">
        <v>20</v>
      </c>
      <c r="D249" s="15">
        <v>6.9</v>
      </c>
      <c r="E249">
        <v>8.2702426605751302</v>
      </c>
      <c r="F249" s="9">
        <v>1.08</v>
      </c>
      <c r="G249" s="7">
        <v>5.2</v>
      </c>
      <c r="H249" s="11">
        <v>4.8400200000000004E-3</v>
      </c>
      <c r="I249">
        <v>3.2929001591627971</v>
      </c>
    </row>
    <row r="250" spans="1:9" x14ac:dyDescent="0.3">
      <c r="A250">
        <f t="shared" si="1"/>
        <v>1.6666666666666667</v>
      </c>
      <c r="B250">
        <v>6</v>
      </c>
      <c r="C250">
        <v>20</v>
      </c>
      <c r="D250" s="15">
        <v>9.1999999999999993</v>
      </c>
      <c r="E250">
        <v>15.506704988578369</v>
      </c>
      <c r="F250" s="9">
        <v>1.08</v>
      </c>
      <c r="G250" s="7">
        <v>9.75</v>
      </c>
      <c r="H250" s="11">
        <v>4.8400200000000004E-3</v>
      </c>
      <c r="I250">
        <v>0.44417068426820444</v>
      </c>
    </row>
    <row r="251" spans="1:9" x14ac:dyDescent="0.3">
      <c r="A251">
        <f t="shared" si="1"/>
        <v>1.6666666666666667</v>
      </c>
      <c r="B251">
        <v>6</v>
      </c>
      <c r="C251">
        <v>20</v>
      </c>
      <c r="D251" s="15">
        <v>11.5</v>
      </c>
      <c r="E251">
        <v>24.254077033417452</v>
      </c>
      <c r="F251" s="9">
        <v>1.08</v>
      </c>
      <c r="G251" s="7">
        <v>15.25</v>
      </c>
      <c r="H251" s="11">
        <v>4.8400200000000004E-3</v>
      </c>
      <c r="I251">
        <v>-1.5373565132970828</v>
      </c>
    </row>
    <row r="252" spans="1:9" x14ac:dyDescent="0.3">
      <c r="A252">
        <f t="shared" si="1"/>
        <v>1.6666666666666667</v>
      </c>
      <c r="B252">
        <v>6</v>
      </c>
      <c r="C252">
        <v>20</v>
      </c>
      <c r="D252" s="15">
        <v>13.8</v>
      </c>
      <c r="E252">
        <v>24.524450351167022</v>
      </c>
      <c r="F252" s="9">
        <v>1.08</v>
      </c>
      <c r="G252" s="7">
        <v>15.42</v>
      </c>
      <c r="H252" s="11">
        <v>4.8400200000000004E-3</v>
      </c>
      <c r="I252">
        <v>-1.1155772478923249</v>
      </c>
    </row>
    <row r="253" spans="1:9" x14ac:dyDescent="0.3">
      <c r="A253">
        <f t="shared" si="1"/>
        <v>1.6666666666666667</v>
      </c>
      <c r="B253">
        <v>6</v>
      </c>
      <c r="C253">
        <v>20</v>
      </c>
      <c r="D253" s="16">
        <v>16.899999999999999</v>
      </c>
      <c r="E253">
        <v>34.432837231048374</v>
      </c>
      <c r="F253" s="9">
        <v>1.08</v>
      </c>
      <c r="G253" s="7">
        <v>21.65</v>
      </c>
      <c r="H253" s="11">
        <v>4.8400200000000004E-3</v>
      </c>
      <c r="I253">
        <v>-2.1605857770190786</v>
      </c>
    </row>
    <row r="254" spans="1:9" x14ac:dyDescent="0.3">
      <c r="A254">
        <f t="shared" si="1"/>
        <v>1.6666666666666667</v>
      </c>
      <c r="B254">
        <v>1</v>
      </c>
      <c r="C254">
        <v>30</v>
      </c>
      <c r="D254" s="15">
        <v>3.3</v>
      </c>
      <c r="E254">
        <v>0.63617251235193317</v>
      </c>
      <c r="F254" s="9">
        <v>1.62</v>
      </c>
      <c r="G254" s="7">
        <v>0.4</v>
      </c>
      <c r="H254" s="11">
        <v>6.9100000000000003E-3</v>
      </c>
      <c r="I254">
        <v>42.122043921814218</v>
      </c>
    </row>
    <row r="255" spans="1:9" x14ac:dyDescent="0.3">
      <c r="A255">
        <f t="shared" si="1"/>
        <v>1.6666666666666667</v>
      </c>
      <c r="B255">
        <v>1</v>
      </c>
      <c r="C255">
        <v>30</v>
      </c>
      <c r="D255" s="15">
        <v>6.6</v>
      </c>
      <c r="E255">
        <v>2.4810727981725389</v>
      </c>
      <c r="F255" s="9">
        <v>1.62</v>
      </c>
      <c r="G255" s="7">
        <v>1.56</v>
      </c>
      <c r="H255" s="11">
        <v>6.9100000000000003E-3</v>
      </c>
      <c r="I255">
        <v>10.32475102976529</v>
      </c>
    </row>
    <row r="256" spans="1:9" x14ac:dyDescent="0.3">
      <c r="A256">
        <f t="shared" si="1"/>
        <v>1.6666666666666667</v>
      </c>
      <c r="B256">
        <v>1</v>
      </c>
      <c r="C256">
        <v>30</v>
      </c>
      <c r="D256" s="15">
        <v>9.9</v>
      </c>
      <c r="E256">
        <v>5.8368828008289864</v>
      </c>
      <c r="F256" s="9">
        <v>1.62</v>
      </c>
      <c r="G256" s="7">
        <v>3.67</v>
      </c>
      <c r="H256" s="11">
        <v>6.9100000000000003E-3</v>
      </c>
      <c r="I256">
        <v>4.1449157786856201</v>
      </c>
    </row>
    <row r="257" spans="1:9" x14ac:dyDescent="0.3">
      <c r="A257">
        <f t="shared" si="1"/>
        <v>1.6666666666666667</v>
      </c>
      <c r="B257">
        <v>1</v>
      </c>
      <c r="C257">
        <v>30</v>
      </c>
      <c r="D257" s="15">
        <v>13.2</v>
      </c>
      <c r="E257">
        <v>12.071373421877929</v>
      </c>
      <c r="F257" s="9">
        <v>1.62</v>
      </c>
      <c r="G257" s="7">
        <v>7.59</v>
      </c>
      <c r="H257" s="11">
        <v>6.9100000000000003E-3</v>
      </c>
      <c r="I257">
        <v>1.3328698476012399</v>
      </c>
    </row>
    <row r="258" spans="1:9" x14ac:dyDescent="0.3">
      <c r="A258">
        <f t="shared" si="1"/>
        <v>1.6666666666666667</v>
      </c>
      <c r="B258">
        <v>1</v>
      </c>
      <c r="C258">
        <v>30</v>
      </c>
      <c r="D258" s="15">
        <v>16.5</v>
      </c>
      <c r="E258">
        <v>19.276027124263571</v>
      </c>
      <c r="F258" s="9">
        <v>1.62</v>
      </c>
      <c r="G258" s="7">
        <v>12.12</v>
      </c>
      <c r="H258" s="11">
        <v>6.9100000000000003E-3</v>
      </c>
      <c r="I258">
        <v>-0.43982358501849894</v>
      </c>
    </row>
    <row r="259" spans="1:9" x14ac:dyDescent="0.3">
      <c r="A259">
        <f t="shared" si="1"/>
        <v>1.6666666666666667</v>
      </c>
      <c r="B259">
        <v>1</v>
      </c>
      <c r="C259">
        <v>30</v>
      </c>
      <c r="D259" s="15">
        <v>19.8</v>
      </c>
      <c r="E259">
        <v>25.160622863518956</v>
      </c>
      <c r="F259" s="9">
        <v>1.62</v>
      </c>
      <c r="G259" s="7">
        <v>15.82</v>
      </c>
      <c r="H259" s="11">
        <v>6.9100000000000003E-3</v>
      </c>
      <c r="I259">
        <v>-1.3449519765699169</v>
      </c>
    </row>
    <row r="260" spans="1:9" x14ac:dyDescent="0.3">
      <c r="A260">
        <f t="shared" si="1"/>
        <v>1.6666666666666667</v>
      </c>
      <c r="B260">
        <v>1</v>
      </c>
      <c r="C260">
        <v>30</v>
      </c>
      <c r="D260" s="16">
        <v>23.1</v>
      </c>
      <c r="E260">
        <v>33.271822396006101</v>
      </c>
      <c r="F260" s="9">
        <v>1.62</v>
      </c>
      <c r="G260" s="7">
        <v>20.92</v>
      </c>
      <c r="H260" s="11">
        <v>6.9100000000000003E-3</v>
      </c>
      <c r="I260">
        <v>-2.3723954934591607</v>
      </c>
    </row>
    <row r="261" spans="1:9" x14ac:dyDescent="0.3">
      <c r="A261">
        <f t="shared" si="1"/>
        <v>1.6666666666666667</v>
      </c>
      <c r="B261">
        <v>2</v>
      </c>
      <c r="C261">
        <v>30</v>
      </c>
      <c r="D261" s="15">
        <v>3.3</v>
      </c>
      <c r="E261">
        <v>1.065588958189488</v>
      </c>
      <c r="F261" s="9">
        <v>1.62</v>
      </c>
      <c r="G261" s="7">
        <v>0.67</v>
      </c>
      <c r="H261" s="11">
        <v>6.9100000000000003E-3</v>
      </c>
      <c r="I261">
        <v>42.017462553492898</v>
      </c>
    </row>
    <row r="262" spans="1:9" x14ac:dyDescent="0.3">
      <c r="A262">
        <f t="shared" si="1"/>
        <v>1.6666666666666667</v>
      </c>
      <c r="B262">
        <v>2</v>
      </c>
      <c r="C262">
        <v>30</v>
      </c>
      <c r="D262" s="15">
        <v>6.6</v>
      </c>
      <c r="E262">
        <v>4.3577817096107427</v>
      </c>
      <c r="F262" s="9">
        <v>1.62</v>
      </c>
      <c r="G262" s="7">
        <v>2.74</v>
      </c>
      <c r="H262" s="11">
        <v>6.9100000000000003E-3</v>
      </c>
      <c r="I262">
        <v>9.8655559251768619</v>
      </c>
    </row>
    <row r="263" spans="1:9" x14ac:dyDescent="0.3">
      <c r="A263">
        <f t="shared" si="1"/>
        <v>1.6666666666666667</v>
      </c>
      <c r="B263">
        <v>2</v>
      </c>
      <c r="C263">
        <v>30</v>
      </c>
      <c r="D263" s="15">
        <v>9.9</v>
      </c>
      <c r="E263">
        <v>10.226473136057324</v>
      </c>
      <c r="F263" s="9">
        <v>1.62</v>
      </c>
      <c r="G263" s="7">
        <v>6.43</v>
      </c>
      <c r="H263" s="11">
        <v>6.9100000000000003E-3</v>
      </c>
      <c r="I263">
        <v>3.0236857401004955</v>
      </c>
    </row>
    <row r="264" spans="1:9" x14ac:dyDescent="0.3">
      <c r="A264">
        <f t="shared" si="1"/>
        <v>1.6666666666666667</v>
      </c>
      <c r="B264">
        <v>2</v>
      </c>
      <c r="C264">
        <v>30</v>
      </c>
      <c r="D264" s="15">
        <v>13.2</v>
      </c>
      <c r="E264">
        <v>19.260122811454771</v>
      </c>
      <c r="F264" s="9">
        <v>1.62</v>
      </c>
      <c r="G264" s="7">
        <v>12.11</v>
      </c>
      <c r="H264" s="11">
        <v>6.9100000000000003E-3</v>
      </c>
      <c r="I264">
        <v>-0.68174233671942119</v>
      </c>
    </row>
    <row r="265" spans="1:9" x14ac:dyDescent="0.3">
      <c r="A265">
        <f t="shared" si="1"/>
        <v>1.6666666666666667</v>
      </c>
      <c r="B265">
        <v>2</v>
      </c>
      <c r="C265">
        <v>30</v>
      </c>
      <c r="D265" s="15">
        <v>16.5</v>
      </c>
      <c r="E265">
        <v>27.75302585135308</v>
      </c>
      <c r="F265" s="9">
        <v>1.62</v>
      </c>
      <c r="G265" s="7">
        <v>17.45</v>
      </c>
      <c r="H265" s="11">
        <v>6.9100000000000003E-3</v>
      </c>
      <c r="I265">
        <v>-2.721979453003796</v>
      </c>
    </row>
    <row r="266" spans="1:9" x14ac:dyDescent="0.3">
      <c r="A266">
        <f t="shared" si="1"/>
        <v>1.6666666666666667</v>
      </c>
      <c r="B266">
        <v>2</v>
      </c>
      <c r="C266">
        <v>30</v>
      </c>
      <c r="D266" s="15">
        <v>19.8</v>
      </c>
      <c r="E266">
        <v>36.198215952824995</v>
      </c>
      <c r="F266" s="9">
        <v>1.62</v>
      </c>
      <c r="G266" s="7">
        <v>22.76</v>
      </c>
      <c r="H266" s="11">
        <v>6.9100000000000003E-3</v>
      </c>
      <c r="I266">
        <v>-4.0372675968793388</v>
      </c>
    </row>
    <row r="267" spans="1:9" x14ac:dyDescent="0.3">
      <c r="A267">
        <f t="shared" si="1"/>
        <v>1.6666666666666667</v>
      </c>
      <c r="B267">
        <v>2</v>
      </c>
      <c r="C267">
        <v>30</v>
      </c>
      <c r="D267" s="16">
        <v>23.1</v>
      </c>
      <c r="E267">
        <v>43.546008470489824</v>
      </c>
      <c r="F267" s="9">
        <v>1.62</v>
      </c>
      <c r="G267" s="7">
        <v>27.38</v>
      </c>
      <c r="H267" s="11">
        <v>6.9100000000000003E-3</v>
      </c>
      <c r="I267">
        <v>-4.6774985501543194</v>
      </c>
    </row>
    <row r="268" spans="1:9" x14ac:dyDescent="0.3">
      <c r="A268">
        <f t="shared" si="1"/>
        <v>1.6666666666666667</v>
      </c>
      <c r="B268">
        <v>4</v>
      </c>
      <c r="C268">
        <v>30</v>
      </c>
      <c r="D268" s="15">
        <v>3.3</v>
      </c>
      <c r="E268">
        <v>1.2087277734686728</v>
      </c>
      <c r="F268" s="9">
        <v>1.62</v>
      </c>
      <c r="G268" s="7">
        <v>0.76</v>
      </c>
      <c r="H268" s="11">
        <v>6.9100000000000003E-3</v>
      </c>
      <c r="I268">
        <v>41.970873345798353</v>
      </c>
    </row>
    <row r="269" spans="1:9" x14ac:dyDescent="0.3">
      <c r="A269">
        <f t="shared" si="1"/>
        <v>1.6666666666666667</v>
      </c>
      <c r="B269">
        <v>4</v>
      </c>
      <c r="C269">
        <v>30</v>
      </c>
      <c r="D269" s="15">
        <v>6.6</v>
      </c>
      <c r="E269">
        <v>4.0078868278171784</v>
      </c>
      <c r="F269" s="9">
        <v>1.62</v>
      </c>
      <c r="G269" s="7">
        <v>2.52</v>
      </c>
      <c r="H269" s="11">
        <v>6.9100000000000003E-3</v>
      </c>
      <c r="I269">
        <v>9.9702820929004989</v>
      </c>
    </row>
    <row r="270" spans="1:9" x14ac:dyDescent="0.3">
      <c r="A270">
        <f t="shared" si="1"/>
        <v>1.6666666666666667</v>
      </c>
      <c r="B270">
        <v>4</v>
      </c>
      <c r="C270">
        <v>30</v>
      </c>
      <c r="D270" s="15">
        <v>9.9</v>
      </c>
      <c r="E270">
        <v>8.2702426605751302</v>
      </c>
      <c r="F270" s="9">
        <v>1.62</v>
      </c>
      <c r="G270" s="7">
        <v>5.2</v>
      </c>
      <c r="H270" s="11">
        <v>6.9100000000000003E-3</v>
      </c>
      <c r="I270">
        <v>3.5990582318122315</v>
      </c>
    </row>
    <row r="271" spans="1:9" x14ac:dyDescent="0.3">
      <c r="A271">
        <f t="shared" si="1"/>
        <v>1.6666666666666667</v>
      </c>
      <c r="B271">
        <v>4</v>
      </c>
      <c r="C271">
        <v>30</v>
      </c>
      <c r="D271" s="15">
        <v>13.2</v>
      </c>
      <c r="E271">
        <v>15.31585323487279</v>
      </c>
      <c r="F271" s="9">
        <v>1.62</v>
      </c>
      <c r="G271" s="7">
        <v>9.6300000000000008</v>
      </c>
      <c r="H271" s="11">
        <v>6.9100000000000003E-3</v>
      </c>
      <c r="I271">
        <v>0.53808402822471069</v>
      </c>
    </row>
    <row r="272" spans="1:9" x14ac:dyDescent="0.3">
      <c r="A272">
        <f t="shared" si="1"/>
        <v>1.6666666666666667</v>
      </c>
      <c r="B272">
        <v>4</v>
      </c>
      <c r="C272">
        <v>30</v>
      </c>
      <c r="D272" s="15">
        <v>16.5</v>
      </c>
      <c r="E272">
        <v>21.184544661319372</v>
      </c>
      <c r="F272" s="9">
        <v>1.62</v>
      </c>
      <c r="G272" s="7">
        <v>13.32</v>
      </c>
      <c r="H272" s="11">
        <v>6.9100000000000003E-3</v>
      </c>
      <c r="I272">
        <v>-0.88186720040283006</v>
      </c>
    </row>
    <row r="273" spans="1:9" x14ac:dyDescent="0.3">
      <c r="A273">
        <f t="shared" si="1"/>
        <v>1.6666666666666667</v>
      </c>
      <c r="B273">
        <v>4</v>
      </c>
      <c r="C273">
        <v>30</v>
      </c>
      <c r="D273" s="15">
        <v>19.8</v>
      </c>
      <c r="E273">
        <v>26.703341205972389</v>
      </c>
      <c r="F273" s="9">
        <v>1.62</v>
      </c>
      <c r="G273" s="7">
        <v>16.79</v>
      </c>
      <c r="H273" s="11">
        <v>6.9100000000000003E-3</v>
      </c>
      <c r="I273">
        <v>-1.6630249803322308</v>
      </c>
    </row>
    <row r="274" spans="1:9" x14ac:dyDescent="0.3">
      <c r="A274">
        <f t="shared" si="1"/>
        <v>1.6666666666666667</v>
      </c>
      <c r="B274">
        <v>4</v>
      </c>
      <c r="C274">
        <v>30</v>
      </c>
      <c r="D274" s="16">
        <v>23.5</v>
      </c>
      <c r="E274">
        <v>34.703210548797955</v>
      </c>
      <c r="F274" s="9">
        <v>1.62</v>
      </c>
      <c r="G274" s="7">
        <v>21.82</v>
      </c>
      <c r="H274" s="11">
        <v>6.9100000000000003E-3</v>
      </c>
      <c r="I274">
        <v>-2.5669048967424004</v>
      </c>
    </row>
    <row r="275" spans="1:9" x14ac:dyDescent="0.3">
      <c r="A275">
        <f t="shared" si="1"/>
        <v>1.6666666666666667</v>
      </c>
      <c r="B275">
        <v>6</v>
      </c>
      <c r="C275">
        <v>30</v>
      </c>
      <c r="D275" s="15">
        <v>3.3</v>
      </c>
      <c r="E275">
        <v>0</v>
      </c>
      <c r="F275" s="9">
        <v>1.62</v>
      </c>
      <c r="G275" s="7">
        <v>0</v>
      </c>
      <c r="H275" s="11">
        <v>6.9100200000000002E-3</v>
      </c>
      <c r="I275">
        <v>42.179963682739846</v>
      </c>
    </row>
    <row r="276" spans="1:9" x14ac:dyDescent="0.3">
      <c r="A276">
        <f t="shared" si="1"/>
        <v>1.6666666666666667</v>
      </c>
      <c r="B276">
        <v>6</v>
      </c>
      <c r="C276">
        <v>30</v>
      </c>
      <c r="D276" s="15">
        <v>6.6</v>
      </c>
      <c r="E276">
        <v>3.5784703819796233</v>
      </c>
      <c r="F276" s="9">
        <v>1.62</v>
      </c>
      <c r="G276" s="7">
        <v>2.25</v>
      </c>
      <c r="H276" s="11">
        <v>6.9100200000000002E-3</v>
      </c>
      <c r="I276">
        <v>10.086836561800665</v>
      </c>
    </row>
    <row r="277" spans="1:9" x14ac:dyDescent="0.3">
      <c r="A277">
        <f t="shared" si="1"/>
        <v>1.6666666666666667</v>
      </c>
      <c r="B277">
        <v>6</v>
      </c>
      <c r="C277">
        <v>30</v>
      </c>
      <c r="D277" s="15">
        <v>9.9</v>
      </c>
      <c r="E277">
        <v>7.3636968304736259</v>
      </c>
      <c r="F277" s="9">
        <v>1.62</v>
      </c>
      <c r="G277" s="7">
        <v>4.63</v>
      </c>
      <c r="H277" s="11">
        <v>6.9100200000000002E-3</v>
      </c>
      <c r="I277">
        <v>3.8244264348971901</v>
      </c>
    </row>
    <row r="278" spans="1:9" x14ac:dyDescent="0.3">
      <c r="A278">
        <f t="shared" si="1"/>
        <v>1.6666666666666667</v>
      </c>
      <c r="B278">
        <v>6</v>
      </c>
      <c r="C278">
        <v>30</v>
      </c>
      <c r="D278" s="15">
        <v>13.2</v>
      </c>
      <c r="E278">
        <v>12.962014939170638</v>
      </c>
      <c r="F278" s="9">
        <v>1.62</v>
      </c>
      <c r="G278" s="7">
        <v>8.15</v>
      </c>
      <c r="H278" s="11">
        <v>6.9100200000000002E-3</v>
      </c>
      <c r="I278">
        <v>1.1334448707642151</v>
      </c>
    </row>
    <row r="279" spans="1:9" x14ac:dyDescent="0.3">
      <c r="A279">
        <f t="shared" si="1"/>
        <v>1.6666666666666667</v>
      </c>
      <c r="B279">
        <v>6</v>
      </c>
      <c r="C279">
        <v>30</v>
      </c>
      <c r="D279" s="15">
        <v>16.5</v>
      </c>
      <c r="E279">
        <v>13.121058067258621</v>
      </c>
      <c r="F279" s="9">
        <v>1.62</v>
      </c>
      <c r="G279" s="7">
        <v>8.25</v>
      </c>
      <c r="H279" s="11">
        <v>6.9100200000000002E-3</v>
      </c>
      <c r="I279">
        <v>0.70165761530959359</v>
      </c>
    </row>
    <row r="280" spans="1:9" x14ac:dyDescent="0.3">
      <c r="A280">
        <f t="shared" si="1"/>
        <v>1.6666666666666667</v>
      </c>
      <c r="B280">
        <v>6</v>
      </c>
      <c r="C280">
        <v>30</v>
      </c>
      <c r="D280" s="15">
        <v>19.8</v>
      </c>
      <c r="E280">
        <v>20.357520395261862</v>
      </c>
      <c r="F280" s="9">
        <v>1.62</v>
      </c>
      <c r="G280" s="7">
        <v>12.8</v>
      </c>
      <c r="H280" s="11">
        <v>6.9100200000000002E-3</v>
      </c>
      <c r="I280">
        <v>-0.47582976403041327</v>
      </c>
    </row>
    <row r="281" spans="1:9" x14ac:dyDescent="0.3">
      <c r="A281">
        <f t="shared" si="1"/>
        <v>1.6666666666666667</v>
      </c>
      <c r="B281">
        <v>6</v>
      </c>
      <c r="C281">
        <v>30</v>
      </c>
      <c r="D281" s="16">
        <v>23.5</v>
      </c>
      <c r="E281">
        <v>24.110938218138266</v>
      </c>
      <c r="F281" s="9">
        <v>1.62</v>
      </c>
      <c r="G281" s="7">
        <v>15.16</v>
      </c>
      <c r="H281" s="11">
        <v>6.9100200000000002E-3</v>
      </c>
      <c r="I281">
        <v>-0.8088190848000002</v>
      </c>
    </row>
    <row r="282" spans="1:9" x14ac:dyDescent="0.3">
      <c r="A282">
        <f t="shared" si="1"/>
        <v>1.6666666666666667</v>
      </c>
      <c r="B282">
        <v>1</v>
      </c>
      <c r="C282">
        <v>40</v>
      </c>
      <c r="D282" s="15">
        <v>3.9</v>
      </c>
      <c r="E282">
        <v>0</v>
      </c>
      <c r="F282" s="9">
        <v>2.16</v>
      </c>
      <c r="G282" s="7">
        <v>0</v>
      </c>
      <c r="H282" s="11">
        <v>8.7799999999999996E-3</v>
      </c>
      <c r="I282">
        <v>53.688632274677403</v>
      </c>
    </row>
    <row r="283" spans="1:9" x14ac:dyDescent="0.3">
      <c r="A283">
        <f t="shared" si="1"/>
        <v>1.6666666666666667</v>
      </c>
      <c r="B283">
        <v>1</v>
      </c>
      <c r="C283">
        <v>40</v>
      </c>
      <c r="D283" s="15">
        <v>7.8</v>
      </c>
      <c r="E283">
        <v>2.1470822291877742</v>
      </c>
      <c r="F283" s="9">
        <v>2.16</v>
      </c>
      <c r="G283" s="7">
        <v>1.35</v>
      </c>
      <c r="H283" s="11">
        <v>8.7799999999999996E-3</v>
      </c>
      <c r="I283">
        <v>13.212220355343906</v>
      </c>
    </row>
    <row r="284" spans="1:9" x14ac:dyDescent="0.3">
      <c r="A284">
        <f t="shared" si="1"/>
        <v>1.6666666666666667</v>
      </c>
      <c r="B284">
        <v>1</v>
      </c>
      <c r="C284">
        <v>40</v>
      </c>
      <c r="D284" s="15">
        <v>11.7</v>
      </c>
      <c r="E284">
        <v>4.5645377761251202</v>
      </c>
      <c r="F284" s="9">
        <v>2.16</v>
      </c>
      <c r="G284" s="7">
        <v>2.87</v>
      </c>
      <c r="H284" s="11">
        <v>8.7799999999999996E-3</v>
      </c>
      <c r="I284">
        <v>5.5437030036298225</v>
      </c>
    </row>
    <row r="285" spans="1:9" x14ac:dyDescent="0.3">
      <c r="A285">
        <f t="shared" si="1"/>
        <v>1.6666666666666667</v>
      </c>
      <c r="B285">
        <v>1</v>
      </c>
      <c r="C285">
        <v>40</v>
      </c>
      <c r="D285" s="15">
        <v>15.6</v>
      </c>
      <c r="E285">
        <v>8.1271038452959452</v>
      </c>
      <c r="F285" s="9">
        <v>2.16</v>
      </c>
      <c r="G285" s="7">
        <v>5.1100000000000003</v>
      </c>
      <c r="H285" s="11">
        <v>8.7799999999999996E-3</v>
      </c>
      <c r="I285">
        <v>2.6035622107029588</v>
      </c>
    </row>
    <row r="286" spans="1:9" x14ac:dyDescent="0.3">
      <c r="A286">
        <f t="shared" si="1"/>
        <v>1.6666666666666667</v>
      </c>
      <c r="B286">
        <v>1</v>
      </c>
      <c r="C286">
        <v>40</v>
      </c>
      <c r="D286" s="15">
        <v>19.5</v>
      </c>
      <c r="E286">
        <v>13.868560769272142</v>
      </c>
      <c r="F286" s="9">
        <v>2.16</v>
      </c>
      <c r="G286" s="7">
        <v>8.7200000000000006</v>
      </c>
      <c r="H286" s="11">
        <v>8.7799999999999996E-3</v>
      </c>
      <c r="I286">
        <v>0.74610087323781304</v>
      </c>
    </row>
    <row r="287" spans="1:9" x14ac:dyDescent="0.3">
      <c r="A287">
        <f t="shared" si="1"/>
        <v>1.6666666666666667</v>
      </c>
      <c r="B287">
        <v>1</v>
      </c>
      <c r="C287">
        <v>40</v>
      </c>
      <c r="D287" s="15">
        <v>23.4</v>
      </c>
      <c r="E287">
        <v>19.753156508527525</v>
      </c>
      <c r="F287" s="9">
        <v>2.16</v>
      </c>
      <c r="G287" s="7">
        <v>12.42</v>
      </c>
      <c r="H287" s="11">
        <v>8.7799999999999996E-3</v>
      </c>
      <c r="I287">
        <v>-0.48299666524402307</v>
      </c>
    </row>
    <row r="288" spans="1:9" x14ac:dyDescent="0.3">
      <c r="A288">
        <f t="shared" si="1"/>
        <v>1.6666666666666667</v>
      </c>
      <c r="B288">
        <v>1</v>
      </c>
      <c r="C288">
        <v>40</v>
      </c>
      <c r="D288" s="16">
        <v>26.8</v>
      </c>
      <c r="E288">
        <v>23.808756274771095</v>
      </c>
      <c r="F288" s="9">
        <v>2.16</v>
      </c>
      <c r="G288" s="7">
        <v>14.97</v>
      </c>
      <c r="H288" s="11">
        <v>8.7799999999999996E-3</v>
      </c>
      <c r="I288">
        <v>-1.0497330137549028</v>
      </c>
    </row>
    <row r="289" spans="1:9" x14ac:dyDescent="0.3">
      <c r="A289">
        <f t="shared" si="1"/>
        <v>1.6666666666666667</v>
      </c>
      <c r="B289">
        <v>2</v>
      </c>
      <c r="C289">
        <v>40</v>
      </c>
      <c r="D289" s="15">
        <v>3.9</v>
      </c>
      <c r="E289">
        <v>1.0337803325718913</v>
      </c>
      <c r="F289" s="9">
        <v>2.16</v>
      </c>
      <c r="G289" s="7">
        <v>0.65</v>
      </c>
      <c r="H289" s="11">
        <v>8.7799999999999996E-3</v>
      </c>
      <c r="I289">
        <v>53.493957522677398</v>
      </c>
    </row>
    <row r="290" spans="1:9" x14ac:dyDescent="0.3">
      <c r="A290">
        <f t="shared" si="1"/>
        <v>1.6666666666666667</v>
      </c>
      <c r="B290">
        <v>2</v>
      </c>
      <c r="C290">
        <v>40</v>
      </c>
      <c r="D290" s="15">
        <v>7.8</v>
      </c>
      <c r="E290">
        <v>3.4353315667004387</v>
      </c>
      <c r="F290" s="9">
        <v>2.16</v>
      </c>
      <c r="G290" s="7">
        <v>2.16</v>
      </c>
      <c r="H290" s="11">
        <v>8.7799999999999996E-3</v>
      </c>
      <c r="I290">
        <v>12.884717522556215</v>
      </c>
    </row>
    <row r="291" spans="1:9" x14ac:dyDescent="0.3">
      <c r="A291">
        <f t="shared" si="1"/>
        <v>1.6666666666666667</v>
      </c>
      <c r="B291">
        <v>2</v>
      </c>
      <c r="C291">
        <v>40</v>
      </c>
      <c r="D291" s="15">
        <v>11.7</v>
      </c>
      <c r="E291">
        <v>7.6817830866495926</v>
      </c>
      <c r="F291" s="9">
        <v>2.16</v>
      </c>
      <c r="G291" s="7">
        <v>4.83</v>
      </c>
      <c r="H291" s="11">
        <v>8.7799999999999996E-3</v>
      </c>
      <c r="I291">
        <v>4.771045184515029</v>
      </c>
    </row>
    <row r="292" spans="1:9" x14ac:dyDescent="0.3">
      <c r="A292">
        <f t="shared" si="1"/>
        <v>1.6666666666666667</v>
      </c>
      <c r="B292">
        <v>2</v>
      </c>
      <c r="C292">
        <v>40</v>
      </c>
      <c r="D292" s="15">
        <v>15.6</v>
      </c>
      <c r="E292">
        <v>14.123029774212915</v>
      </c>
      <c r="F292" s="9">
        <v>2.16</v>
      </c>
      <c r="G292" s="7">
        <v>8.8800000000000008</v>
      </c>
      <c r="H292" s="11">
        <v>8.7799999999999996E-3</v>
      </c>
      <c r="I292">
        <v>1.0846873331275737</v>
      </c>
    </row>
    <row r="293" spans="1:9" x14ac:dyDescent="0.3">
      <c r="A293">
        <f t="shared" si="1"/>
        <v>1.6666666666666667</v>
      </c>
      <c r="B293">
        <v>2</v>
      </c>
      <c r="C293">
        <v>40</v>
      </c>
      <c r="D293" s="15">
        <v>19.5</v>
      </c>
      <c r="E293">
        <v>20.182572954365078</v>
      </c>
      <c r="F293" s="9">
        <v>2.16</v>
      </c>
      <c r="G293" s="7">
        <v>12.69</v>
      </c>
      <c r="H293" s="11">
        <v>8.7799999999999996E-3</v>
      </c>
      <c r="I293">
        <v>-0.82047012492269777</v>
      </c>
    </row>
    <row r="294" spans="1:9" x14ac:dyDescent="0.3">
      <c r="A294">
        <f t="shared" si="1"/>
        <v>1.6666666666666667</v>
      </c>
      <c r="B294">
        <v>2</v>
      </c>
      <c r="C294">
        <v>40</v>
      </c>
      <c r="D294" s="15">
        <v>23.4</v>
      </c>
      <c r="E294">
        <v>25.351474617224532</v>
      </c>
      <c r="F294" s="9">
        <v>2.16</v>
      </c>
      <c r="G294" s="7">
        <v>15.94</v>
      </c>
      <c r="H294" s="11">
        <v>8.7799999999999996E-3</v>
      </c>
      <c r="I294">
        <v>-1.7606978751621296</v>
      </c>
    </row>
    <row r="295" spans="1:9" x14ac:dyDescent="0.3">
      <c r="A295">
        <f t="shared" si="1"/>
        <v>1.6666666666666667</v>
      </c>
      <c r="B295">
        <v>2</v>
      </c>
      <c r="C295">
        <v>40</v>
      </c>
      <c r="D295" s="16">
        <v>26.8</v>
      </c>
      <c r="E295">
        <v>30.122768459864034</v>
      </c>
      <c r="F295" s="9">
        <v>2.16</v>
      </c>
      <c r="G295" s="7">
        <v>18.940000000000001</v>
      </c>
      <c r="H295" s="11">
        <v>8.7799999999999996E-3</v>
      </c>
      <c r="I295">
        <v>-2.3633260557722426</v>
      </c>
    </row>
    <row r="296" spans="1:9" x14ac:dyDescent="0.3">
      <c r="A296">
        <f t="shared" si="1"/>
        <v>1.6666666666666667</v>
      </c>
      <c r="B296">
        <v>4</v>
      </c>
      <c r="C296">
        <v>40</v>
      </c>
      <c r="D296" s="15">
        <v>3.9</v>
      </c>
      <c r="E296">
        <v>0.9542587685278997</v>
      </c>
      <c r="F296" s="9">
        <v>2.16</v>
      </c>
      <c r="G296" s="7">
        <v>0.6</v>
      </c>
      <c r="H296" s="11">
        <v>8.7799999999999996E-3</v>
      </c>
      <c r="I296">
        <v>53.522755562914085</v>
      </c>
    </row>
    <row r="297" spans="1:9" x14ac:dyDescent="0.3">
      <c r="A297">
        <f t="shared" si="1"/>
        <v>1.6666666666666667</v>
      </c>
      <c r="B297">
        <v>4</v>
      </c>
      <c r="C297">
        <v>40</v>
      </c>
      <c r="D297" s="15">
        <v>7.8</v>
      </c>
      <c r="E297">
        <v>3.7534178228764055</v>
      </c>
      <c r="F297" s="9">
        <v>2.16</v>
      </c>
      <c r="G297" s="7">
        <v>2.36</v>
      </c>
      <c r="H297" s="11">
        <v>8.7799999999999996E-3</v>
      </c>
      <c r="I297">
        <v>12.780583809060355</v>
      </c>
    </row>
    <row r="298" spans="1:9" x14ac:dyDescent="0.3">
      <c r="A298">
        <f t="shared" si="1"/>
        <v>1.6666666666666667</v>
      </c>
      <c r="B298">
        <v>4</v>
      </c>
      <c r="C298">
        <v>40</v>
      </c>
      <c r="D298" s="15">
        <v>11.7</v>
      </c>
      <c r="E298">
        <v>8.0157736556343568</v>
      </c>
      <c r="F298" s="9">
        <v>2.16</v>
      </c>
      <c r="G298" s="7">
        <v>5.04</v>
      </c>
      <c r="H298" s="11">
        <v>8.7799999999999996E-3</v>
      </c>
      <c r="I298">
        <v>4.6649301658508868</v>
      </c>
    </row>
    <row r="299" spans="1:9" x14ac:dyDescent="0.3">
      <c r="A299">
        <f t="shared" ref="A299:A337" si="2">100/60</f>
        <v>1.6666666666666667</v>
      </c>
      <c r="B299">
        <v>4</v>
      </c>
      <c r="C299">
        <v>40</v>
      </c>
      <c r="D299" s="15">
        <v>15.6</v>
      </c>
      <c r="E299">
        <v>12.119086360304326</v>
      </c>
      <c r="F299" s="9">
        <v>2.16</v>
      </c>
      <c r="G299" s="7">
        <v>7.62</v>
      </c>
      <c r="H299" s="11">
        <v>8.7799999999999996E-3</v>
      </c>
      <c r="I299">
        <v>1.6833985896482841</v>
      </c>
    </row>
    <row r="300" spans="1:9" x14ac:dyDescent="0.3">
      <c r="A300">
        <f t="shared" si="2"/>
        <v>1.6666666666666667</v>
      </c>
      <c r="B300">
        <v>4</v>
      </c>
      <c r="C300">
        <v>40</v>
      </c>
      <c r="D300" s="15">
        <v>19.5</v>
      </c>
      <c r="E300">
        <v>14.297977215109697</v>
      </c>
      <c r="F300" s="9">
        <v>2.16</v>
      </c>
      <c r="G300" s="7">
        <v>8.99</v>
      </c>
      <c r="H300" s="11">
        <v>8.7799999999999996E-3</v>
      </c>
      <c r="I300">
        <v>0.65797057627796462</v>
      </c>
    </row>
    <row r="301" spans="1:9" x14ac:dyDescent="0.3">
      <c r="A301">
        <f t="shared" si="2"/>
        <v>1.6666666666666667</v>
      </c>
      <c r="B301">
        <v>4</v>
      </c>
      <c r="C301">
        <v>40</v>
      </c>
      <c r="D301" s="15">
        <v>23.4</v>
      </c>
      <c r="E301">
        <v>18.798897739999624</v>
      </c>
      <c r="F301" s="9">
        <v>2.16</v>
      </c>
      <c r="G301" s="7">
        <v>11.82</v>
      </c>
      <c r="H301" s="11">
        <v>8.7799999999999996E-3</v>
      </c>
      <c r="I301">
        <v>-0.29684613315408259</v>
      </c>
    </row>
    <row r="302" spans="1:9" x14ac:dyDescent="0.3">
      <c r="A302">
        <f t="shared" si="2"/>
        <v>1.6666666666666667</v>
      </c>
      <c r="B302">
        <v>4</v>
      </c>
      <c r="C302">
        <v>40</v>
      </c>
      <c r="D302" s="16">
        <v>26.9</v>
      </c>
      <c r="E302">
        <v>23.204392388036759</v>
      </c>
      <c r="F302" s="9">
        <v>2.16</v>
      </c>
      <c r="G302" s="7">
        <v>14.59</v>
      </c>
      <c r="H302" s="11">
        <v>8.7799999999999996E-3</v>
      </c>
      <c r="I302">
        <v>-0.93315115579629893</v>
      </c>
    </row>
    <row r="303" spans="1:9" x14ac:dyDescent="0.3">
      <c r="A303">
        <f t="shared" si="2"/>
        <v>1.6666666666666667</v>
      </c>
      <c r="B303">
        <v>6</v>
      </c>
      <c r="C303">
        <v>40</v>
      </c>
      <c r="D303" s="15">
        <v>3.9</v>
      </c>
      <c r="E303">
        <v>0.92245014291030292</v>
      </c>
      <c r="F303" s="9">
        <v>2.16</v>
      </c>
      <c r="G303" s="7">
        <v>0.57999999999999996</v>
      </c>
      <c r="H303" s="11">
        <v>8.7799799999999997E-3</v>
      </c>
      <c r="I303">
        <v>53.533629702907461</v>
      </c>
    </row>
    <row r="304" spans="1:9" x14ac:dyDescent="0.3">
      <c r="A304">
        <f t="shared" si="2"/>
        <v>1.6666666666666667</v>
      </c>
      <c r="B304">
        <v>6</v>
      </c>
      <c r="C304">
        <v>40</v>
      </c>
      <c r="D304" s="15">
        <v>7.8</v>
      </c>
      <c r="E304">
        <v>3.5784703819796233</v>
      </c>
      <c r="F304" s="9">
        <v>2.16</v>
      </c>
      <c r="G304" s="7">
        <v>2.25</v>
      </c>
      <c r="H304" s="11">
        <v>8.7799799999999997E-3</v>
      </c>
      <c r="I304">
        <v>12.838997753876452</v>
      </c>
    </row>
    <row r="305" spans="1:9" x14ac:dyDescent="0.3">
      <c r="A305">
        <f t="shared" si="2"/>
        <v>1.6666666666666667</v>
      </c>
      <c r="B305">
        <v>6</v>
      </c>
      <c r="C305">
        <v>40</v>
      </c>
      <c r="D305" s="15">
        <v>11.7</v>
      </c>
      <c r="E305">
        <v>6.6957156925040966</v>
      </c>
      <c r="F305" s="9">
        <v>2.16</v>
      </c>
      <c r="G305" s="7">
        <v>4.21</v>
      </c>
      <c r="H305" s="11">
        <v>8.7799799999999997E-3</v>
      </c>
      <c r="I305">
        <v>5.0579914172591716</v>
      </c>
    </row>
    <row r="306" spans="1:9" x14ac:dyDescent="0.3">
      <c r="A306">
        <f t="shared" si="2"/>
        <v>1.6666666666666667</v>
      </c>
      <c r="B306">
        <v>6</v>
      </c>
      <c r="C306">
        <v>40</v>
      </c>
      <c r="D306" s="15">
        <v>15.6</v>
      </c>
      <c r="E306">
        <v>8.9223194857358621</v>
      </c>
      <c r="F306" s="9">
        <v>2.16</v>
      </c>
      <c r="G306" s="7">
        <v>5.61</v>
      </c>
      <c r="H306" s="11">
        <v>8.7799799999999997E-3</v>
      </c>
      <c r="I306">
        <v>2.4492047150343197</v>
      </c>
    </row>
    <row r="307" spans="1:9" x14ac:dyDescent="0.3">
      <c r="A307">
        <f t="shared" si="2"/>
        <v>1.6666666666666667</v>
      </c>
      <c r="B307">
        <v>6</v>
      </c>
      <c r="C307">
        <v>40</v>
      </c>
      <c r="D307" s="15">
        <v>19.5</v>
      </c>
      <c r="E307">
        <v>9.9242911926901556</v>
      </c>
      <c r="F307" s="9">
        <v>2.16</v>
      </c>
      <c r="G307" s="7">
        <v>6.24</v>
      </c>
      <c r="H307" s="11">
        <v>8.7799799999999997E-3</v>
      </c>
      <c r="I307">
        <v>1.4298962852142962</v>
      </c>
    </row>
    <row r="308" spans="1:9" x14ac:dyDescent="0.3">
      <c r="A308">
        <f t="shared" si="2"/>
        <v>1.6666666666666667</v>
      </c>
      <c r="B308">
        <v>6</v>
      </c>
      <c r="C308">
        <v>40</v>
      </c>
      <c r="D308" s="15">
        <v>23.4</v>
      </c>
      <c r="E308">
        <v>14.218455651065705</v>
      </c>
      <c r="F308" s="9">
        <v>2.16</v>
      </c>
      <c r="G308" s="7">
        <v>8.94</v>
      </c>
      <c r="H308" s="11">
        <v>8.7799799999999997E-3</v>
      </c>
      <c r="I308">
        <v>0.46839843044733737</v>
      </c>
    </row>
    <row r="309" spans="1:9" x14ac:dyDescent="0.3">
      <c r="A309">
        <f t="shared" si="2"/>
        <v>1.6666666666666667</v>
      </c>
      <c r="B309">
        <v>6</v>
      </c>
      <c r="C309">
        <v>40</v>
      </c>
      <c r="D309" s="16">
        <v>26.7</v>
      </c>
      <c r="E309">
        <v>16.874475890135024</v>
      </c>
      <c r="F309" s="9">
        <v>2.16</v>
      </c>
      <c r="G309" s="7">
        <v>10.61</v>
      </c>
      <c r="H309" s="11">
        <v>8.7799799999999997E-3</v>
      </c>
      <c r="I309">
        <v>3.880830634677454E-2</v>
      </c>
    </row>
    <row r="310" spans="1:9" x14ac:dyDescent="0.3">
      <c r="A310">
        <f t="shared" si="2"/>
        <v>1.6666666666666667</v>
      </c>
      <c r="B310">
        <v>1</v>
      </c>
      <c r="C310">
        <v>60</v>
      </c>
      <c r="D310" s="15">
        <v>4.5999999999999996</v>
      </c>
      <c r="E310">
        <v>0</v>
      </c>
      <c r="F310" s="9">
        <v>3.24</v>
      </c>
      <c r="G310" s="7">
        <v>0</v>
      </c>
      <c r="H310" s="11">
        <v>1.205E-2</v>
      </c>
      <c r="I310">
        <v>86.83172107845688</v>
      </c>
    </row>
    <row r="311" spans="1:9" x14ac:dyDescent="0.3">
      <c r="A311">
        <f t="shared" si="2"/>
        <v>1.6666666666666667</v>
      </c>
      <c r="B311">
        <v>1</v>
      </c>
      <c r="C311">
        <v>60</v>
      </c>
      <c r="D311" s="15">
        <v>9.1999999999999993</v>
      </c>
      <c r="E311">
        <v>1.0337803325718913</v>
      </c>
      <c r="F311" s="9">
        <v>3.24</v>
      </c>
      <c r="G311" s="7">
        <v>0.65</v>
      </c>
      <c r="H311" s="11">
        <v>1.205E-2</v>
      </c>
      <c r="I311">
        <v>21.629217406897773</v>
      </c>
    </row>
    <row r="312" spans="1:9" x14ac:dyDescent="0.3">
      <c r="A312">
        <f t="shared" si="2"/>
        <v>1.6666666666666667</v>
      </c>
      <c r="B312">
        <v>1</v>
      </c>
      <c r="C312">
        <v>60</v>
      </c>
      <c r="D312" s="15">
        <v>13.8</v>
      </c>
      <c r="E312">
        <v>3.3240013770388499</v>
      </c>
      <c r="F312" s="9">
        <v>3.24</v>
      </c>
      <c r="G312" s="7">
        <v>2.09</v>
      </c>
      <c r="H312" s="11">
        <v>1.205E-2</v>
      </c>
      <c r="I312">
        <v>9.2862852158109668</v>
      </c>
    </row>
    <row r="313" spans="1:9" x14ac:dyDescent="0.3">
      <c r="A313">
        <f t="shared" si="2"/>
        <v>1.6666666666666667</v>
      </c>
      <c r="B313">
        <v>1</v>
      </c>
      <c r="C313">
        <v>60</v>
      </c>
      <c r="D313" s="15">
        <v>18.399999999999999</v>
      </c>
      <c r="E313">
        <v>6.5843855028425065</v>
      </c>
      <c r="F313" s="9">
        <v>3.24</v>
      </c>
      <c r="G313" s="7">
        <v>4.1399999999999997</v>
      </c>
      <c r="H313" s="11">
        <v>1.205E-2</v>
      </c>
      <c r="I313">
        <v>4.6286944124835552</v>
      </c>
    </row>
    <row r="314" spans="1:9" x14ac:dyDescent="0.3">
      <c r="A314">
        <f t="shared" si="2"/>
        <v>1.6666666666666667</v>
      </c>
      <c r="B314">
        <v>1</v>
      </c>
      <c r="C314">
        <v>60</v>
      </c>
      <c r="D314" s="15">
        <v>23</v>
      </c>
      <c r="E314">
        <v>10.480942140998097</v>
      </c>
      <c r="F314" s="9">
        <v>3.24</v>
      </c>
      <c r="G314" s="7">
        <v>6.59</v>
      </c>
      <c r="H314" s="11">
        <v>1.205E-2</v>
      </c>
      <c r="I314">
        <v>2.1787457384429496</v>
      </c>
    </row>
    <row r="315" spans="1:9" x14ac:dyDescent="0.3">
      <c r="A315">
        <f t="shared" si="2"/>
        <v>1.6666666666666667</v>
      </c>
      <c r="B315">
        <v>1</v>
      </c>
      <c r="C315">
        <v>60</v>
      </c>
      <c r="D315" s="15">
        <v>27.6</v>
      </c>
      <c r="E315">
        <v>14.791010912182447</v>
      </c>
      <c r="F315" s="9">
        <v>3.24</v>
      </c>
      <c r="G315" s="7">
        <v>9.3000000000000007</v>
      </c>
      <c r="H315" s="11">
        <v>1.205E-2</v>
      </c>
      <c r="I315">
        <v>0.62162394281829869</v>
      </c>
    </row>
    <row r="316" spans="1:9" x14ac:dyDescent="0.3">
      <c r="A316">
        <f t="shared" si="2"/>
        <v>1.6666666666666667</v>
      </c>
      <c r="B316">
        <v>1</v>
      </c>
      <c r="C316">
        <v>60</v>
      </c>
      <c r="D316" s="16">
        <v>32.6</v>
      </c>
      <c r="E316">
        <v>18.782993427190824</v>
      </c>
      <c r="F316" s="9">
        <v>3.24</v>
      </c>
      <c r="G316" s="7">
        <v>11.81</v>
      </c>
      <c r="H316" s="11">
        <v>1.205E-2</v>
      </c>
      <c r="I316">
        <v>-0.34061431682736992</v>
      </c>
    </row>
    <row r="317" spans="1:9" x14ac:dyDescent="0.3">
      <c r="A317">
        <f t="shared" si="2"/>
        <v>1.6666666666666667</v>
      </c>
      <c r="B317">
        <v>2</v>
      </c>
      <c r="C317">
        <v>60</v>
      </c>
      <c r="D317" s="15">
        <v>4.5999999999999996</v>
      </c>
      <c r="E317">
        <v>0</v>
      </c>
      <c r="F317" s="9">
        <v>3.24</v>
      </c>
      <c r="G317" s="7">
        <v>0</v>
      </c>
      <c r="H317" s="11">
        <v>1.205E-2</v>
      </c>
      <c r="I317">
        <v>86.83172107845688</v>
      </c>
    </row>
    <row r="318" spans="1:9" x14ac:dyDescent="0.3">
      <c r="A318">
        <f t="shared" si="2"/>
        <v>1.6666666666666667</v>
      </c>
      <c r="B318">
        <v>2</v>
      </c>
      <c r="C318">
        <v>60</v>
      </c>
      <c r="D318" s="15">
        <v>9.1999999999999993</v>
      </c>
      <c r="E318">
        <v>2.1947951676141688</v>
      </c>
      <c r="F318" s="9">
        <v>3.24</v>
      </c>
      <c r="G318" s="7">
        <v>1.38</v>
      </c>
      <c r="H318" s="11">
        <v>1.205E-2</v>
      </c>
      <c r="I318">
        <v>21.353135534094221</v>
      </c>
    </row>
    <row r="319" spans="1:9" x14ac:dyDescent="0.3">
      <c r="A319">
        <f t="shared" si="2"/>
        <v>1.6666666666666667</v>
      </c>
      <c r="B319">
        <v>2</v>
      </c>
      <c r="C319">
        <v>60</v>
      </c>
      <c r="D319" s="15">
        <v>13.8</v>
      </c>
      <c r="E319">
        <v>4.2623558327579518</v>
      </c>
      <c r="F319" s="9">
        <v>3.24</v>
      </c>
      <c r="G319" s="7">
        <v>2.68</v>
      </c>
      <c r="H319" s="11">
        <v>1.205E-2</v>
      </c>
      <c r="I319">
        <v>9.0532578816435567</v>
      </c>
    </row>
    <row r="320" spans="1:9" x14ac:dyDescent="0.3">
      <c r="A320">
        <f t="shared" si="2"/>
        <v>1.6666666666666667</v>
      </c>
      <c r="B320">
        <v>2</v>
      </c>
      <c r="C320">
        <v>60</v>
      </c>
      <c r="D320" s="15">
        <v>18.399999999999999</v>
      </c>
      <c r="E320">
        <v>7.0297062614888599</v>
      </c>
      <c r="F320" s="9">
        <v>3.24</v>
      </c>
      <c r="G320" s="7">
        <v>4.42</v>
      </c>
      <c r="H320" s="11">
        <v>1.205E-2</v>
      </c>
      <c r="I320">
        <v>4.5170618744014375</v>
      </c>
    </row>
    <row r="321" spans="1:9" x14ac:dyDescent="0.3">
      <c r="A321">
        <f t="shared" si="2"/>
        <v>1.6666666666666667</v>
      </c>
      <c r="B321">
        <v>2</v>
      </c>
      <c r="C321">
        <v>60</v>
      </c>
      <c r="D321" s="15">
        <v>23</v>
      </c>
      <c r="E321">
        <v>8.8746065473094671</v>
      </c>
      <c r="F321" s="9">
        <v>3.24</v>
      </c>
      <c r="G321" s="7">
        <v>5.58</v>
      </c>
      <c r="H321" s="11">
        <v>1.205E-2</v>
      </c>
      <c r="I321">
        <v>2.5451419115655023</v>
      </c>
    </row>
    <row r="322" spans="1:9" x14ac:dyDescent="0.3">
      <c r="A322">
        <f t="shared" si="2"/>
        <v>1.6666666666666667</v>
      </c>
      <c r="B322">
        <v>2</v>
      </c>
      <c r="C322">
        <v>60</v>
      </c>
      <c r="D322" s="15">
        <v>27.6</v>
      </c>
      <c r="E322">
        <v>12.08727773468673</v>
      </c>
      <c r="F322" s="9">
        <v>3.24</v>
      </c>
      <c r="G322" s="7">
        <v>7.6</v>
      </c>
      <c r="H322" s="11">
        <v>1.205E-2</v>
      </c>
      <c r="I322">
        <v>1.2163433500092256</v>
      </c>
    </row>
    <row r="323" spans="1:9" x14ac:dyDescent="0.3">
      <c r="A323">
        <f t="shared" si="2"/>
        <v>1.6666666666666667</v>
      </c>
      <c r="B323">
        <v>2</v>
      </c>
      <c r="C323">
        <v>60</v>
      </c>
      <c r="D323" s="16">
        <v>32.5</v>
      </c>
      <c r="E323">
        <v>13.963986646124932</v>
      </c>
      <c r="F323" s="9">
        <v>3.24</v>
      </c>
      <c r="G323" s="7">
        <v>8.7799999999999994</v>
      </c>
      <c r="H323" s="11">
        <v>1.205E-2</v>
      </c>
      <c r="I323">
        <v>0.58866635806099565</v>
      </c>
    </row>
    <row r="324" spans="1:9" x14ac:dyDescent="0.3">
      <c r="A324">
        <f t="shared" si="2"/>
        <v>1.6666666666666667</v>
      </c>
      <c r="B324">
        <v>4</v>
      </c>
      <c r="C324">
        <v>60</v>
      </c>
      <c r="D324" s="15">
        <v>4.5999999999999996</v>
      </c>
      <c r="E324">
        <v>0</v>
      </c>
      <c r="F324" s="9">
        <v>3.24</v>
      </c>
      <c r="G324" s="7">
        <v>0</v>
      </c>
      <c r="H324" s="11">
        <v>1.205E-2</v>
      </c>
      <c r="I324">
        <v>86.83172107845688</v>
      </c>
    </row>
    <row r="325" spans="1:9" x14ac:dyDescent="0.3">
      <c r="A325">
        <f t="shared" si="2"/>
        <v>1.6666666666666667</v>
      </c>
      <c r="B325">
        <v>4</v>
      </c>
      <c r="C325">
        <v>60</v>
      </c>
      <c r="D325" s="15">
        <v>9.1999999999999993</v>
      </c>
      <c r="E325">
        <v>1.7176657833502194</v>
      </c>
      <c r="F325" s="9">
        <v>3.24</v>
      </c>
      <c r="G325" s="7">
        <v>1.08</v>
      </c>
      <c r="H325" s="11">
        <v>1.205E-2</v>
      </c>
      <c r="I325">
        <v>21.490626877726733</v>
      </c>
    </row>
    <row r="326" spans="1:9" x14ac:dyDescent="0.3">
      <c r="A326">
        <f t="shared" si="2"/>
        <v>1.6666666666666667</v>
      </c>
      <c r="B326">
        <v>4</v>
      </c>
      <c r="C326">
        <v>60</v>
      </c>
      <c r="D326" s="15">
        <v>13.8</v>
      </c>
      <c r="E326">
        <v>3.1331496233332703</v>
      </c>
      <c r="F326" s="9">
        <v>3.24</v>
      </c>
      <c r="G326" s="7">
        <v>1.97</v>
      </c>
      <c r="H326" s="11">
        <v>1.205E-2</v>
      </c>
      <c r="I326">
        <v>9.3266259460836327</v>
      </c>
    </row>
    <row r="327" spans="1:9" x14ac:dyDescent="0.3">
      <c r="A327">
        <f t="shared" si="2"/>
        <v>1.6666666666666667</v>
      </c>
      <c r="B327">
        <v>4</v>
      </c>
      <c r="C327">
        <v>60</v>
      </c>
      <c r="D327" s="15">
        <v>18.399999999999999</v>
      </c>
      <c r="E327">
        <v>3.2921927514212532</v>
      </c>
      <c r="F327" s="9">
        <v>3.24</v>
      </c>
      <c r="G327" s="7">
        <v>2.0699999999999998</v>
      </c>
      <c r="H327" s="11">
        <v>1.205E-2</v>
      </c>
      <c r="I327">
        <v>5.2274105286735555</v>
      </c>
    </row>
    <row r="328" spans="1:9" x14ac:dyDescent="0.3">
      <c r="A328">
        <f t="shared" si="2"/>
        <v>1.6666666666666667</v>
      </c>
      <c r="B328">
        <v>4</v>
      </c>
      <c r="C328">
        <v>60</v>
      </c>
      <c r="D328" s="15">
        <v>23</v>
      </c>
      <c r="E328">
        <v>3.7216091972588083</v>
      </c>
      <c r="F328" s="9">
        <v>3.24</v>
      </c>
      <c r="G328" s="7">
        <v>2.34</v>
      </c>
      <c r="H328" s="11">
        <v>1.205E-2</v>
      </c>
      <c r="I328">
        <v>3.3100498510094525</v>
      </c>
    </row>
    <row r="329" spans="1:9" x14ac:dyDescent="0.3">
      <c r="A329">
        <f t="shared" si="2"/>
        <v>1.6666666666666667</v>
      </c>
      <c r="B329">
        <v>4</v>
      </c>
      <c r="C329">
        <v>60</v>
      </c>
      <c r="D329" s="15">
        <v>27.6</v>
      </c>
      <c r="E329">
        <v>4.7553895298306994</v>
      </c>
      <c r="F329" s="9">
        <v>3.24</v>
      </c>
      <c r="G329" s="7">
        <v>2.99</v>
      </c>
      <c r="H329" s="11">
        <v>1.205E-2</v>
      </c>
      <c r="I329">
        <v>2.2269295660593578</v>
      </c>
    </row>
    <row r="330" spans="1:9" x14ac:dyDescent="0.3">
      <c r="A330">
        <f t="shared" si="2"/>
        <v>1.6666666666666667</v>
      </c>
      <c r="B330">
        <v>4</v>
      </c>
      <c r="C330">
        <v>60</v>
      </c>
      <c r="D330" s="16">
        <v>32.5</v>
      </c>
      <c r="E330">
        <v>6.0277345545345664</v>
      </c>
      <c r="F330" s="9">
        <v>3.24</v>
      </c>
      <c r="G330" s="7">
        <v>3.79</v>
      </c>
      <c r="H330" s="11">
        <v>1.205E-2</v>
      </c>
      <c r="I330">
        <v>1.5250714149100004</v>
      </c>
    </row>
    <row r="331" spans="1:9" x14ac:dyDescent="0.3">
      <c r="A331">
        <f t="shared" si="2"/>
        <v>1.6666666666666667</v>
      </c>
      <c r="B331">
        <v>6</v>
      </c>
      <c r="C331">
        <v>60</v>
      </c>
      <c r="D331" s="15">
        <v>4.5999999999999996</v>
      </c>
      <c r="E331">
        <v>0</v>
      </c>
      <c r="F331" s="9">
        <v>3.24</v>
      </c>
      <c r="G331" s="7">
        <v>0</v>
      </c>
      <c r="H331" s="11">
        <v>1.204998E-2</v>
      </c>
      <c r="I331">
        <v>86.83172107845688</v>
      </c>
    </row>
    <row r="332" spans="1:9" x14ac:dyDescent="0.3">
      <c r="A332">
        <f t="shared" si="2"/>
        <v>1.6666666666666667</v>
      </c>
      <c r="B332">
        <v>6</v>
      </c>
      <c r="C332">
        <v>60</v>
      </c>
      <c r="D332" s="15">
        <v>9.1999999999999993</v>
      </c>
      <c r="E332">
        <v>0</v>
      </c>
      <c r="F332" s="9">
        <v>3.24</v>
      </c>
      <c r="G332" s="7">
        <v>0</v>
      </c>
      <c r="H332" s="11">
        <v>1.204998E-2</v>
      </c>
      <c r="I332">
        <v>21.70793026961422</v>
      </c>
    </row>
    <row r="333" spans="1:9" x14ac:dyDescent="0.3">
      <c r="A333">
        <f t="shared" si="2"/>
        <v>1.6666666666666667</v>
      </c>
      <c r="B333">
        <v>6</v>
      </c>
      <c r="C333">
        <v>60</v>
      </c>
      <c r="D333" s="15">
        <v>13.8</v>
      </c>
      <c r="E333">
        <v>0.33222342311712061</v>
      </c>
      <c r="F333" s="9">
        <v>3.24</v>
      </c>
      <c r="G333" s="7">
        <v>0.47</v>
      </c>
      <c r="H333" s="11">
        <v>1.204998E-2</v>
      </c>
      <c r="I333">
        <v>9.6296782301516863</v>
      </c>
    </row>
    <row r="334" spans="1:9" x14ac:dyDescent="0.3">
      <c r="A334">
        <f t="shared" si="2"/>
        <v>1.6666666666666667</v>
      </c>
      <c r="B334">
        <v>6</v>
      </c>
      <c r="C334">
        <v>60</v>
      </c>
      <c r="D334" s="15">
        <v>18.399999999999999</v>
      </c>
      <c r="E334">
        <v>0.72099551399885753</v>
      </c>
      <c r="F334" s="9">
        <v>3.24</v>
      </c>
      <c r="G334" s="7">
        <v>1.02</v>
      </c>
      <c r="H334" s="11">
        <v>1.204998E-2</v>
      </c>
      <c r="I334">
        <v>5.3785252523916078</v>
      </c>
    </row>
    <row r="335" spans="1:9" x14ac:dyDescent="0.3">
      <c r="A335">
        <f t="shared" si="2"/>
        <v>1.6666666666666667</v>
      </c>
      <c r="B335">
        <v>6</v>
      </c>
      <c r="C335">
        <v>60</v>
      </c>
      <c r="D335" s="15">
        <v>23</v>
      </c>
      <c r="E335">
        <v>0.87473720448390824</v>
      </c>
      <c r="F335" s="9">
        <v>3.24</v>
      </c>
      <c r="G335" s="7">
        <v>0.55000000000000004</v>
      </c>
      <c r="H335" s="11">
        <v>1.204998E-2</v>
      </c>
      <c r="I335">
        <v>3.4642517956696928</v>
      </c>
    </row>
    <row r="336" spans="1:9" x14ac:dyDescent="0.3">
      <c r="A336">
        <f t="shared" si="2"/>
        <v>1.6666666666666667</v>
      </c>
      <c r="B336">
        <v>6</v>
      </c>
      <c r="C336">
        <v>60</v>
      </c>
      <c r="D336" s="15">
        <v>27.6</v>
      </c>
      <c r="E336">
        <v>1.5109097168358412</v>
      </c>
      <c r="F336" s="9">
        <v>3.24</v>
      </c>
      <c r="G336" s="7">
        <v>0.95</v>
      </c>
      <c r="H336" s="11">
        <v>1.204998E-2</v>
      </c>
      <c r="I336">
        <v>2.3933102380829494</v>
      </c>
    </row>
    <row r="337" spans="1:9" x14ac:dyDescent="0.3">
      <c r="A337">
        <f t="shared" si="2"/>
        <v>1.6666666666666667</v>
      </c>
      <c r="B337">
        <v>6</v>
      </c>
      <c r="C337">
        <v>60</v>
      </c>
      <c r="D337" s="16">
        <v>32</v>
      </c>
      <c r="E337">
        <v>1.5904312808798327</v>
      </c>
      <c r="F337" s="9">
        <v>3.24</v>
      </c>
      <c r="G337" s="7">
        <v>1</v>
      </c>
      <c r="H337" s="11">
        <v>1.204998E-2</v>
      </c>
      <c r="I337">
        <v>1.7788970342853008</v>
      </c>
    </row>
    <row r="338" spans="1:9" x14ac:dyDescent="0.3">
      <c r="A338">
        <v>1</v>
      </c>
      <c r="B338">
        <v>1</v>
      </c>
      <c r="C338">
        <v>10</v>
      </c>
      <c r="D338" s="16">
        <v>1.8</v>
      </c>
      <c r="E338">
        <v>0</v>
      </c>
      <c r="F338" s="6">
        <v>5.8784999999999998</v>
      </c>
      <c r="G338" s="7">
        <v>0</v>
      </c>
      <c r="H338" s="11">
        <v>5.5425099999999996E-3</v>
      </c>
      <c r="I338">
        <v>16.153892333298177</v>
      </c>
    </row>
    <row r="339" spans="1:9" x14ac:dyDescent="0.3">
      <c r="A339">
        <v>1</v>
      </c>
      <c r="B339">
        <v>1</v>
      </c>
      <c r="C339">
        <v>10</v>
      </c>
      <c r="D339" s="16">
        <v>3.6</v>
      </c>
      <c r="E339">
        <v>2.5764986750253294</v>
      </c>
      <c r="F339" s="6">
        <v>5.8784999999999998</v>
      </c>
      <c r="G339" s="7">
        <v>1.62</v>
      </c>
      <c r="H339" s="11">
        <v>5.5425099999999996E-3</v>
      </c>
      <c r="I339">
        <v>3.9475136390871297</v>
      </c>
    </row>
    <row r="340" spans="1:9" x14ac:dyDescent="0.3">
      <c r="A340">
        <v>1</v>
      </c>
      <c r="B340">
        <v>1</v>
      </c>
      <c r="C340">
        <v>10</v>
      </c>
      <c r="D340" s="16">
        <v>5.4</v>
      </c>
      <c r="E340">
        <v>5.3279447909474396</v>
      </c>
      <c r="F340" s="6">
        <v>5.8784999999999998</v>
      </c>
      <c r="G340" s="7">
        <v>3.35</v>
      </c>
      <c r="H340" s="11">
        <v>5.5425099999999996E-3</v>
      </c>
      <c r="I340">
        <v>1.6220048429139446</v>
      </c>
    </row>
    <row r="341" spans="1:9" x14ac:dyDescent="0.3">
      <c r="A341">
        <v>1</v>
      </c>
      <c r="B341">
        <v>1</v>
      </c>
      <c r="C341">
        <v>10</v>
      </c>
      <c r="D341" s="16">
        <v>7.2</v>
      </c>
      <c r="E341">
        <v>10.735411145938871</v>
      </c>
      <c r="F341" s="6">
        <v>5.8784999999999998</v>
      </c>
      <c r="G341" s="7">
        <v>6.75</v>
      </c>
      <c r="H341" s="11">
        <v>5.5425099999999996E-3</v>
      </c>
      <c r="I341">
        <v>0.61482901632846887</v>
      </c>
    </row>
    <row r="342" spans="1:9" x14ac:dyDescent="0.3">
      <c r="A342">
        <v>1</v>
      </c>
      <c r="B342">
        <v>1</v>
      </c>
      <c r="C342">
        <v>10</v>
      </c>
      <c r="D342" s="16">
        <v>9</v>
      </c>
      <c r="E342">
        <v>25.924029878341276</v>
      </c>
      <c r="F342" s="6">
        <v>5.8784999999999998</v>
      </c>
      <c r="G342" s="7">
        <v>16.3</v>
      </c>
      <c r="H342" s="11">
        <v>5.5425099999999996E-3</v>
      </c>
      <c r="I342">
        <v>-0.82721816671615511</v>
      </c>
    </row>
    <row r="343" spans="1:9" x14ac:dyDescent="0.3">
      <c r="A343">
        <v>1</v>
      </c>
      <c r="B343">
        <v>1</v>
      </c>
      <c r="C343">
        <v>10</v>
      </c>
      <c r="D343" s="16">
        <v>10.8</v>
      </c>
      <c r="E343">
        <v>33.717143154652447</v>
      </c>
      <c r="F343" s="6">
        <v>5.8784999999999998</v>
      </c>
      <c r="G343" s="7">
        <v>21.2</v>
      </c>
      <c r="H343" s="11">
        <v>5.5425099999999996E-3</v>
      </c>
      <c r="I343">
        <v>-1.282081146936725</v>
      </c>
    </row>
    <row r="344" spans="1:9" x14ac:dyDescent="0.3">
      <c r="A344">
        <v>1</v>
      </c>
      <c r="B344">
        <v>1</v>
      </c>
      <c r="C344">
        <v>10</v>
      </c>
      <c r="D344" s="16">
        <v>12.5</v>
      </c>
      <c r="E344">
        <v>40.078868278171782</v>
      </c>
      <c r="F344" s="6">
        <v>5.8784999999999998</v>
      </c>
      <c r="G344" s="7">
        <v>25.2</v>
      </c>
      <c r="H344" s="11">
        <v>5.5425099999999996E-3</v>
      </c>
      <c r="I344">
        <v>-1.4906253181993339</v>
      </c>
    </row>
    <row r="345" spans="1:9" x14ac:dyDescent="0.3">
      <c r="A345">
        <v>1</v>
      </c>
      <c r="B345">
        <v>2</v>
      </c>
      <c r="C345">
        <v>10</v>
      </c>
      <c r="D345" s="16">
        <v>1.8</v>
      </c>
      <c r="E345">
        <v>0.77931132763111799</v>
      </c>
      <c r="F345" s="6">
        <v>5.8784999999999998</v>
      </c>
      <c r="G345" s="7">
        <v>0.49</v>
      </c>
      <c r="H345" s="11">
        <v>5.5424999999999997E-3</v>
      </c>
      <c r="I345">
        <v>16.120605696259002</v>
      </c>
    </row>
    <row r="346" spans="1:9" x14ac:dyDescent="0.3">
      <c r="A346">
        <v>1</v>
      </c>
      <c r="B346">
        <v>2</v>
      </c>
      <c r="C346">
        <v>10</v>
      </c>
      <c r="D346" s="16">
        <v>3.6</v>
      </c>
      <c r="E346">
        <v>4.1510256430963635</v>
      </c>
      <c r="F346" s="6">
        <v>5.8784999999999998</v>
      </c>
      <c r="G346" s="7">
        <v>2.61</v>
      </c>
      <c r="H346" s="11">
        <v>5.5424999999999997E-3</v>
      </c>
      <c r="I346">
        <v>3.8023715629428603</v>
      </c>
    </row>
    <row r="347" spans="1:9" x14ac:dyDescent="0.3">
      <c r="A347">
        <v>1</v>
      </c>
      <c r="B347">
        <v>2</v>
      </c>
      <c r="C347">
        <v>10</v>
      </c>
      <c r="D347" s="16">
        <v>5.4</v>
      </c>
      <c r="E347">
        <v>9.7811523774109723</v>
      </c>
      <c r="F347" s="6">
        <v>5.8784999999999998</v>
      </c>
      <c r="G347" s="7">
        <v>6.15</v>
      </c>
      <c r="H347" s="11">
        <v>5.5424999999999997E-3</v>
      </c>
      <c r="I347">
        <v>1.2122568003196199</v>
      </c>
    </row>
    <row r="348" spans="1:9" x14ac:dyDescent="0.3">
      <c r="A348">
        <v>1</v>
      </c>
      <c r="B348">
        <v>2</v>
      </c>
      <c r="C348">
        <v>10</v>
      </c>
      <c r="D348" s="16">
        <v>7.2</v>
      </c>
      <c r="E348">
        <v>18.305864042926878</v>
      </c>
      <c r="F348" s="6">
        <v>5.8784999999999998</v>
      </c>
      <c r="G348" s="7">
        <v>11.51</v>
      </c>
      <c r="H348" s="11">
        <v>5.5424999999999997E-3</v>
      </c>
      <c r="I348">
        <v>-0.13829327738151251</v>
      </c>
    </row>
    <row r="349" spans="1:9" x14ac:dyDescent="0.3">
      <c r="A349">
        <v>1</v>
      </c>
      <c r="B349">
        <v>2</v>
      </c>
      <c r="C349">
        <v>10</v>
      </c>
      <c r="D349" s="16">
        <v>9</v>
      </c>
      <c r="E349">
        <v>36.420876332148168</v>
      </c>
      <c r="F349" s="6">
        <v>5.8784999999999998</v>
      </c>
      <c r="G349" s="7">
        <v>22.9</v>
      </c>
      <c r="H349" s="11">
        <v>5.5424999999999997E-3</v>
      </c>
      <c r="I349">
        <v>-2.2619401550169562</v>
      </c>
    </row>
    <row r="350" spans="1:9" x14ac:dyDescent="0.3">
      <c r="A350">
        <v>1</v>
      </c>
      <c r="B350">
        <v>2</v>
      </c>
      <c r="C350">
        <v>10</v>
      </c>
      <c r="D350" s="16">
        <v>10.8</v>
      </c>
      <c r="E350">
        <v>50.257628475802719</v>
      </c>
      <c r="F350" s="6">
        <v>5.8784999999999998</v>
      </c>
      <c r="G350" s="7">
        <v>31.6</v>
      </c>
      <c r="H350" s="11">
        <v>5.5424999999999997E-3</v>
      </c>
      <c r="I350">
        <v>-3.3967507442054798</v>
      </c>
    </row>
    <row r="351" spans="1:9" x14ac:dyDescent="0.3">
      <c r="A351">
        <v>1</v>
      </c>
      <c r="B351">
        <v>2</v>
      </c>
      <c r="C351">
        <v>10</v>
      </c>
      <c r="D351" s="16">
        <v>12.5</v>
      </c>
      <c r="E351">
        <v>58.925478956597807</v>
      </c>
      <c r="F351" s="6">
        <v>5.8784999999999998</v>
      </c>
      <c r="G351" s="7">
        <v>37.049999999999997</v>
      </c>
      <c r="H351" s="11">
        <v>5.5424999999999997E-3</v>
      </c>
      <c r="I351">
        <v>-3.611233587940585</v>
      </c>
    </row>
    <row r="352" spans="1:9" x14ac:dyDescent="0.3">
      <c r="A352">
        <v>1</v>
      </c>
      <c r="B352">
        <v>4</v>
      </c>
      <c r="C352">
        <v>10</v>
      </c>
      <c r="D352" s="16">
        <v>1.8</v>
      </c>
      <c r="E352">
        <v>0.9542587685278997</v>
      </c>
      <c r="F352" s="6">
        <v>5.8784999999999998</v>
      </c>
      <c r="G352" s="7">
        <v>0.6</v>
      </c>
      <c r="H352" s="11">
        <v>5.5425200000000004E-3</v>
      </c>
      <c r="I352">
        <v>16.103983173222776</v>
      </c>
    </row>
    <row r="353" spans="1:9" x14ac:dyDescent="0.3">
      <c r="A353">
        <v>1</v>
      </c>
      <c r="B353">
        <v>4</v>
      </c>
      <c r="C353">
        <v>10</v>
      </c>
      <c r="D353" s="16">
        <v>3.6</v>
      </c>
      <c r="E353">
        <v>4.3418773968019426</v>
      </c>
      <c r="F353" s="6">
        <v>5.8784999999999998</v>
      </c>
      <c r="G353" s="7">
        <v>2.73</v>
      </c>
      <c r="H353" s="11">
        <v>5.5425200000000004E-3</v>
      </c>
      <c r="I353">
        <v>3.7801619867093073</v>
      </c>
    </row>
    <row r="354" spans="1:9" x14ac:dyDescent="0.3">
      <c r="A354">
        <v>1</v>
      </c>
      <c r="B354">
        <v>4</v>
      </c>
      <c r="C354">
        <v>10</v>
      </c>
      <c r="D354" s="16">
        <v>5.4</v>
      </c>
      <c r="E354">
        <v>12.866589062317848</v>
      </c>
      <c r="F354" s="6">
        <v>5.8784999999999998</v>
      </c>
      <c r="G354" s="7">
        <v>8.09</v>
      </c>
      <c r="H354" s="11">
        <v>5.5425200000000004E-3</v>
      </c>
      <c r="I354">
        <v>0.78671035199278661</v>
      </c>
    </row>
    <row r="355" spans="1:9" x14ac:dyDescent="0.3">
      <c r="A355">
        <v>1</v>
      </c>
      <c r="B355">
        <v>4</v>
      </c>
      <c r="C355">
        <v>10</v>
      </c>
      <c r="D355" s="16">
        <v>7.2</v>
      </c>
      <c r="E355">
        <v>24.349502910270239</v>
      </c>
      <c r="F355" s="6">
        <v>5.8784999999999998</v>
      </c>
      <c r="G355" s="7">
        <v>15.31</v>
      </c>
      <c r="H355" s="11">
        <v>5.5425200000000004E-3</v>
      </c>
      <c r="I355">
        <v>-1.0213734784656026</v>
      </c>
    </row>
    <row r="356" spans="1:9" x14ac:dyDescent="0.3">
      <c r="A356">
        <v>1</v>
      </c>
      <c r="B356">
        <v>4</v>
      </c>
      <c r="C356">
        <v>10</v>
      </c>
      <c r="D356" s="16">
        <v>9</v>
      </c>
      <c r="E356">
        <v>35.911938322266622</v>
      </c>
      <c r="F356" s="6">
        <v>5.8784999999999998</v>
      </c>
      <c r="G356" s="7">
        <v>22.58</v>
      </c>
      <c r="H356" s="11">
        <v>5.5425200000000004E-3</v>
      </c>
      <c r="I356">
        <v>-2.1812337158976978</v>
      </c>
    </row>
    <row r="357" spans="1:9" x14ac:dyDescent="0.3">
      <c r="A357">
        <v>1</v>
      </c>
      <c r="B357">
        <v>4</v>
      </c>
      <c r="C357">
        <v>10</v>
      </c>
      <c r="D357" s="16">
        <v>10.8</v>
      </c>
      <c r="E357">
        <v>48.635388569305285</v>
      </c>
      <c r="F357" s="6">
        <v>5.8784999999999998</v>
      </c>
      <c r="G357" s="7">
        <v>30.58</v>
      </c>
      <c r="H357" s="11">
        <v>5.5425200000000004E-3</v>
      </c>
      <c r="I357">
        <v>-3.1525054814772329</v>
      </c>
    </row>
    <row r="358" spans="1:9" x14ac:dyDescent="0.3">
      <c r="A358">
        <v>1</v>
      </c>
      <c r="B358">
        <v>4</v>
      </c>
      <c r="C358">
        <v>10</v>
      </c>
      <c r="D358" s="16">
        <v>12.4</v>
      </c>
      <c r="E358">
        <v>57.525899429423553</v>
      </c>
      <c r="F358" s="6">
        <v>5.8784999999999998</v>
      </c>
      <c r="G358" s="7">
        <v>36.17</v>
      </c>
      <c r="H358" s="11">
        <v>5.5425200000000004E-3</v>
      </c>
      <c r="I358">
        <v>-3.481482872047402</v>
      </c>
    </row>
    <row r="359" spans="1:9" x14ac:dyDescent="0.3">
      <c r="A359">
        <v>1</v>
      </c>
      <c r="B359">
        <v>6</v>
      </c>
      <c r="C359">
        <v>10</v>
      </c>
      <c r="D359" s="16">
        <v>1.8</v>
      </c>
      <c r="E359">
        <v>1.1769191478510763</v>
      </c>
      <c r="F359" s="6">
        <v>5.8784999999999998</v>
      </c>
      <c r="G359" s="7">
        <v>0.74</v>
      </c>
      <c r="H359" s="11">
        <v>5.5424999999999997E-3</v>
      </c>
      <c r="I359">
        <v>16.077974955361263</v>
      </c>
    </row>
    <row r="360" spans="1:9" x14ac:dyDescent="0.3">
      <c r="A360">
        <v>1</v>
      </c>
      <c r="B360">
        <v>6</v>
      </c>
      <c r="C360">
        <v>10</v>
      </c>
      <c r="D360" s="16">
        <v>3.6</v>
      </c>
      <c r="E360">
        <v>4.8985283451098853</v>
      </c>
      <c r="F360" s="6">
        <v>5.8784999999999998</v>
      </c>
      <c r="G360" s="7">
        <v>3.08</v>
      </c>
      <c r="H360" s="11">
        <v>5.5424999999999997E-3</v>
      </c>
      <c r="I360">
        <v>3.7096826276722776</v>
      </c>
    </row>
    <row r="361" spans="1:9" x14ac:dyDescent="0.3">
      <c r="A361">
        <v>1</v>
      </c>
      <c r="B361">
        <v>6</v>
      </c>
      <c r="C361">
        <v>10</v>
      </c>
      <c r="D361" s="16">
        <v>5.4</v>
      </c>
      <c r="E361">
        <v>12.75525887265626</v>
      </c>
      <c r="F361" s="6">
        <v>5.8784999999999998</v>
      </c>
      <c r="G361" s="7">
        <v>8.02</v>
      </c>
      <c r="H361" s="11">
        <v>5.5424999999999997E-3</v>
      </c>
      <c r="I361">
        <v>0.80408151243014081</v>
      </c>
    </row>
    <row r="362" spans="1:9" x14ac:dyDescent="0.3">
      <c r="A362">
        <v>1</v>
      </c>
      <c r="B362">
        <v>6</v>
      </c>
      <c r="C362">
        <v>10</v>
      </c>
      <c r="D362" s="16">
        <v>7.2</v>
      </c>
      <c r="E362">
        <v>25.081101299474962</v>
      </c>
      <c r="F362" s="6">
        <v>5.8784999999999998</v>
      </c>
      <c r="G362" s="7">
        <v>15.77</v>
      </c>
      <c r="H362" s="11">
        <v>5.5424999999999997E-3</v>
      </c>
      <c r="I362">
        <v>-1.1452521728694152</v>
      </c>
    </row>
    <row r="363" spans="1:9" x14ac:dyDescent="0.3">
      <c r="A363">
        <v>1</v>
      </c>
      <c r="B363">
        <v>6</v>
      </c>
      <c r="C363">
        <v>10</v>
      </c>
      <c r="D363" s="16">
        <v>9</v>
      </c>
      <c r="E363">
        <v>37.041144531691302</v>
      </c>
      <c r="F363" s="6">
        <v>5.8784999999999998</v>
      </c>
      <c r="G363" s="7">
        <v>23.29</v>
      </c>
      <c r="H363" s="11">
        <v>5.5424999999999997E-3</v>
      </c>
      <c r="I363">
        <v>-2.3618366661852055</v>
      </c>
    </row>
    <row r="364" spans="1:9" x14ac:dyDescent="0.3">
      <c r="A364">
        <v>1</v>
      </c>
      <c r="B364">
        <v>6</v>
      </c>
      <c r="C364">
        <v>10</v>
      </c>
      <c r="D364" s="16">
        <v>10.8</v>
      </c>
      <c r="E364">
        <v>48.555867005261298</v>
      </c>
      <c r="F364" s="6">
        <v>5.8784999999999998</v>
      </c>
      <c r="G364" s="7">
        <v>30.53</v>
      </c>
      <c r="H364" s="11">
        <v>5.5424999999999997E-3</v>
      </c>
      <c r="I364">
        <v>-3.1407387038066794</v>
      </c>
    </row>
    <row r="365" spans="1:9" x14ac:dyDescent="0.3">
      <c r="A365">
        <v>1</v>
      </c>
      <c r="B365">
        <v>6</v>
      </c>
      <c r="C365">
        <v>10</v>
      </c>
      <c r="D365" s="16">
        <v>12.4</v>
      </c>
      <c r="E365">
        <v>51.657208002976958</v>
      </c>
      <c r="F365" s="6">
        <v>5.8784999999999998</v>
      </c>
      <c r="G365" s="7">
        <v>32.479999999999997</v>
      </c>
      <c r="H365" s="11">
        <v>5.5424999999999997E-3</v>
      </c>
      <c r="I365">
        <v>-2.7414580144834084</v>
      </c>
    </row>
    <row r="366" spans="1:9" x14ac:dyDescent="0.3">
      <c r="A366">
        <v>1</v>
      </c>
      <c r="B366">
        <v>1</v>
      </c>
      <c r="C366">
        <v>15</v>
      </c>
      <c r="D366" s="16">
        <v>2.5</v>
      </c>
      <c r="E366">
        <v>0</v>
      </c>
      <c r="F366" s="6">
        <v>6.5609999999999999</v>
      </c>
      <c r="G366" s="7">
        <v>0</v>
      </c>
      <c r="H366" s="11">
        <v>6.6530699999999996E-3</v>
      </c>
      <c r="I366">
        <v>18.841900017558999</v>
      </c>
    </row>
    <row r="367" spans="1:9" x14ac:dyDescent="0.3">
      <c r="A367">
        <v>1</v>
      </c>
      <c r="B367">
        <v>1</v>
      </c>
      <c r="C367">
        <v>15</v>
      </c>
      <c r="D367" s="16">
        <v>5</v>
      </c>
      <c r="E367">
        <v>2.4969771109813377</v>
      </c>
      <c r="F367" s="6">
        <v>6.5609999999999999</v>
      </c>
      <c r="G367" s="7">
        <v>1.57</v>
      </c>
      <c r="H367" s="11">
        <v>6.6530699999999996E-3</v>
      </c>
      <c r="I367">
        <v>4.6108279225671698</v>
      </c>
    </row>
    <row r="368" spans="1:9" x14ac:dyDescent="0.3">
      <c r="A368">
        <v>1</v>
      </c>
      <c r="B368">
        <v>1</v>
      </c>
      <c r="C368">
        <v>15</v>
      </c>
      <c r="D368" s="16">
        <v>7.5</v>
      </c>
      <c r="E368">
        <v>5.5665094830794146</v>
      </c>
      <c r="F368" s="6">
        <v>6.5609999999999999</v>
      </c>
      <c r="G368" s="7">
        <v>3.5</v>
      </c>
      <c r="H368" s="11">
        <v>6.6530699999999996E-3</v>
      </c>
      <c r="I368">
        <v>1.873445050462935</v>
      </c>
    </row>
    <row r="369" spans="1:9" x14ac:dyDescent="0.3">
      <c r="A369">
        <v>1</v>
      </c>
      <c r="B369">
        <v>1</v>
      </c>
      <c r="C369">
        <v>15</v>
      </c>
      <c r="D369" s="16">
        <v>10</v>
      </c>
      <c r="E369">
        <v>11.562435411996383</v>
      </c>
      <c r="F369" s="6">
        <v>6.5609999999999999</v>
      </c>
      <c r="G369" s="7">
        <v>7.27</v>
      </c>
      <c r="H369" s="11">
        <v>6.6530699999999996E-3</v>
      </c>
      <c r="I369">
        <v>0.64345537217125437</v>
      </c>
    </row>
    <row r="370" spans="1:9" x14ac:dyDescent="0.3">
      <c r="A370">
        <v>1</v>
      </c>
      <c r="B370">
        <v>1</v>
      </c>
      <c r="C370">
        <v>15</v>
      </c>
      <c r="D370" s="16">
        <v>12.5</v>
      </c>
      <c r="E370">
        <v>15.824791244754334</v>
      </c>
      <c r="F370" s="6">
        <v>6.5609999999999999</v>
      </c>
      <c r="G370" s="7">
        <v>9.9499999999999993</v>
      </c>
      <c r="H370" s="11">
        <v>6.6530699999999996E-3</v>
      </c>
      <c r="I370">
        <v>0.11330534270309718</v>
      </c>
    </row>
    <row r="371" spans="1:9" x14ac:dyDescent="0.3">
      <c r="A371">
        <v>1</v>
      </c>
      <c r="B371">
        <v>1</v>
      </c>
      <c r="C371">
        <v>15</v>
      </c>
      <c r="D371" s="16">
        <v>15</v>
      </c>
      <c r="E371">
        <v>23.538382957021525</v>
      </c>
      <c r="F371" s="6">
        <v>6.5609999999999999</v>
      </c>
      <c r="G371" s="7">
        <v>14.8</v>
      </c>
      <c r="H371" s="11">
        <v>6.6530699999999996E-3</v>
      </c>
      <c r="I371">
        <v>-0.46050310646352338</v>
      </c>
    </row>
    <row r="372" spans="1:9" x14ac:dyDescent="0.3">
      <c r="A372">
        <v>1</v>
      </c>
      <c r="B372">
        <v>1</v>
      </c>
      <c r="C372">
        <v>15</v>
      </c>
      <c r="D372" s="16">
        <v>17.7</v>
      </c>
      <c r="E372">
        <v>32.142616186581421</v>
      </c>
      <c r="F372" s="6">
        <v>6.5609999999999999</v>
      </c>
      <c r="G372" s="7">
        <v>20.21</v>
      </c>
      <c r="H372" s="11">
        <v>6.6530699999999996E-3</v>
      </c>
      <c r="I372">
        <v>-0.94173589887161868</v>
      </c>
    </row>
    <row r="373" spans="1:9" x14ac:dyDescent="0.3">
      <c r="A373">
        <v>1</v>
      </c>
      <c r="B373">
        <v>2</v>
      </c>
      <c r="C373">
        <v>15</v>
      </c>
      <c r="D373" s="16">
        <v>2.5</v>
      </c>
      <c r="E373">
        <v>0.68388545077832807</v>
      </c>
      <c r="F373" s="6">
        <v>6.5609999999999999</v>
      </c>
      <c r="G373" s="7">
        <v>0.43</v>
      </c>
      <c r="H373" s="11">
        <v>6.6530799999999996E-3</v>
      </c>
      <c r="I373">
        <v>18.812000637577668</v>
      </c>
    </row>
    <row r="374" spans="1:9" x14ac:dyDescent="0.3">
      <c r="A374">
        <v>1</v>
      </c>
      <c r="B374">
        <v>2</v>
      </c>
      <c r="C374">
        <v>15</v>
      </c>
      <c r="D374" s="16">
        <v>5</v>
      </c>
      <c r="E374">
        <v>6.6002898156513066</v>
      </c>
      <c r="F374" s="6">
        <v>6.5609999999999999</v>
      </c>
      <c r="G374" s="7">
        <v>4.1500000000000004</v>
      </c>
      <c r="H374" s="11">
        <v>6.6530799999999996E-3</v>
      </c>
      <c r="I374">
        <v>4.014230991776917</v>
      </c>
    </row>
    <row r="375" spans="1:9" x14ac:dyDescent="0.3">
      <c r="A375">
        <v>1</v>
      </c>
      <c r="B375">
        <v>2</v>
      </c>
      <c r="C375">
        <v>15</v>
      </c>
      <c r="D375" s="16">
        <v>7.5</v>
      </c>
      <c r="E375">
        <v>17.908256222706918</v>
      </c>
      <c r="F375" s="6">
        <v>6.5609999999999999</v>
      </c>
      <c r="G375" s="7">
        <v>11.26</v>
      </c>
      <c r="H375" s="11">
        <v>6.6530799999999996E-3</v>
      </c>
      <c r="I375">
        <v>-0.1844860982357896</v>
      </c>
    </row>
    <row r="376" spans="1:9" x14ac:dyDescent="0.3">
      <c r="A376">
        <v>1</v>
      </c>
      <c r="B376">
        <v>2</v>
      </c>
      <c r="C376">
        <v>15</v>
      </c>
      <c r="D376" s="16">
        <v>10</v>
      </c>
      <c r="E376">
        <v>28.198346609999437</v>
      </c>
      <c r="F376" s="6">
        <v>6.5609999999999999</v>
      </c>
      <c r="G376" s="7">
        <v>17.73</v>
      </c>
      <c r="H376" s="11">
        <v>6.6530799999999996E-3</v>
      </c>
      <c r="I376">
        <v>-1.9994218131714023</v>
      </c>
    </row>
    <row r="377" spans="1:9" x14ac:dyDescent="0.3">
      <c r="A377">
        <v>1</v>
      </c>
      <c r="B377">
        <v>2</v>
      </c>
      <c r="C377">
        <v>15</v>
      </c>
      <c r="D377" s="16">
        <v>12.5</v>
      </c>
      <c r="E377">
        <v>34.607784671945168</v>
      </c>
      <c r="F377" s="6">
        <v>6.5609999999999999</v>
      </c>
      <c r="G377" s="7">
        <v>21.76</v>
      </c>
      <c r="H377" s="11">
        <v>6.6530799999999996E-3</v>
      </c>
      <c r="I377">
        <v>-2.3090140290753913</v>
      </c>
    </row>
    <row r="378" spans="1:9" x14ac:dyDescent="0.3">
      <c r="A378">
        <v>1</v>
      </c>
      <c r="B378">
        <v>2</v>
      </c>
      <c r="C378">
        <v>15</v>
      </c>
      <c r="D378" s="16">
        <v>15</v>
      </c>
      <c r="E378">
        <v>41.92376856399239</v>
      </c>
      <c r="F378" s="6">
        <v>6.5609999999999999</v>
      </c>
      <c r="G378" s="7">
        <v>26.36</v>
      </c>
      <c r="H378" s="11">
        <v>6.6530799999999996E-3</v>
      </c>
      <c r="I378">
        <v>-2.597756280726562</v>
      </c>
    </row>
    <row r="379" spans="1:9" x14ac:dyDescent="0.3">
      <c r="A379">
        <v>1</v>
      </c>
      <c r="B379">
        <v>2</v>
      </c>
      <c r="C379">
        <v>15</v>
      </c>
      <c r="D379" s="16">
        <v>17.7</v>
      </c>
      <c r="E379">
        <v>52.850031463636832</v>
      </c>
      <c r="F379" s="6">
        <v>6.5609999999999999</v>
      </c>
      <c r="G379" s="7">
        <v>33.229999999999997</v>
      </c>
      <c r="H379" s="11">
        <v>6.6530799999999996E-3</v>
      </c>
      <c r="I379">
        <v>-3.1863215881909763</v>
      </c>
    </row>
    <row r="380" spans="1:9" x14ac:dyDescent="0.3">
      <c r="A380">
        <v>1</v>
      </c>
      <c r="B380">
        <v>4</v>
      </c>
      <c r="C380">
        <v>15</v>
      </c>
      <c r="D380" s="16">
        <v>2.5</v>
      </c>
      <c r="E380">
        <v>1.1292062094246813</v>
      </c>
      <c r="F380" s="6">
        <v>6.5609999999999999</v>
      </c>
      <c r="G380" s="7">
        <v>0.71</v>
      </c>
      <c r="H380" s="11">
        <v>6.6530799999999996E-3</v>
      </c>
      <c r="I380">
        <v>18.760384184954408</v>
      </c>
    </row>
    <row r="381" spans="1:9" x14ac:dyDescent="0.3">
      <c r="A381">
        <v>1</v>
      </c>
      <c r="B381">
        <v>4</v>
      </c>
      <c r="C381">
        <v>15</v>
      </c>
      <c r="D381" s="16">
        <v>5</v>
      </c>
      <c r="E381">
        <v>6.9183760718272724</v>
      </c>
      <c r="F381" s="6">
        <v>6.5609999999999999</v>
      </c>
      <c r="G381" s="7">
        <v>4.3499999999999996</v>
      </c>
      <c r="H381" s="11">
        <v>6.6530799999999996E-3</v>
      </c>
      <c r="I381">
        <v>3.9455060783530933</v>
      </c>
    </row>
    <row r="382" spans="1:9" x14ac:dyDescent="0.3">
      <c r="A382">
        <v>1</v>
      </c>
      <c r="B382">
        <v>4</v>
      </c>
      <c r="C382">
        <v>15</v>
      </c>
      <c r="D382" s="16">
        <v>7.5</v>
      </c>
      <c r="E382">
        <v>18.321768355735674</v>
      </c>
      <c r="F382" s="6">
        <v>6.5609999999999999</v>
      </c>
      <c r="G382" s="7">
        <v>11.52</v>
      </c>
      <c r="H382" s="11">
        <v>6.6530799999999996E-3</v>
      </c>
      <c r="I382">
        <v>-0.29090280862183587</v>
      </c>
    </row>
    <row r="383" spans="1:9" x14ac:dyDescent="0.3">
      <c r="A383">
        <v>1</v>
      </c>
      <c r="B383">
        <v>4</v>
      </c>
      <c r="C383">
        <v>15</v>
      </c>
      <c r="D383" s="16">
        <v>10</v>
      </c>
      <c r="E383">
        <v>25.924029878341276</v>
      </c>
      <c r="F383" s="6">
        <v>6.5609999999999999</v>
      </c>
      <c r="G383" s="7">
        <v>16.3</v>
      </c>
      <c r="H383" s="11">
        <v>6.6530799999999996E-3</v>
      </c>
      <c r="I383">
        <v>-1.5076051088401929</v>
      </c>
    </row>
    <row r="384" spans="1:9" x14ac:dyDescent="0.3">
      <c r="A384">
        <v>1</v>
      </c>
      <c r="B384">
        <v>4</v>
      </c>
      <c r="C384">
        <v>15</v>
      </c>
      <c r="D384" s="16">
        <v>12.5</v>
      </c>
      <c r="E384">
        <v>35.387095999576282</v>
      </c>
      <c r="F384" s="6">
        <v>6.5609999999999999</v>
      </c>
      <c r="G384" s="7">
        <v>22.25</v>
      </c>
      <c r="H384" s="11">
        <v>6.6530799999999996E-3</v>
      </c>
      <c r="I384">
        <v>-2.4485007006512429</v>
      </c>
    </row>
    <row r="385" spans="1:9" x14ac:dyDescent="0.3">
      <c r="A385">
        <v>1</v>
      </c>
      <c r="B385">
        <v>4</v>
      </c>
      <c r="C385">
        <v>15</v>
      </c>
      <c r="D385" s="16">
        <v>15</v>
      </c>
      <c r="E385">
        <v>42.71898420443231</v>
      </c>
      <c r="F385" s="6">
        <v>6.5609999999999999</v>
      </c>
      <c r="G385" s="7">
        <v>26.86</v>
      </c>
      <c r="H385" s="11">
        <v>6.6530799999999996E-3</v>
      </c>
      <c r="I385">
        <v>-2.7172837281911346</v>
      </c>
    </row>
    <row r="386" spans="1:9" x14ac:dyDescent="0.3">
      <c r="A386">
        <v>1</v>
      </c>
      <c r="B386">
        <v>4</v>
      </c>
      <c r="C386">
        <v>15</v>
      </c>
      <c r="D386" s="16">
        <v>17.7</v>
      </c>
      <c r="E386">
        <v>52.675084022740052</v>
      </c>
      <c r="F386" s="6">
        <v>6.5609999999999999</v>
      </c>
      <c r="G386" s="7">
        <v>33.119999999999997</v>
      </c>
      <c r="H386" s="11">
        <v>6.6530799999999996E-3</v>
      </c>
      <c r="I386">
        <v>-3.1627769311722136</v>
      </c>
    </row>
    <row r="387" spans="1:9" x14ac:dyDescent="0.3">
      <c r="A387">
        <v>1</v>
      </c>
      <c r="B387">
        <v>6</v>
      </c>
      <c r="C387">
        <v>15</v>
      </c>
      <c r="D387" s="16">
        <v>2.5</v>
      </c>
      <c r="E387">
        <v>1.2723450247038663</v>
      </c>
      <c r="F387" s="6">
        <v>6.5609999999999999</v>
      </c>
      <c r="G387" s="7">
        <v>0.8</v>
      </c>
      <c r="H387" s="11">
        <v>6.6531000000000003E-3</v>
      </c>
      <c r="I387">
        <v>18.738408383226652</v>
      </c>
    </row>
    <row r="388" spans="1:9" x14ac:dyDescent="0.3">
      <c r="A388">
        <v>1</v>
      </c>
      <c r="B388">
        <v>6</v>
      </c>
      <c r="C388">
        <v>15</v>
      </c>
      <c r="D388" s="16">
        <v>5</v>
      </c>
      <c r="E388">
        <v>5.8527871136377847</v>
      </c>
      <c r="F388" s="6">
        <v>6.5609999999999999</v>
      </c>
      <c r="G388" s="7">
        <v>3.68</v>
      </c>
      <c r="H388" s="11">
        <v>6.6531000000000003E-3</v>
      </c>
      <c r="I388">
        <v>4.1630042587716325</v>
      </c>
    </row>
    <row r="389" spans="1:9" x14ac:dyDescent="0.3">
      <c r="A389">
        <v>1</v>
      </c>
      <c r="B389">
        <v>6</v>
      </c>
      <c r="C389">
        <v>15</v>
      </c>
      <c r="D389" s="16">
        <v>7.5</v>
      </c>
      <c r="E389">
        <v>16.953997454179017</v>
      </c>
      <c r="F389" s="6">
        <v>6.5609999999999999</v>
      </c>
      <c r="G389" s="7">
        <v>10.66</v>
      </c>
      <c r="H389" s="11">
        <v>6.6531000000000003E-3</v>
      </c>
      <c r="I389">
        <v>5.1819800156402966E-2</v>
      </c>
    </row>
    <row r="390" spans="1:9" x14ac:dyDescent="0.3">
      <c r="A390">
        <v>1</v>
      </c>
      <c r="B390">
        <v>6</v>
      </c>
      <c r="C390">
        <v>15</v>
      </c>
      <c r="D390" s="16">
        <v>10</v>
      </c>
      <c r="E390">
        <v>23.681521772300709</v>
      </c>
      <c r="F390" s="6">
        <v>6.5609999999999999</v>
      </c>
      <c r="G390" s="7">
        <v>14.89</v>
      </c>
      <c r="H390" s="11">
        <v>6.6531000000000003E-3</v>
      </c>
      <c r="I390">
        <v>-1.0631378485370158</v>
      </c>
    </row>
    <row r="391" spans="1:9" x14ac:dyDescent="0.3">
      <c r="A391">
        <v>1</v>
      </c>
      <c r="B391">
        <v>6</v>
      </c>
      <c r="C391">
        <v>15</v>
      </c>
      <c r="D391" s="16">
        <v>12.5</v>
      </c>
      <c r="E391">
        <v>32.365276565904601</v>
      </c>
      <c r="F391" s="6">
        <v>6.5609999999999999</v>
      </c>
      <c r="G391" s="7">
        <v>20.350000000000001</v>
      </c>
      <c r="H391" s="11">
        <v>6.6531000000000003E-3</v>
      </c>
      <c r="I391">
        <v>-1.9249623954724819</v>
      </c>
    </row>
    <row r="392" spans="1:9" x14ac:dyDescent="0.3">
      <c r="A392">
        <v>1</v>
      </c>
      <c r="B392">
        <v>6</v>
      </c>
      <c r="C392">
        <v>15</v>
      </c>
      <c r="D392" s="16">
        <v>15</v>
      </c>
      <c r="E392">
        <v>38.361202494821569</v>
      </c>
      <c r="F392" s="6">
        <v>6.5609999999999999</v>
      </c>
      <c r="G392" s="7">
        <v>24.12</v>
      </c>
      <c r="H392" s="11">
        <v>6.6531000000000003E-3</v>
      </c>
      <c r="I392">
        <v>-2.0898423375643644</v>
      </c>
    </row>
    <row r="393" spans="1:9" x14ac:dyDescent="0.3">
      <c r="A393">
        <v>1</v>
      </c>
      <c r="B393">
        <v>6</v>
      </c>
      <c r="C393">
        <v>15</v>
      </c>
      <c r="D393" s="16">
        <v>17.600000000000001</v>
      </c>
      <c r="E393">
        <v>45.613569135633597</v>
      </c>
      <c r="F393" s="6">
        <v>6.5609999999999999</v>
      </c>
      <c r="G393" s="7">
        <v>28.68</v>
      </c>
      <c r="H393" s="11">
        <v>6.6531000000000003E-3</v>
      </c>
      <c r="I393">
        <v>-2.3035551109759598</v>
      </c>
    </row>
    <row r="394" spans="1:9" x14ac:dyDescent="0.3">
      <c r="A394">
        <v>1</v>
      </c>
      <c r="B394">
        <v>1</v>
      </c>
      <c r="C394">
        <v>20</v>
      </c>
      <c r="D394" s="16">
        <v>2.8</v>
      </c>
      <c r="E394">
        <v>0</v>
      </c>
      <c r="F394" s="6">
        <v>7.0444000000000004</v>
      </c>
      <c r="G394" s="7">
        <v>0</v>
      </c>
      <c r="H394" s="11">
        <v>7.5770400000000002E-3</v>
      </c>
      <c r="I394">
        <v>26.70337305114807</v>
      </c>
    </row>
    <row r="395" spans="1:9" x14ac:dyDescent="0.3">
      <c r="A395">
        <v>1</v>
      </c>
      <c r="B395">
        <v>1</v>
      </c>
      <c r="C395">
        <v>20</v>
      </c>
      <c r="D395" s="16">
        <v>5.6</v>
      </c>
      <c r="E395">
        <v>2.1788908548053714</v>
      </c>
      <c r="F395" s="6">
        <v>7.0444000000000004</v>
      </c>
      <c r="G395" s="7">
        <v>1.37</v>
      </c>
      <c r="H395" s="11">
        <v>7.5770400000000002E-3</v>
      </c>
      <c r="I395">
        <v>6.5683087572720078</v>
      </c>
    </row>
    <row r="396" spans="1:9" x14ac:dyDescent="0.3">
      <c r="A396">
        <v>1</v>
      </c>
      <c r="B396">
        <v>1</v>
      </c>
      <c r="C396">
        <v>20</v>
      </c>
      <c r="D396" s="16">
        <v>8.4</v>
      </c>
      <c r="E396">
        <v>5.2325189140946495</v>
      </c>
      <c r="F396" s="6">
        <v>7.0444000000000004</v>
      </c>
      <c r="G396" s="7">
        <v>3.29</v>
      </c>
      <c r="H396" s="11">
        <v>7.5770400000000002E-3</v>
      </c>
      <c r="I396">
        <v>2.6914181135039312</v>
      </c>
    </row>
    <row r="397" spans="1:9" x14ac:dyDescent="0.3">
      <c r="A397">
        <v>1</v>
      </c>
      <c r="B397">
        <v>1</v>
      </c>
      <c r="C397">
        <v>20</v>
      </c>
      <c r="D397" s="16">
        <v>11.2</v>
      </c>
      <c r="E397">
        <v>10.178760197630931</v>
      </c>
      <c r="F397" s="6">
        <v>7.0444000000000004</v>
      </c>
      <c r="G397" s="7">
        <v>6.4</v>
      </c>
      <c r="H397" s="11">
        <v>7.5770400000000002E-3</v>
      </c>
      <c r="I397">
        <v>1.0822735460107329</v>
      </c>
    </row>
    <row r="398" spans="1:9" x14ac:dyDescent="0.3">
      <c r="A398">
        <v>1</v>
      </c>
      <c r="B398">
        <v>1</v>
      </c>
      <c r="C398">
        <v>20</v>
      </c>
      <c r="D398" s="16">
        <v>14</v>
      </c>
      <c r="E398">
        <v>16.588198259576654</v>
      </c>
      <c r="F398" s="6">
        <v>7.0444000000000004</v>
      </c>
      <c r="G398" s="7">
        <v>10.43</v>
      </c>
      <c r="H398" s="11">
        <v>7.5770400000000002E-3</v>
      </c>
      <c r="I398">
        <v>7.0904985107378152E-2</v>
      </c>
    </row>
    <row r="399" spans="1:9" x14ac:dyDescent="0.3">
      <c r="A399">
        <v>1</v>
      </c>
      <c r="B399">
        <v>1</v>
      </c>
      <c r="C399">
        <v>20</v>
      </c>
      <c r="D399" s="16">
        <v>16.8</v>
      </c>
      <c r="E399">
        <v>24.063225279711872</v>
      </c>
      <c r="F399" s="6">
        <v>7.0444000000000004</v>
      </c>
      <c r="G399" s="7">
        <v>15.13</v>
      </c>
      <c r="H399" s="11">
        <v>7.5770400000000002E-3</v>
      </c>
      <c r="I399">
        <v>-0.71551645003308284</v>
      </c>
    </row>
    <row r="400" spans="1:9" x14ac:dyDescent="0.3">
      <c r="A400">
        <v>1</v>
      </c>
      <c r="B400">
        <v>1</v>
      </c>
      <c r="C400">
        <v>20</v>
      </c>
      <c r="D400" s="16">
        <v>20.100000000000001</v>
      </c>
      <c r="E400">
        <v>33.717143154652447</v>
      </c>
      <c r="F400" s="6">
        <v>7.0444000000000004</v>
      </c>
      <c r="G400" s="7">
        <v>21.2</v>
      </c>
      <c r="H400" s="11">
        <v>7.5770400000000002E-3</v>
      </c>
      <c r="I400">
        <v>-1.480576669259513</v>
      </c>
    </row>
    <row r="401" spans="1:9" x14ac:dyDescent="0.3">
      <c r="A401">
        <v>1</v>
      </c>
      <c r="B401">
        <v>2</v>
      </c>
      <c r="C401">
        <v>20</v>
      </c>
      <c r="D401" s="16">
        <v>2.8</v>
      </c>
      <c r="E401">
        <v>0.90654583010150458</v>
      </c>
      <c r="F401" s="6">
        <v>7.0444000000000004</v>
      </c>
      <c r="G401" s="7">
        <v>0.56999999999999995</v>
      </c>
      <c r="H401" s="11">
        <v>7.5770400000000002E-3</v>
      </c>
      <c r="I401">
        <v>26.628914186335184</v>
      </c>
    </row>
    <row r="402" spans="1:9" x14ac:dyDescent="0.3">
      <c r="A402">
        <v>1</v>
      </c>
      <c r="B402">
        <v>2</v>
      </c>
      <c r="C402">
        <v>20</v>
      </c>
      <c r="D402" s="16">
        <v>5.6</v>
      </c>
      <c r="E402">
        <v>4.0237911406259768</v>
      </c>
      <c r="F402" s="6">
        <v>7.0444000000000004</v>
      </c>
      <c r="G402" s="7">
        <v>2.5299999999999998</v>
      </c>
      <c r="H402" s="11">
        <v>7.5770400000000002E-3</v>
      </c>
      <c r="I402">
        <v>6.3091121549224418</v>
      </c>
    </row>
    <row r="403" spans="1:9" x14ac:dyDescent="0.3">
      <c r="A403">
        <v>1</v>
      </c>
      <c r="B403">
        <v>2</v>
      </c>
      <c r="C403">
        <v>20</v>
      </c>
      <c r="D403" s="16">
        <v>8.4</v>
      </c>
      <c r="E403">
        <v>8.7473720448390786</v>
      </c>
      <c r="F403" s="6">
        <v>7.0444000000000004</v>
      </c>
      <c r="G403" s="7">
        <v>5.5</v>
      </c>
      <c r="H403" s="11">
        <v>7.5770400000000002E-3</v>
      </c>
      <c r="I403">
        <v>2.1967597700927475</v>
      </c>
    </row>
    <row r="404" spans="1:9" x14ac:dyDescent="0.3">
      <c r="A404">
        <v>1</v>
      </c>
      <c r="B404">
        <v>2</v>
      </c>
      <c r="C404">
        <v>20</v>
      </c>
      <c r="D404" s="16">
        <v>11.2</v>
      </c>
      <c r="E404">
        <v>14.997766978696822</v>
      </c>
      <c r="F404" s="6">
        <v>7.0444000000000004</v>
      </c>
      <c r="G404" s="7">
        <v>9.43</v>
      </c>
      <c r="H404" s="11">
        <v>7.5770400000000002E-3</v>
      </c>
      <c r="I404">
        <v>0.3952521538778464</v>
      </c>
    </row>
    <row r="405" spans="1:9" x14ac:dyDescent="0.3">
      <c r="A405">
        <v>1</v>
      </c>
      <c r="B405">
        <v>2</v>
      </c>
      <c r="C405">
        <v>20</v>
      </c>
      <c r="D405" s="16">
        <v>14</v>
      </c>
      <c r="E405">
        <v>25.112909925092559</v>
      </c>
      <c r="F405" s="6">
        <v>7.0444000000000004</v>
      </c>
      <c r="G405" s="7">
        <v>15.79</v>
      </c>
      <c r="H405" s="11">
        <v>7.5770400000000002E-3</v>
      </c>
      <c r="I405">
        <v>-1.2174162575778982</v>
      </c>
    </row>
    <row r="406" spans="1:9" x14ac:dyDescent="0.3">
      <c r="A406">
        <v>1</v>
      </c>
      <c r="B406">
        <v>2</v>
      </c>
      <c r="C406">
        <v>20</v>
      </c>
      <c r="D406" s="16">
        <v>16.8</v>
      </c>
      <c r="E406">
        <v>37.565986854381649</v>
      </c>
      <c r="F406" s="6">
        <v>7.0444000000000004</v>
      </c>
      <c r="G406" s="7">
        <v>23.62</v>
      </c>
      <c r="H406" s="11">
        <v>7.5770400000000002E-3</v>
      </c>
      <c r="I406">
        <v>-2.8098391294583198</v>
      </c>
    </row>
    <row r="407" spans="1:9" x14ac:dyDescent="0.3">
      <c r="A407">
        <v>1</v>
      </c>
      <c r="B407">
        <v>2</v>
      </c>
      <c r="C407">
        <v>20</v>
      </c>
      <c r="D407" s="16">
        <v>20</v>
      </c>
      <c r="E407">
        <v>48.142354872232531</v>
      </c>
      <c r="F407" s="6">
        <v>7.0444000000000004</v>
      </c>
      <c r="G407" s="7">
        <v>30.27</v>
      </c>
      <c r="H407" s="11">
        <v>7.5770400000000002E-3</v>
      </c>
      <c r="I407">
        <v>-3.5923508652953644</v>
      </c>
    </row>
    <row r="408" spans="1:9" x14ac:dyDescent="0.3">
      <c r="A408">
        <v>1</v>
      </c>
      <c r="B408">
        <v>4</v>
      </c>
      <c r="C408">
        <v>20</v>
      </c>
      <c r="D408" s="16">
        <v>2.8</v>
      </c>
      <c r="E408">
        <v>1.0337803325718913</v>
      </c>
      <c r="F408" s="6">
        <v>7.0444000000000004</v>
      </c>
      <c r="G408" s="7">
        <v>0.65</v>
      </c>
      <c r="H408" s="11">
        <v>7.5770400000000002E-3</v>
      </c>
      <c r="I408">
        <v>26.606546734178405</v>
      </c>
    </row>
    <row r="409" spans="1:9" x14ac:dyDescent="0.3">
      <c r="A409">
        <v>1</v>
      </c>
      <c r="B409">
        <v>4</v>
      </c>
      <c r="C409">
        <v>20</v>
      </c>
      <c r="D409" s="16">
        <v>5.6</v>
      </c>
      <c r="E409">
        <v>4.230547207140356</v>
      </c>
      <c r="F409" s="6">
        <v>7.0444000000000004</v>
      </c>
      <c r="G409" s="7">
        <v>2.66</v>
      </c>
      <c r="H409" s="11">
        <v>7.5770400000000002E-3</v>
      </c>
      <c r="I409">
        <v>6.2704561099168599</v>
      </c>
    </row>
    <row r="410" spans="1:9" x14ac:dyDescent="0.3">
      <c r="A410">
        <v>1</v>
      </c>
      <c r="B410">
        <v>4</v>
      </c>
      <c r="C410">
        <v>20</v>
      </c>
      <c r="D410" s="16">
        <v>8.4</v>
      </c>
      <c r="E410">
        <v>8.8268936088830721</v>
      </c>
      <c r="F410" s="6">
        <v>7.0444000000000004</v>
      </c>
      <c r="G410" s="7">
        <v>5.55</v>
      </c>
      <c r="H410" s="11">
        <v>7.5770400000000002E-3</v>
      </c>
      <c r="I410">
        <v>2.1826909889945907</v>
      </c>
    </row>
    <row r="411" spans="1:9" x14ac:dyDescent="0.3">
      <c r="A411">
        <v>1</v>
      </c>
      <c r="B411">
        <v>4</v>
      </c>
      <c r="C411">
        <v>20</v>
      </c>
      <c r="D411" s="16">
        <v>11.2</v>
      </c>
      <c r="E411">
        <v>16.397346505871077</v>
      </c>
      <c r="F411" s="6">
        <v>7.0444000000000004</v>
      </c>
      <c r="G411" s="7">
        <v>10.31</v>
      </c>
      <c r="H411" s="11">
        <v>7.5770400000000002E-3</v>
      </c>
      <c r="I411">
        <v>0.14643716610514562</v>
      </c>
    </row>
    <row r="412" spans="1:9" x14ac:dyDescent="0.3">
      <c r="A412">
        <v>1</v>
      </c>
      <c r="B412">
        <v>4</v>
      </c>
      <c r="C412">
        <v>20</v>
      </c>
      <c r="D412" s="16">
        <v>14</v>
      </c>
      <c r="E412">
        <v>25.430996181268526</v>
      </c>
      <c r="F412" s="6">
        <v>7.0444000000000004</v>
      </c>
      <c r="G412" s="7">
        <v>15.99</v>
      </c>
      <c r="H412" s="11">
        <v>7.5770400000000002E-3</v>
      </c>
      <c r="I412">
        <v>-1.2756816370485917</v>
      </c>
    </row>
    <row r="413" spans="1:9" x14ac:dyDescent="0.3">
      <c r="A413">
        <v>1</v>
      </c>
      <c r="B413">
        <v>4</v>
      </c>
      <c r="C413">
        <v>20</v>
      </c>
      <c r="D413" s="16">
        <v>16.8</v>
      </c>
      <c r="E413">
        <v>31.442826422994294</v>
      </c>
      <c r="F413" s="6">
        <v>7.0444000000000004</v>
      </c>
      <c r="G413" s="7">
        <v>19.77</v>
      </c>
      <c r="H413" s="11">
        <v>7.5770400000000002E-3</v>
      </c>
      <c r="I413">
        <v>-1.7463952445629822</v>
      </c>
    </row>
    <row r="414" spans="1:9" x14ac:dyDescent="0.3">
      <c r="A414">
        <v>1</v>
      </c>
      <c r="B414">
        <v>4</v>
      </c>
      <c r="C414">
        <v>20</v>
      </c>
      <c r="D414" s="16">
        <v>20</v>
      </c>
      <c r="E414">
        <v>45.518143258780817</v>
      </c>
      <c r="F414" s="6">
        <v>7.0444000000000004</v>
      </c>
      <c r="G414" s="7">
        <v>28.62</v>
      </c>
      <c r="H414" s="11">
        <v>7.5770400000000002E-3</v>
      </c>
      <c r="I414">
        <v>-3.1558870252547679</v>
      </c>
    </row>
    <row r="415" spans="1:9" x14ac:dyDescent="0.3">
      <c r="A415">
        <v>1</v>
      </c>
      <c r="B415">
        <v>6</v>
      </c>
      <c r="C415">
        <v>20</v>
      </c>
      <c r="D415" s="16">
        <v>2.8</v>
      </c>
      <c r="E415">
        <v>1.1451105222334796</v>
      </c>
      <c r="F415" s="6">
        <v>7.0444000000000004</v>
      </c>
      <c r="G415" s="7">
        <v>0.72</v>
      </c>
      <c r="H415" s="11">
        <v>7.5770400000000002E-3</v>
      </c>
      <c r="I415">
        <v>26.584568879036652</v>
      </c>
    </row>
    <row r="416" spans="1:9" x14ac:dyDescent="0.3">
      <c r="A416">
        <v>1</v>
      </c>
      <c r="B416">
        <v>6</v>
      </c>
      <c r="C416">
        <v>20</v>
      </c>
      <c r="D416" s="16">
        <v>5.6</v>
      </c>
      <c r="E416">
        <v>3.8965566381555909</v>
      </c>
      <c r="F416" s="6">
        <v>7.0444000000000004</v>
      </c>
      <c r="G416" s="7">
        <v>2.4500000000000002</v>
      </c>
      <c r="H416" s="11">
        <v>7.5770400000000002E-3</v>
      </c>
      <c r="I416">
        <v>6.3319379565086633</v>
      </c>
    </row>
    <row r="417" spans="1:9" x14ac:dyDescent="0.3">
      <c r="A417">
        <v>1</v>
      </c>
      <c r="B417">
        <v>6</v>
      </c>
      <c r="C417">
        <v>20</v>
      </c>
      <c r="D417" s="16">
        <v>8.4</v>
      </c>
      <c r="E417">
        <v>9.3676402443822155</v>
      </c>
      <c r="F417" s="6">
        <v>7.0444000000000004</v>
      </c>
      <c r="G417" s="7">
        <v>5.89</v>
      </c>
      <c r="H417" s="11">
        <v>7.5770400000000002E-3</v>
      </c>
      <c r="I417">
        <v>2.0836467700635688</v>
      </c>
    </row>
    <row r="418" spans="1:9" x14ac:dyDescent="0.3">
      <c r="A418">
        <v>1</v>
      </c>
      <c r="B418">
        <v>6</v>
      </c>
      <c r="C418">
        <v>20</v>
      </c>
      <c r="D418" s="16">
        <v>11.2</v>
      </c>
      <c r="E418">
        <v>16.031547311268714</v>
      </c>
      <c r="F418" s="6">
        <v>7.0444000000000004</v>
      </c>
      <c r="G418" s="7">
        <v>10.08</v>
      </c>
      <c r="H418" s="11">
        <v>7.5770400000000002E-3</v>
      </c>
      <c r="I418">
        <v>0.21360970733186765</v>
      </c>
    </row>
    <row r="419" spans="1:9" x14ac:dyDescent="0.3">
      <c r="A419">
        <v>1</v>
      </c>
      <c r="B419">
        <v>6</v>
      </c>
      <c r="C419">
        <v>20</v>
      </c>
      <c r="D419" s="16">
        <v>14</v>
      </c>
      <c r="E419">
        <v>19.228314185837178</v>
      </c>
      <c r="F419" s="6">
        <v>7.0444000000000004</v>
      </c>
      <c r="G419" s="7">
        <v>12.09</v>
      </c>
      <c r="H419" s="11">
        <v>7.5770400000000002E-3</v>
      </c>
      <c r="I419">
        <v>-0.27178638270709798</v>
      </c>
    </row>
    <row r="420" spans="1:9" x14ac:dyDescent="0.3">
      <c r="A420">
        <v>1</v>
      </c>
      <c r="B420">
        <v>6</v>
      </c>
      <c r="C420">
        <v>20</v>
      </c>
      <c r="D420" s="16">
        <v>16.8</v>
      </c>
      <c r="E420">
        <v>26.17849888328205</v>
      </c>
      <c r="F420" s="6">
        <v>7.0444000000000004</v>
      </c>
      <c r="G420" s="7">
        <v>16.46</v>
      </c>
      <c r="H420" s="11">
        <v>7.5770400000000002E-3</v>
      </c>
      <c r="I420">
        <v>-0.98298053021621268</v>
      </c>
    </row>
    <row r="421" spans="1:9" x14ac:dyDescent="0.3">
      <c r="A421">
        <v>1</v>
      </c>
      <c r="B421">
        <v>6</v>
      </c>
      <c r="C421">
        <v>20</v>
      </c>
      <c r="D421" s="16">
        <v>20.100000000000001</v>
      </c>
      <c r="E421">
        <v>35.800608132605035</v>
      </c>
      <c r="F421" s="6">
        <v>7.0444000000000004</v>
      </c>
      <c r="G421" s="7">
        <v>22.51</v>
      </c>
      <c r="H421" s="11">
        <v>7.5770400000000002E-3</v>
      </c>
      <c r="I421">
        <v>-1.7352261232978536</v>
      </c>
    </row>
    <row r="422" spans="1:9" x14ac:dyDescent="0.3">
      <c r="A422">
        <v>1</v>
      </c>
      <c r="B422">
        <v>1</v>
      </c>
      <c r="C422">
        <v>30</v>
      </c>
      <c r="D422" s="16">
        <v>3.6</v>
      </c>
      <c r="E422">
        <v>0</v>
      </c>
      <c r="F422" s="6">
        <v>7.6656000000000004</v>
      </c>
      <c r="G422" s="7">
        <v>0</v>
      </c>
      <c r="H422" s="11">
        <v>9.1083599999999994E-3</v>
      </c>
      <c r="I422">
        <v>36.346257740493073</v>
      </c>
    </row>
    <row r="423" spans="1:9" x14ac:dyDescent="0.3">
      <c r="A423">
        <v>1</v>
      </c>
      <c r="B423">
        <v>1</v>
      </c>
      <c r="C423">
        <v>30</v>
      </c>
      <c r="D423" s="16">
        <v>7.2</v>
      </c>
      <c r="E423">
        <v>2.2106994804229672</v>
      </c>
      <c r="F423" s="6">
        <v>7.6656000000000004</v>
      </c>
      <c r="G423" s="7">
        <v>1.39</v>
      </c>
      <c r="H423" s="11">
        <v>9.1083599999999994E-3</v>
      </c>
      <c r="I423">
        <v>8.9358933598784773</v>
      </c>
    </row>
    <row r="424" spans="1:9" x14ac:dyDescent="0.3">
      <c r="A424">
        <v>1</v>
      </c>
      <c r="B424">
        <v>1</v>
      </c>
      <c r="C424">
        <v>30</v>
      </c>
      <c r="D424" s="16">
        <v>10.8</v>
      </c>
      <c r="E424">
        <v>5.3120404781386412</v>
      </c>
      <c r="F424" s="6">
        <v>7.6656000000000004</v>
      </c>
      <c r="G424" s="7">
        <v>3.34</v>
      </c>
      <c r="H424" s="11">
        <v>9.1083599999999994E-3</v>
      </c>
      <c r="I424">
        <v>3.6518295920042991</v>
      </c>
    </row>
    <row r="425" spans="1:9" x14ac:dyDescent="0.3">
      <c r="A425">
        <v>1</v>
      </c>
      <c r="B425">
        <v>1</v>
      </c>
      <c r="C425">
        <v>30</v>
      </c>
      <c r="D425" s="16">
        <v>14.4</v>
      </c>
      <c r="E425">
        <v>9.8924825670725589</v>
      </c>
      <c r="F425" s="6">
        <v>7.6656000000000004</v>
      </c>
      <c r="G425" s="7">
        <v>6.22</v>
      </c>
      <c r="H425" s="11">
        <v>9.1083599999999994E-3</v>
      </c>
      <c r="I425">
        <v>1.517381129030736</v>
      </c>
    </row>
    <row r="426" spans="1:9" x14ac:dyDescent="0.3">
      <c r="A426">
        <v>1</v>
      </c>
      <c r="B426">
        <v>1</v>
      </c>
      <c r="C426">
        <v>30</v>
      </c>
      <c r="D426" s="16">
        <v>18</v>
      </c>
      <c r="E426">
        <v>15.967930060033519</v>
      </c>
      <c r="F426" s="6">
        <v>7.6656000000000004</v>
      </c>
      <c r="G426" s="7">
        <v>10.039999999999999</v>
      </c>
      <c r="H426" s="11">
        <v>9.1083599999999994E-3</v>
      </c>
      <c r="I426">
        <v>0.19611951238188197</v>
      </c>
    </row>
    <row r="427" spans="1:9" x14ac:dyDescent="0.3">
      <c r="A427">
        <v>1</v>
      </c>
      <c r="B427">
        <v>1</v>
      </c>
      <c r="C427">
        <v>30</v>
      </c>
      <c r="D427" s="16">
        <v>21.6</v>
      </c>
      <c r="E427">
        <v>23.315722577698345</v>
      </c>
      <c r="F427" s="6">
        <v>7.6656000000000004</v>
      </c>
      <c r="G427" s="7">
        <v>14.66</v>
      </c>
      <c r="H427" s="11">
        <v>9.1083599999999994E-3</v>
      </c>
      <c r="I427">
        <v>-0.85257913920820116</v>
      </c>
    </row>
    <row r="428" spans="1:9" x14ac:dyDescent="0.3">
      <c r="A428">
        <v>1</v>
      </c>
      <c r="B428">
        <v>1</v>
      </c>
      <c r="C428">
        <v>30</v>
      </c>
      <c r="D428" s="16">
        <v>25.6</v>
      </c>
      <c r="E428">
        <v>32.667458509271768</v>
      </c>
      <c r="F428" s="6">
        <v>7.6656000000000004</v>
      </c>
      <c r="G428" s="7">
        <v>20.54</v>
      </c>
      <c r="H428" s="11">
        <v>9.1083599999999994E-3</v>
      </c>
      <c r="I428">
        <v>-1.8837115273269152</v>
      </c>
    </row>
    <row r="429" spans="1:9" x14ac:dyDescent="0.3">
      <c r="A429">
        <v>1</v>
      </c>
      <c r="B429">
        <v>2</v>
      </c>
      <c r="C429">
        <v>30</v>
      </c>
      <c r="D429" s="16">
        <v>3.6</v>
      </c>
      <c r="E429">
        <v>0.85883289167510968</v>
      </c>
      <c r="F429" s="6">
        <v>7.6656000000000004</v>
      </c>
      <c r="G429" s="7">
        <v>0.54</v>
      </c>
      <c r="H429" s="11">
        <v>9.1083599999999994E-3</v>
      </c>
      <c r="I429">
        <v>36.25529829627925</v>
      </c>
    </row>
    <row r="430" spans="1:9" x14ac:dyDescent="0.3">
      <c r="A430">
        <v>1</v>
      </c>
      <c r="B430">
        <v>2</v>
      </c>
      <c r="C430">
        <v>30</v>
      </c>
      <c r="D430" s="16">
        <v>7.2</v>
      </c>
      <c r="E430">
        <v>3.212671187377262</v>
      </c>
      <c r="F430" s="6">
        <v>7.6656000000000004</v>
      </c>
      <c r="G430" s="7">
        <v>2.02</v>
      </c>
      <c r="H430" s="11">
        <v>9.1083599999999994E-3</v>
      </c>
      <c r="I430">
        <v>8.7683623465000906</v>
      </c>
    </row>
    <row r="431" spans="1:9" x14ac:dyDescent="0.3">
      <c r="A431">
        <v>1</v>
      </c>
      <c r="B431">
        <v>2</v>
      </c>
      <c r="C431">
        <v>30</v>
      </c>
      <c r="D431" s="16">
        <v>10.8</v>
      </c>
      <c r="E431">
        <v>7.7613046506935843</v>
      </c>
      <c r="F431" s="6">
        <v>7.6656000000000004</v>
      </c>
      <c r="G431" s="7">
        <v>4.88</v>
      </c>
      <c r="H431" s="11">
        <v>9.1083599999999994E-3</v>
      </c>
      <c r="I431">
        <v>3.2130864840886186</v>
      </c>
    </row>
    <row r="432" spans="1:9" x14ac:dyDescent="0.3">
      <c r="A432">
        <v>1</v>
      </c>
      <c r="B432">
        <v>2</v>
      </c>
      <c r="C432">
        <v>30</v>
      </c>
      <c r="D432" s="16">
        <v>14.4</v>
      </c>
      <c r="E432">
        <v>11.975947545025139</v>
      </c>
      <c r="F432" s="6">
        <v>7.6656000000000004</v>
      </c>
      <c r="G432" s="7">
        <v>7.53</v>
      </c>
      <c r="H432" s="11">
        <v>9.1083599999999994E-3</v>
      </c>
      <c r="I432">
        <v>1.1662136502709954</v>
      </c>
    </row>
    <row r="433" spans="1:9" x14ac:dyDescent="0.3">
      <c r="A433">
        <v>1</v>
      </c>
      <c r="B433">
        <v>2</v>
      </c>
      <c r="C433">
        <v>30</v>
      </c>
      <c r="D433" s="16">
        <v>18</v>
      </c>
      <c r="E433">
        <v>19.482783190777951</v>
      </c>
      <c r="F433" s="6">
        <v>7.6656000000000004</v>
      </c>
      <c r="G433" s="7">
        <v>12.25</v>
      </c>
      <c r="H433" s="11">
        <v>9.1083599999999994E-3</v>
      </c>
      <c r="I433">
        <v>-0.41852302334824143</v>
      </c>
    </row>
    <row r="434" spans="1:9" x14ac:dyDescent="0.3">
      <c r="A434">
        <v>1</v>
      </c>
      <c r="B434">
        <v>2</v>
      </c>
      <c r="C434">
        <v>30</v>
      </c>
      <c r="D434" s="16">
        <v>21.6</v>
      </c>
      <c r="E434">
        <v>26.258020447326039</v>
      </c>
      <c r="F434" s="6">
        <v>7.6656000000000004</v>
      </c>
      <c r="G434" s="7">
        <v>16.510000000000002</v>
      </c>
      <c r="H434" s="11">
        <v>9.1083599999999994E-3</v>
      </c>
      <c r="I434">
        <v>-1.3522296184480147</v>
      </c>
    </row>
    <row r="435" spans="1:9" x14ac:dyDescent="0.3">
      <c r="A435">
        <v>1</v>
      </c>
      <c r="B435">
        <v>2</v>
      </c>
      <c r="C435">
        <v>30</v>
      </c>
      <c r="D435" s="16">
        <v>25.7</v>
      </c>
      <c r="E435">
        <v>36.325450455295382</v>
      </c>
      <c r="F435" s="6">
        <v>7.6656000000000004</v>
      </c>
      <c r="G435" s="7">
        <v>22.84</v>
      </c>
      <c r="H435" s="11">
        <v>9.1083599999999994E-3</v>
      </c>
      <c r="I435">
        <v>-2.4797646383302299</v>
      </c>
    </row>
    <row r="436" spans="1:9" x14ac:dyDescent="0.3">
      <c r="A436">
        <v>1</v>
      </c>
      <c r="B436">
        <v>4</v>
      </c>
      <c r="C436">
        <v>30</v>
      </c>
      <c r="D436" s="16">
        <v>3.6</v>
      </c>
      <c r="E436">
        <v>0.98606739414549638</v>
      </c>
      <c r="F436" s="6">
        <v>7.6656000000000004</v>
      </c>
      <c r="G436" s="7">
        <v>0.62</v>
      </c>
      <c r="H436" s="11">
        <v>9.1083599999999994E-3</v>
      </c>
      <c r="I436">
        <v>36.226350983443027</v>
      </c>
    </row>
    <row r="437" spans="1:9" x14ac:dyDescent="0.3">
      <c r="A437">
        <v>1</v>
      </c>
      <c r="B437">
        <v>4</v>
      </c>
      <c r="C437">
        <v>30</v>
      </c>
      <c r="D437" s="16">
        <v>7.2</v>
      </c>
      <c r="E437">
        <v>3.9919825150083796</v>
      </c>
      <c r="F437" s="6">
        <v>7.6656000000000004</v>
      </c>
      <c r="G437" s="7">
        <v>2.5099999999999998</v>
      </c>
      <c r="H437" s="11">
        <v>9.1083599999999994E-3</v>
      </c>
      <c r="I437">
        <v>8.5952633424522347</v>
      </c>
    </row>
    <row r="438" spans="1:9" x14ac:dyDescent="0.3">
      <c r="A438">
        <v>1</v>
      </c>
      <c r="B438">
        <v>4</v>
      </c>
      <c r="C438">
        <v>30</v>
      </c>
      <c r="D438" s="16">
        <v>10.8</v>
      </c>
      <c r="E438">
        <v>9.4153531828086106</v>
      </c>
      <c r="F438" s="6">
        <v>7.6656000000000004</v>
      </c>
      <c r="G438" s="7">
        <v>5.92</v>
      </c>
      <c r="H438" s="11">
        <v>9.1083599999999994E-3</v>
      </c>
      <c r="I438">
        <v>2.8237950356014849</v>
      </c>
    </row>
    <row r="439" spans="1:9" x14ac:dyDescent="0.3">
      <c r="A439">
        <v>1</v>
      </c>
      <c r="B439">
        <v>4</v>
      </c>
      <c r="C439">
        <v>30</v>
      </c>
      <c r="D439" s="16">
        <v>14.4</v>
      </c>
      <c r="E439">
        <v>15.57032223981356</v>
      </c>
      <c r="F439" s="6">
        <v>7.6656000000000004</v>
      </c>
      <c r="G439" s="7">
        <v>9.7899999999999991</v>
      </c>
      <c r="H439" s="11">
        <v>9.1083599999999994E-3</v>
      </c>
      <c r="I439">
        <v>0.40308699630356981</v>
      </c>
    </row>
    <row r="440" spans="1:9" x14ac:dyDescent="0.3">
      <c r="A440">
        <v>1</v>
      </c>
      <c r="B440">
        <v>4</v>
      </c>
      <c r="C440">
        <v>30</v>
      </c>
      <c r="D440" s="16">
        <v>18</v>
      </c>
      <c r="E440">
        <v>20.325711769644261</v>
      </c>
      <c r="F440" s="6">
        <v>7.6656000000000004</v>
      </c>
      <c r="G440" s="7">
        <v>12.78</v>
      </c>
      <c r="H440" s="11">
        <v>9.1083599999999994E-3</v>
      </c>
      <c r="I440">
        <v>-0.5840455049663652</v>
      </c>
    </row>
    <row r="441" spans="1:9" x14ac:dyDescent="0.3">
      <c r="A441">
        <v>1</v>
      </c>
      <c r="B441">
        <v>4</v>
      </c>
      <c r="C441">
        <v>30</v>
      </c>
      <c r="D441" s="16">
        <v>21.6</v>
      </c>
      <c r="E441">
        <v>23.824660587579896</v>
      </c>
      <c r="F441" s="6">
        <v>7.6656000000000004</v>
      </c>
      <c r="G441" s="7">
        <v>14.98</v>
      </c>
      <c r="H441" s="11">
        <v>9.1083599999999994E-3</v>
      </c>
      <c r="I441">
        <v>-0.9347628894443738</v>
      </c>
    </row>
    <row r="442" spans="1:9" x14ac:dyDescent="0.3">
      <c r="A442">
        <v>1</v>
      </c>
      <c r="B442">
        <v>4</v>
      </c>
      <c r="C442">
        <v>30</v>
      </c>
      <c r="D442" s="16">
        <v>25.5</v>
      </c>
      <c r="E442">
        <v>30.838462536259961</v>
      </c>
      <c r="F442" s="6">
        <v>7.6656000000000004</v>
      </c>
      <c r="G442" s="7">
        <v>19.39</v>
      </c>
      <c r="H442" s="11">
        <v>9.1083599999999994E-3</v>
      </c>
      <c r="I442">
        <v>-1.6130305095493331</v>
      </c>
    </row>
    <row r="443" spans="1:9" x14ac:dyDescent="0.3">
      <c r="A443">
        <v>1</v>
      </c>
      <c r="B443">
        <v>6</v>
      </c>
      <c r="C443">
        <v>30</v>
      </c>
      <c r="D443" s="16">
        <v>3.6</v>
      </c>
      <c r="E443">
        <v>0.63617251235193317</v>
      </c>
      <c r="F443" s="6">
        <v>7.6656000000000004</v>
      </c>
      <c r="G443" s="7">
        <v>0.4</v>
      </c>
      <c r="H443" s="11">
        <v>9.1083599999999994E-3</v>
      </c>
      <c r="I443">
        <v>36.296348580430617</v>
      </c>
    </row>
    <row r="444" spans="1:9" x14ac:dyDescent="0.3">
      <c r="A444">
        <v>1</v>
      </c>
      <c r="B444">
        <v>6</v>
      </c>
      <c r="C444">
        <v>30</v>
      </c>
      <c r="D444" s="16">
        <v>7.2</v>
      </c>
      <c r="E444">
        <v>4.1669299559051618</v>
      </c>
      <c r="F444" s="6">
        <v>7.6656000000000004</v>
      </c>
      <c r="G444" s="7">
        <v>2.62</v>
      </c>
      <c r="H444" s="11">
        <v>9.1083599999999994E-3</v>
      </c>
      <c r="I444">
        <v>8.5512575002284201</v>
      </c>
    </row>
    <row r="445" spans="1:9" x14ac:dyDescent="0.3">
      <c r="A445">
        <v>1</v>
      </c>
      <c r="B445">
        <v>6</v>
      </c>
      <c r="C445">
        <v>30</v>
      </c>
      <c r="D445" s="16">
        <v>10.8</v>
      </c>
      <c r="E445">
        <v>7.936252091590366</v>
      </c>
      <c r="F445" s="6">
        <v>7.6656000000000004</v>
      </c>
      <c r="G445" s="7">
        <v>4.99</v>
      </c>
      <c r="H445" s="11">
        <v>9.1083599999999994E-3</v>
      </c>
      <c r="I445">
        <v>3.175457056949865</v>
      </c>
    </row>
    <row r="446" spans="1:9" x14ac:dyDescent="0.3">
      <c r="A446">
        <v>1</v>
      </c>
      <c r="B446">
        <v>6</v>
      </c>
      <c r="C446">
        <v>30</v>
      </c>
      <c r="D446" s="16">
        <v>14.4</v>
      </c>
      <c r="E446">
        <v>10.290090387292519</v>
      </c>
      <c r="F446" s="6">
        <v>7.6656000000000004</v>
      </c>
      <c r="G446" s="7">
        <v>6.47</v>
      </c>
      <c r="H446" s="11">
        <v>9.1083599999999994E-3</v>
      </c>
      <c r="I446">
        <v>1.455530812508028</v>
      </c>
    </row>
    <row r="447" spans="1:9" x14ac:dyDescent="0.3">
      <c r="A447">
        <v>1</v>
      </c>
      <c r="B447">
        <v>6</v>
      </c>
      <c r="C447">
        <v>30</v>
      </c>
      <c r="D447" s="16">
        <v>18</v>
      </c>
      <c r="E447">
        <v>12.198607924348318</v>
      </c>
      <c r="F447" s="6">
        <v>7.6656000000000004</v>
      </c>
      <c r="G447" s="7">
        <v>7.67</v>
      </c>
      <c r="H447" s="11">
        <v>9.1083599999999994E-3</v>
      </c>
      <c r="I447">
        <v>0.71982506302021221</v>
      </c>
    </row>
    <row r="448" spans="1:9" x14ac:dyDescent="0.3">
      <c r="A448">
        <v>1</v>
      </c>
      <c r="B448">
        <v>6</v>
      </c>
      <c r="C448">
        <v>30</v>
      </c>
      <c r="D448" s="16">
        <v>21.6</v>
      </c>
      <c r="E448">
        <v>16.476868069915067</v>
      </c>
      <c r="F448" s="6">
        <v>7.6656000000000004</v>
      </c>
      <c r="G448" s="7">
        <v>10.36</v>
      </c>
      <c r="H448" s="11">
        <v>9.1083599999999994E-3</v>
      </c>
      <c r="I448">
        <v>7.9630391083304636E-2</v>
      </c>
    </row>
    <row r="449" spans="1:9" x14ac:dyDescent="0.3">
      <c r="A449">
        <v>1</v>
      </c>
      <c r="B449">
        <v>6</v>
      </c>
      <c r="C449">
        <v>30</v>
      </c>
      <c r="D449" s="16">
        <v>25.5</v>
      </c>
      <c r="E449">
        <v>21.168640348510575</v>
      </c>
      <c r="F449" s="6">
        <v>7.6656000000000004</v>
      </c>
      <c r="G449" s="7">
        <v>13.31</v>
      </c>
      <c r="H449" s="11">
        <v>9.1083599999999994E-3</v>
      </c>
      <c r="I449">
        <v>-0.37697990605051046</v>
      </c>
    </row>
    <row r="450" spans="1:9" x14ac:dyDescent="0.3">
      <c r="A450">
        <v>1</v>
      </c>
      <c r="B450">
        <v>1</v>
      </c>
      <c r="C450">
        <v>40</v>
      </c>
      <c r="D450" s="16">
        <v>4.0999999999999996</v>
      </c>
      <c r="E450">
        <v>0</v>
      </c>
      <c r="F450" s="6">
        <v>7.9885999999999999</v>
      </c>
      <c r="G450" s="7">
        <v>0</v>
      </c>
      <c r="H450" s="11">
        <v>1.0389860000000001E-2</v>
      </c>
      <c r="I450">
        <v>49.81664359809659</v>
      </c>
    </row>
    <row r="451" spans="1:9" x14ac:dyDescent="0.3">
      <c r="A451">
        <v>1</v>
      </c>
      <c r="B451">
        <v>1</v>
      </c>
      <c r="C451">
        <v>40</v>
      </c>
      <c r="D451" s="16">
        <v>8.1999999999999993</v>
      </c>
      <c r="E451">
        <v>2.2902210444669593</v>
      </c>
      <c r="F451" s="6">
        <v>7.9885999999999999</v>
      </c>
      <c r="G451" s="7">
        <v>1.44</v>
      </c>
      <c r="H451" s="11">
        <v>1.0389860000000001E-2</v>
      </c>
      <c r="I451">
        <v>12.232525037691065</v>
      </c>
    </row>
    <row r="452" spans="1:9" x14ac:dyDescent="0.3">
      <c r="A452">
        <v>1</v>
      </c>
      <c r="B452">
        <v>1</v>
      </c>
      <c r="C452">
        <v>40</v>
      </c>
      <c r="D452" s="16">
        <v>12.3</v>
      </c>
      <c r="E452">
        <v>5.2802318525210445</v>
      </c>
      <c r="F452" s="6">
        <v>7.9885999999999999</v>
      </c>
      <c r="G452" s="7">
        <v>3.32</v>
      </c>
      <c r="H452" s="11">
        <v>1.0389860000000001E-2</v>
      </c>
      <c r="I452">
        <v>5.0115716987706422</v>
      </c>
    </row>
    <row r="453" spans="1:9" x14ac:dyDescent="0.3">
      <c r="A453">
        <v>1</v>
      </c>
      <c r="B453">
        <v>1</v>
      </c>
      <c r="C453">
        <v>40</v>
      </c>
      <c r="D453" s="16">
        <v>16.399999999999999</v>
      </c>
      <c r="E453">
        <v>12.055469109069133</v>
      </c>
      <c r="F453" s="6">
        <v>7.9885999999999999</v>
      </c>
      <c r="G453" s="7">
        <v>7.58</v>
      </c>
      <c r="H453" s="11">
        <v>1.0389860000000001E-2</v>
      </c>
      <c r="I453">
        <v>1.5782394518502811</v>
      </c>
    </row>
    <row r="454" spans="1:9" x14ac:dyDescent="0.3">
      <c r="A454">
        <v>1</v>
      </c>
      <c r="B454">
        <v>1</v>
      </c>
      <c r="C454">
        <v>40</v>
      </c>
      <c r="D454" s="16">
        <v>20.5</v>
      </c>
      <c r="E454">
        <v>19.085175370557995</v>
      </c>
      <c r="F454" s="6">
        <v>7.9885999999999999</v>
      </c>
      <c r="G454" s="7">
        <v>12</v>
      </c>
      <c r="H454" s="11">
        <v>1.0389860000000001E-2</v>
      </c>
      <c r="I454">
        <v>-0.46995494311038188</v>
      </c>
    </row>
    <row r="455" spans="1:9" x14ac:dyDescent="0.3">
      <c r="A455">
        <v>1</v>
      </c>
      <c r="B455">
        <v>1</v>
      </c>
      <c r="C455">
        <v>40</v>
      </c>
      <c r="D455" s="16">
        <v>24.6</v>
      </c>
      <c r="E455">
        <v>28.5641458046018</v>
      </c>
      <c r="F455" s="6">
        <v>7.9885999999999999</v>
      </c>
      <c r="G455" s="7">
        <v>17.96</v>
      </c>
      <c r="H455" s="11">
        <v>1.0389860000000001E-2</v>
      </c>
      <c r="I455">
        <v>-2.4469666371423102</v>
      </c>
    </row>
    <row r="456" spans="1:9" x14ac:dyDescent="0.3">
      <c r="A456">
        <v>1</v>
      </c>
      <c r="B456">
        <v>1</v>
      </c>
      <c r="C456">
        <v>40</v>
      </c>
      <c r="D456" s="16">
        <v>29.3</v>
      </c>
      <c r="E456">
        <v>36.802579839559328</v>
      </c>
      <c r="F456" s="6">
        <v>7.9885999999999999</v>
      </c>
      <c r="G456" s="7">
        <v>23.14</v>
      </c>
      <c r="H456" s="11">
        <v>1.0389860000000001E-2</v>
      </c>
      <c r="I456">
        <v>-3.5071893939566201</v>
      </c>
    </row>
    <row r="457" spans="1:9" x14ac:dyDescent="0.3">
      <c r="A457">
        <v>1</v>
      </c>
      <c r="B457">
        <v>2</v>
      </c>
      <c r="C457">
        <v>40</v>
      </c>
      <c r="D457" s="16">
        <v>4.0999999999999996</v>
      </c>
      <c r="E457">
        <v>0.63617251235193317</v>
      </c>
      <c r="F457" s="6">
        <v>7.9885999999999999</v>
      </c>
      <c r="G457" s="7">
        <v>0.4</v>
      </c>
      <c r="H457" s="11">
        <v>1.0389860000000001E-2</v>
      </c>
      <c r="I457">
        <v>49.748237467901191</v>
      </c>
    </row>
    <row r="458" spans="1:9" x14ac:dyDescent="0.3">
      <c r="A458">
        <v>1</v>
      </c>
      <c r="B458">
        <v>2</v>
      </c>
      <c r="C458">
        <v>40</v>
      </c>
      <c r="D458" s="16">
        <v>8.1999999999999993</v>
      </c>
      <c r="E458">
        <v>3.1490539361420691</v>
      </c>
      <c r="F458" s="6">
        <v>7.9885999999999999</v>
      </c>
      <c r="G458" s="7">
        <v>1.98</v>
      </c>
      <c r="H458" s="11">
        <v>1.0389860000000001E-2</v>
      </c>
      <c r="I458">
        <v>12.035130598245978</v>
      </c>
    </row>
    <row r="459" spans="1:9" x14ac:dyDescent="0.3">
      <c r="A459">
        <v>1</v>
      </c>
      <c r="B459">
        <v>2</v>
      </c>
      <c r="C459">
        <v>40</v>
      </c>
      <c r="D459" s="16">
        <v>12.3</v>
      </c>
      <c r="E459">
        <v>6.4889596259897173</v>
      </c>
      <c r="F459" s="6">
        <v>7.9885999999999999</v>
      </c>
      <c r="G459" s="7">
        <v>4.08</v>
      </c>
      <c r="H459" s="11">
        <v>1.0389860000000001E-2</v>
      </c>
      <c r="I459">
        <v>4.7444077569519569</v>
      </c>
    </row>
    <row r="460" spans="1:9" x14ac:dyDescent="0.3">
      <c r="A460">
        <v>1</v>
      </c>
      <c r="B460">
        <v>2</v>
      </c>
      <c r="C460">
        <v>40</v>
      </c>
      <c r="D460" s="16">
        <v>16.399999999999999</v>
      </c>
      <c r="E460">
        <v>12.230416549965913</v>
      </c>
      <c r="F460" s="6">
        <v>7.9885999999999999</v>
      </c>
      <c r="G460" s="7">
        <v>7.69</v>
      </c>
      <c r="H460" s="11">
        <v>1.0389860000000001E-2</v>
      </c>
      <c r="I460">
        <v>1.5333559452529348</v>
      </c>
    </row>
    <row r="461" spans="1:9" x14ac:dyDescent="0.3">
      <c r="A461">
        <v>1</v>
      </c>
      <c r="B461">
        <v>2</v>
      </c>
      <c r="C461">
        <v>40</v>
      </c>
      <c r="D461" s="16">
        <v>20.5</v>
      </c>
      <c r="E461">
        <v>19.864486698189111</v>
      </c>
      <c r="F461" s="6">
        <v>7.9885999999999999</v>
      </c>
      <c r="G461" s="7">
        <v>12.49</v>
      </c>
      <c r="H461" s="11">
        <v>1.0389860000000001E-2</v>
      </c>
      <c r="I461">
        <v>-0.6751750438498243</v>
      </c>
    </row>
    <row r="462" spans="1:9" x14ac:dyDescent="0.3">
      <c r="A462">
        <v>1</v>
      </c>
      <c r="B462">
        <v>2</v>
      </c>
      <c r="C462">
        <v>40</v>
      </c>
      <c r="D462" s="16">
        <v>24.6</v>
      </c>
      <c r="E462">
        <v>24.444928787123029</v>
      </c>
      <c r="F462" s="6">
        <v>7.9885999999999999</v>
      </c>
      <c r="G462" s="7">
        <v>15.37</v>
      </c>
      <c r="H462" s="11">
        <v>1.0389860000000001E-2</v>
      </c>
      <c r="I462">
        <v>-1.4217689518509065</v>
      </c>
    </row>
    <row r="463" spans="1:9" x14ac:dyDescent="0.3">
      <c r="A463">
        <v>1</v>
      </c>
      <c r="B463">
        <v>2</v>
      </c>
      <c r="C463">
        <v>40</v>
      </c>
      <c r="D463" s="16">
        <v>29.4</v>
      </c>
      <c r="E463">
        <v>29.582021824364894</v>
      </c>
      <c r="F463" s="6">
        <v>7.9885999999999999</v>
      </c>
      <c r="G463" s="7">
        <v>18.600000000000001</v>
      </c>
      <c r="H463" s="11">
        <v>1.0389860000000001E-2</v>
      </c>
      <c r="I463">
        <v>-1.9077337416331761</v>
      </c>
    </row>
    <row r="464" spans="1:9" x14ac:dyDescent="0.3">
      <c r="A464">
        <v>1</v>
      </c>
      <c r="B464">
        <v>4</v>
      </c>
      <c r="C464">
        <v>40</v>
      </c>
      <c r="D464" s="16">
        <v>4.0999999999999996</v>
      </c>
      <c r="E464">
        <v>0.63617251235193317</v>
      </c>
      <c r="F464" s="6">
        <v>7.9885999999999999</v>
      </c>
      <c r="G464" s="7">
        <v>0.4</v>
      </c>
      <c r="H464" s="11">
        <v>1.0389880000000001E-2</v>
      </c>
      <c r="I464">
        <v>49.748237467901191</v>
      </c>
    </row>
    <row r="465" spans="1:9" x14ac:dyDescent="0.3">
      <c r="A465">
        <v>1</v>
      </c>
      <c r="B465">
        <v>4</v>
      </c>
      <c r="C465">
        <v>40</v>
      </c>
      <c r="D465" s="16">
        <v>8.1999999999999993</v>
      </c>
      <c r="E465">
        <v>3.117245310524472</v>
      </c>
      <c r="F465" s="6">
        <v>7.9885999999999999</v>
      </c>
      <c r="G465" s="7">
        <v>1.96</v>
      </c>
      <c r="H465" s="11">
        <v>1.0389880000000001E-2</v>
      </c>
      <c r="I465">
        <v>12.043553103026285</v>
      </c>
    </row>
    <row r="466" spans="1:9" x14ac:dyDescent="0.3">
      <c r="A466">
        <v>1</v>
      </c>
      <c r="B466">
        <v>4</v>
      </c>
      <c r="C466">
        <v>40</v>
      </c>
      <c r="D466" s="16">
        <v>12.3</v>
      </c>
      <c r="E466">
        <v>6.4412466875633232</v>
      </c>
      <c r="F466" s="6">
        <v>7.9885999999999999</v>
      </c>
      <c r="G466" s="7">
        <v>4.05</v>
      </c>
      <c r="H466" s="11">
        <v>1.0389880000000001E-2</v>
      </c>
      <c r="I466">
        <v>4.7559940452538028</v>
      </c>
    </row>
    <row r="467" spans="1:9" x14ac:dyDescent="0.3">
      <c r="A467">
        <v>1</v>
      </c>
      <c r="B467">
        <v>4</v>
      </c>
      <c r="C467">
        <v>40</v>
      </c>
      <c r="D467" s="16">
        <v>16.399999999999999</v>
      </c>
      <c r="E467">
        <v>10.942167212453249</v>
      </c>
      <c r="F467" s="6">
        <v>7.9885999999999999</v>
      </c>
      <c r="G467" s="7">
        <v>6.88</v>
      </c>
      <c r="H467" s="11">
        <v>1.0389880000000001E-2</v>
      </c>
      <c r="I467">
        <v>1.8487108775681704</v>
      </c>
    </row>
    <row r="468" spans="1:9" x14ac:dyDescent="0.3">
      <c r="A468">
        <v>1</v>
      </c>
      <c r="B468">
        <v>4</v>
      </c>
      <c r="C468">
        <v>40</v>
      </c>
      <c r="D468" s="16">
        <v>20.5</v>
      </c>
      <c r="E468">
        <v>11.753287165701963</v>
      </c>
      <c r="F468" s="6">
        <v>7.9885999999999999</v>
      </c>
      <c r="G468" s="7">
        <v>7.39</v>
      </c>
      <c r="H468" s="11">
        <v>1.0389880000000001E-2</v>
      </c>
      <c r="I468">
        <v>1.0587151382128708</v>
      </c>
    </row>
    <row r="469" spans="1:9" x14ac:dyDescent="0.3">
      <c r="A469">
        <v>1</v>
      </c>
      <c r="B469">
        <v>4</v>
      </c>
      <c r="C469">
        <v>40</v>
      </c>
      <c r="D469" s="16">
        <v>24.6</v>
      </c>
      <c r="E469">
        <v>13.645900389948967</v>
      </c>
      <c r="F469" s="6">
        <v>7.9885999999999999</v>
      </c>
      <c r="G469" s="7">
        <v>8.58</v>
      </c>
      <c r="H469" s="11">
        <v>1.0389880000000001E-2</v>
      </c>
      <c r="I469">
        <v>0.50952255777415367</v>
      </c>
    </row>
    <row r="470" spans="1:9" x14ac:dyDescent="0.3">
      <c r="A470">
        <v>1</v>
      </c>
      <c r="B470">
        <v>4</v>
      </c>
      <c r="C470">
        <v>40</v>
      </c>
      <c r="D470" s="16">
        <v>29.5</v>
      </c>
      <c r="E470">
        <v>19.450974565160358</v>
      </c>
      <c r="F470" s="6">
        <v>7.9885999999999999</v>
      </c>
      <c r="G470" s="7">
        <v>12.23</v>
      </c>
      <c r="H470" s="11">
        <v>1.0389880000000001E-2</v>
      </c>
      <c r="I470">
        <v>-0.27296816551134173</v>
      </c>
    </row>
    <row r="471" spans="1:9" x14ac:dyDescent="0.3">
      <c r="A471">
        <v>1</v>
      </c>
      <c r="B471">
        <v>6</v>
      </c>
      <c r="C471">
        <v>40</v>
      </c>
      <c r="D471" s="16">
        <v>4.0999999999999996</v>
      </c>
      <c r="E471">
        <v>0</v>
      </c>
      <c r="F471" s="6">
        <v>7.9885999999999999</v>
      </c>
      <c r="G471" s="7">
        <v>0</v>
      </c>
      <c r="H471" s="11">
        <v>1.0389840000000001E-2</v>
      </c>
      <c r="I471">
        <v>49.81664359809659</v>
      </c>
    </row>
    <row r="472" spans="1:9" x14ac:dyDescent="0.3">
      <c r="A472">
        <v>1</v>
      </c>
      <c r="B472">
        <v>6</v>
      </c>
      <c r="C472">
        <v>40</v>
      </c>
      <c r="D472" s="16">
        <v>8.1999999999999993</v>
      </c>
      <c r="E472">
        <v>2.115273603570178</v>
      </c>
      <c r="F472" s="6">
        <v>7.9885999999999999</v>
      </c>
      <c r="G472" s="7">
        <v>1.33</v>
      </c>
      <c r="H472" s="11">
        <v>1.0389840000000001E-2</v>
      </c>
      <c r="I472">
        <v>12.26509276873878</v>
      </c>
    </row>
    <row r="473" spans="1:9" x14ac:dyDescent="0.3">
      <c r="A473">
        <v>1</v>
      </c>
      <c r="B473">
        <v>6</v>
      </c>
      <c r="C473">
        <v>40</v>
      </c>
      <c r="D473" s="16">
        <v>12.3</v>
      </c>
      <c r="E473">
        <v>3.3399056898476487</v>
      </c>
      <c r="F473" s="6">
        <v>7.9885999999999999</v>
      </c>
      <c r="G473" s="7">
        <v>2.1</v>
      </c>
      <c r="H473" s="11">
        <v>1.0389840000000001E-2</v>
      </c>
      <c r="I473">
        <v>5.3256888482873332</v>
      </c>
    </row>
    <row r="474" spans="1:9" x14ac:dyDescent="0.3">
      <c r="A474">
        <v>1</v>
      </c>
      <c r="B474">
        <v>6</v>
      </c>
      <c r="C474">
        <v>40</v>
      </c>
      <c r="D474" s="16">
        <v>16.399999999999999</v>
      </c>
      <c r="E474">
        <v>3.8806523253467922</v>
      </c>
      <c r="F474" s="6">
        <v>7.9885999999999999</v>
      </c>
      <c r="G474" s="7">
        <v>2.44</v>
      </c>
      <c r="H474" s="11">
        <v>1.0389840000000001E-2</v>
      </c>
      <c r="I474">
        <v>2.9544532183453698</v>
      </c>
    </row>
    <row r="475" spans="1:9" x14ac:dyDescent="0.3">
      <c r="A475">
        <v>1</v>
      </c>
      <c r="B475">
        <v>6</v>
      </c>
      <c r="C475">
        <v>40</v>
      </c>
      <c r="D475" s="16">
        <v>20.5</v>
      </c>
      <c r="E475">
        <v>7.2682709536208367</v>
      </c>
      <c r="F475" s="6">
        <v>7.9885999999999999</v>
      </c>
      <c r="G475" s="7">
        <v>4.57</v>
      </c>
      <c r="H475" s="11">
        <v>1.0389840000000001E-2</v>
      </c>
      <c r="I475">
        <v>1.6355019467944083</v>
      </c>
    </row>
    <row r="476" spans="1:9" x14ac:dyDescent="0.3">
      <c r="A476">
        <v>1</v>
      </c>
      <c r="B476">
        <v>6</v>
      </c>
      <c r="C476">
        <v>40</v>
      </c>
      <c r="D476" s="16">
        <v>24.6</v>
      </c>
      <c r="E476">
        <v>9.5584919980877938</v>
      </c>
      <c r="F476" s="6">
        <v>7.9885999999999999</v>
      </c>
      <c r="G476" s="7">
        <v>6.01</v>
      </c>
      <c r="H476" s="11">
        <v>1.0389840000000001E-2</v>
      </c>
      <c r="I476">
        <v>0.95483102646262874</v>
      </c>
    </row>
    <row r="477" spans="1:9" x14ac:dyDescent="0.3">
      <c r="A477">
        <v>1</v>
      </c>
      <c r="B477">
        <v>6</v>
      </c>
      <c r="C477">
        <v>40</v>
      </c>
      <c r="D477" s="16">
        <v>29.1</v>
      </c>
      <c r="E477">
        <v>13.232388256920208</v>
      </c>
      <c r="F477" s="6">
        <v>7.9885999999999999</v>
      </c>
      <c r="G477" s="7">
        <v>8.32</v>
      </c>
      <c r="H477" s="11">
        <v>1.0389840000000001E-2</v>
      </c>
      <c r="I477">
        <v>0.40141471331746365</v>
      </c>
    </row>
    <row r="478" spans="1:9" x14ac:dyDescent="0.3">
      <c r="A478">
        <v>1</v>
      </c>
      <c r="B478">
        <v>1</v>
      </c>
      <c r="C478">
        <v>60</v>
      </c>
      <c r="D478" s="16">
        <v>4.7</v>
      </c>
      <c r="E478">
        <v>0</v>
      </c>
      <c r="F478" s="6">
        <v>7.9885999999999999</v>
      </c>
      <c r="G478" s="7">
        <v>0</v>
      </c>
      <c r="H478" s="11">
        <v>1.2535019999999999E-2</v>
      </c>
      <c r="I478">
        <v>85.296061623683187</v>
      </c>
    </row>
    <row r="479" spans="1:9" x14ac:dyDescent="0.3">
      <c r="A479">
        <v>1</v>
      </c>
      <c r="B479">
        <v>1</v>
      </c>
      <c r="C479">
        <v>60</v>
      </c>
      <c r="D479" s="16">
        <v>9.4</v>
      </c>
      <c r="E479">
        <v>1.6222399064974293</v>
      </c>
      <c r="F479" s="6">
        <v>7.9885999999999999</v>
      </c>
      <c r="G479" s="7">
        <v>1.02</v>
      </c>
      <c r="H479" s="11">
        <v>1.2535019999999999E-2</v>
      </c>
      <c r="I479">
        <v>21.133614106670137</v>
      </c>
    </row>
    <row r="480" spans="1:9" x14ac:dyDescent="0.3">
      <c r="A480">
        <v>1</v>
      </c>
      <c r="B480">
        <v>1</v>
      </c>
      <c r="C480">
        <v>60</v>
      </c>
      <c r="D480" s="16">
        <v>14.1</v>
      </c>
      <c r="E480">
        <v>4.3100687711843468</v>
      </c>
      <c r="F480" s="6">
        <v>7.9885999999999999</v>
      </c>
      <c r="G480" s="7">
        <v>2.71</v>
      </c>
      <c r="H480" s="11">
        <v>1.2535019999999999E-2</v>
      </c>
      <c r="I480">
        <v>8.8799946373160843</v>
      </c>
    </row>
    <row r="481" spans="1:9" x14ac:dyDescent="0.3">
      <c r="A481">
        <v>1</v>
      </c>
      <c r="B481">
        <v>1</v>
      </c>
      <c r="C481">
        <v>60</v>
      </c>
      <c r="D481" s="16">
        <v>18.8</v>
      </c>
      <c r="E481">
        <v>7.3000795792384325</v>
      </c>
      <c r="F481" s="6">
        <v>7.9885999999999999</v>
      </c>
      <c r="G481" s="7">
        <v>4.59</v>
      </c>
      <c r="H481" s="11">
        <v>1.2535019999999999E-2</v>
      </c>
      <c r="I481">
        <v>4.3670972740237364</v>
      </c>
    </row>
    <row r="482" spans="1:9" x14ac:dyDescent="0.3">
      <c r="A482">
        <v>1</v>
      </c>
      <c r="B482">
        <v>1</v>
      </c>
      <c r="C482">
        <v>60</v>
      </c>
      <c r="D482" s="16">
        <v>23.5</v>
      </c>
      <c r="E482">
        <v>10.830837022791659</v>
      </c>
      <c r="F482" s="6">
        <v>7.9885999999999999</v>
      </c>
      <c r="G482" s="7">
        <v>6.81</v>
      </c>
      <c r="H482" s="11">
        <v>1.2535019999999999E-2</v>
      </c>
      <c r="I482">
        <v>2.053892492755323</v>
      </c>
    </row>
    <row r="483" spans="1:9" x14ac:dyDescent="0.3">
      <c r="A483">
        <v>1</v>
      </c>
      <c r="B483">
        <v>1</v>
      </c>
      <c r="C483">
        <v>60</v>
      </c>
      <c r="D483" s="16">
        <v>28.2</v>
      </c>
      <c r="E483">
        <v>15.252235983637595</v>
      </c>
      <c r="F483" s="6">
        <v>7.9885999999999999</v>
      </c>
      <c r="G483" s="7">
        <v>9.59</v>
      </c>
      <c r="H483" s="11">
        <v>1.2535019999999999E-2</v>
      </c>
      <c r="I483">
        <v>0.49923746194897489</v>
      </c>
    </row>
    <row r="484" spans="1:9" x14ac:dyDescent="0.3">
      <c r="A484">
        <v>1</v>
      </c>
      <c r="B484">
        <v>1</v>
      </c>
      <c r="C484">
        <v>60</v>
      </c>
      <c r="D484" s="16">
        <v>33.299999999999997</v>
      </c>
      <c r="E484">
        <v>16.397346505871077</v>
      </c>
      <c r="F484" s="6">
        <v>7.9885999999999999</v>
      </c>
      <c r="G484" s="7">
        <v>10.31</v>
      </c>
      <c r="H484" s="11">
        <v>1.2535019999999999E-2</v>
      </c>
      <c r="I484">
        <v>0.14908755867476359</v>
      </c>
    </row>
    <row r="485" spans="1:9" x14ac:dyDescent="0.3">
      <c r="A485">
        <v>1</v>
      </c>
      <c r="B485">
        <v>2</v>
      </c>
      <c r="C485">
        <v>60</v>
      </c>
      <c r="D485" s="16">
        <v>4.7</v>
      </c>
      <c r="E485">
        <v>0.63617251235193317</v>
      </c>
      <c r="F485" s="6">
        <v>7.9885999999999999</v>
      </c>
      <c r="G485" s="7">
        <v>0.4</v>
      </c>
      <c r="H485" s="11">
        <v>1.2535019999999999E-2</v>
      </c>
      <c r="I485">
        <v>85.178936641445162</v>
      </c>
    </row>
    <row r="486" spans="1:9" x14ac:dyDescent="0.3">
      <c r="A486">
        <v>1</v>
      </c>
      <c r="B486">
        <v>2</v>
      </c>
      <c r="C486">
        <v>60</v>
      </c>
      <c r="D486" s="16">
        <v>9.4</v>
      </c>
      <c r="E486">
        <v>1.7335700961590177</v>
      </c>
      <c r="F486" s="6">
        <v>7.9885999999999999</v>
      </c>
      <c r="G486" s="7">
        <v>1.0900000000000001</v>
      </c>
      <c r="H486" s="11">
        <v>1.2535019999999999E-2</v>
      </c>
      <c r="I486">
        <v>21.106583856863022</v>
      </c>
    </row>
    <row r="487" spans="1:9" x14ac:dyDescent="0.3">
      <c r="A487">
        <v>1</v>
      </c>
      <c r="B487">
        <v>2</v>
      </c>
      <c r="C487">
        <v>60</v>
      </c>
      <c r="D487" s="16">
        <v>14.1</v>
      </c>
      <c r="E487">
        <v>4.5645377761251202</v>
      </c>
      <c r="F487" s="6">
        <v>7.9885999999999999</v>
      </c>
      <c r="G487" s="7">
        <v>2.87</v>
      </c>
      <c r="H487" s="11">
        <v>1.2535019999999999E-2</v>
      </c>
      <c r="I487">
        <v>8.8073771483285217</v>
      </c>
    </row>
    <row r="488" spans="1:9" x14ac:dyDescent="0.3">
      <c r="A488">
        <v>1</v>
      </c>
      <c r="B488">
        <v>2</v>
      </c>
      <c r="C488">
        <v>60</v>
      </c>
      <c r="D488" s="16">
        <v>18.8</v>
      </c>
      <c r="E488">
        <v>6.7593329437392899</v>
      </c>
      <c r="F488" s="6">
        <v>7.9885999999999999</v>
      </c>
      <c r="G488" s="7">
        <v>4.25</v>
      </c>
      <c r="H488" s="11">
        <v>1.2535019999999999E-2</v>
      </c>
      <c r="I488">
        <v>4.5046093234825451</v>
      </c>
    </row>
    <row r="489" spans="1:9" x14ac:dyDescent="0.3">
      <c r="A489">
        <v>1</v>
      </c>
      <c r="B489">
        <v>2</v>
      </c>
      <c r="C489">
        <v>60</v>
      </c>
      <c r="D489" s="16">
        <v>23.5</v>
      </c>
      <c r="E489">
        <v>8.2861469733839304</v>
      </c>
      <c r="F489" s="6">
        <v>7.9885999999999999</v>
      </c>
      <c r="G489" s="7">
        <v>5.21</v>
      </c>
      <c r="H489" s="11">
        <v>1.2535019999999999E-2</v>
      </c>
      <c r="I489">
        <v>2.6170294073556586</v>
      </c>
    </row>
    <row r="490" spans="1:9" x14ac:dyDescent="0.3">
      <c r="A490">
        <v>1</v>
      </c>
      <c r="B490">
        <v>2</v>
      </c>
      <c r="C490">
        <v>60</v>
      </c>
      <c r="D490" s="16">
        <v>28.2</v>
      </c>
      <c r="E490">
        <v>10.719506833130072</v>
      </c>
      <c r="F490" s="6">
        <v>7.9885999999999999</v>
      </c>
      <c r="G490" s="7">
        <v>6.74</v>
      </c>
      <c r="H490" s="11">
        <v>1.2535019999999999E-2</v>
      </c>
      <c r="I490">
        <v>1.4456012181725761</v>
      </c>
    </row>
    <row r="491" spans="1:9" x14ac:dyDescent="0.3">
      <c r="A491">
        <v>1</v>
      </c>
      <c r="B491">
        <v>2</v>
      </c>
      <c r="C491">
        <v>60</v>
      </c>
      <c r="D491" s="16">
        <v>33.299999999999997</v>
      </c>
      <c r="E491">
        <v>12.246320862774713</v>
      </c>
      <c r="F491" s="6">
        <v>7.9885999999999999</v>
      </c>
      <c r="G491" s="7">
        <v>7.7</v>
      </c>
      <c r="H491" s="11">
        <v>1.2535019999999999E-2</v>
      </c>
      <c r="I491">
        <v>0.83456161822528951</v>
      </c>
    </row>
    <row r="492" spans="1:9" x14ac:dyDescent="0.3">
      <c r="A492">
        <v>1</v>
      </c>
      <c r="B492">
        <v>4</v>
      </c>
      <c r="C492">
        <v>60</v>
      </c>
      <c r="D492" s="16">
        <v>4.7</v>
      </c>
      <c r="E492">
        <v>0</v>
      </c>
      <c r="F492" s="6">
        <v>7.9885999999999999</v>
      </c>
      <c r="G492" s="7">
        <v>0</v>
      </c>
      <c r="H492" s="11">
        <v>1.2535040000000001E-2</v>
      </c>
      <c r="I492">
        <v>85.296061623683187</v>
      </c>
    </row>
    <row r="493" spans="1:9" x14ac:dyDescent="0.3">
      <c r="A493">
        <v>1</v>
      </c>
      <c r="B493">
        <v>4</v>
      </c>
      <c r="C493">
        <v>60</v>
      </c>
      <c r="D493" s="16">
        <v>9.4</v>
      </c>
      <c r="E493">
        <v>0</v>
      </c>
      <c r="F493" s="6">
        <v>7.9885999999999999</v>
      </c>
      <c r="G493" s="7">
        <v>0</v>
      </c>
      <c r="H493" s="11">
        <v>1.2535040000000001E-2</v>
      </c>
      <c r="I493">
        <v>21.324015405920797</v>
      </c>
    </row>
    <row r="494" spans="1:9" x14ac:dyDescent="0.3">
      <c r="A494">
        <v>1</v>
      </c>
      <c r="B494">
        <v>4</v>
      </c>
      <c r="C494">
        <v>60</v>
      </c>
      <c r="D494" s="16">
        <v>14.1</v>
      </c>
      <c r="E494">
        <v>0.63617251235193317</v>
      </c>
      <c r="F494" s="6">
        <v>7.9885999999999999</v>
      </c>
      <c r="G494" s="7">
        <v>0.4</v>
      </c>
      <c r="H494" s="11">
        <v>1.2535040000000001E-2</v>
      </c>
      <c r="I494">
        <v>9.4643262934939099</v>
      </c>
    </row>
    <row r="495" spans="1:9" x14ac:dyDescent="0.3">
      <c r="A495">
        <v>1</v>
      </c>
      <c r="B495">
        <v>4</v>
      </c>
      <c r="C495">
        <v>60</v>
      </c>
      <c r="D495" s="16">
        <v>18.8</v>
      </c>
      <c r="E495">
        <v>1.6699528449238243</v>
      </c>
      <c r="F495" s="6">
        <v>7.9885999999999999</v>
      </c>
      <c r="G495" s="7">
        <v>1.05</v>
      </c>
      <c r="H495" s="11">
        <v>1.2535040000000001E-2</v>
      </c>
      <c r="I495">
        <v>5.2805623308093379</v>
      </c>
    </row>
    <row r="496" spans="1:9" x14ac:dyDescent="0.3">
      <c r="A496">
        <v>1</v>
      </c>
      <c r="B496">
        <v>4</v>
      </c>
      <c r="C496">
        <v>60</v>
      </c>
      <c r="D496" s="16">
        <v>23.5</v>
      </c>
      <c r="E496">
        <v>2.2425081060405643</v>
      </c>
      <c r="F496" s="6">
        <v>7.9885999999999999</v>
      </c>
      <c r="G496" s="7">
        <v>1.41</v>
      </c>
      <c r="H496" s="11">
        <v>1.2535040000000001E-2</v>
      </c>
      <c r="I496">
        <v>3.3536284206504816</v>
      </c>
    </row>
    <row r="497" spans="1:9" x14ac:dyDescent="0.3">
      <c r="A497">
        <v>1</v>
      </c>
      <c r="B497">
        <v>4</v>
      </c>
      <c r="C497">
        <v>60</v>
      </c>
      <c r="D497" s="16">
        <v>28.2</v>
      </c>
      <c r="E497">
        <v>3.2762884386124553</v>
      </c>
      <c r="F497" s="6">
        <v>7.9885999999999999</v>
      </c>
      <c r="G497" s="7">
        <v>2.06</v>
      </c>
      <c r="H497" s="11">
        <v>1.2535040000000001E-2</v>
      </c>
      <c r="I497">
        <v>2.2830448411743234</v>
      </c>
    </row>
    <row r="498" spans="1:9" x14ac:dyDescent="0.3">
      <c r="A498">
        <v>1</v>
      </c>
      <c r="B498">
        <v>4</v>
      </c>
      <c r="C498">
        <v>60</v>
      </c>
      <c r="D498" s="16">
        <v>33.299999999999997</v>
      </c>
      <c r="E498">
        <v>3.51485313074443</v>
      </c>
      <c r="F498" s="6">
        <v>7.9885999999999999</v>
      </c>
      <c r="G498" s="7">
        <v>2.21</v>
      </c>
      <c r="H498" s="11">
        <v>1.2535040000000001E-2</v>
      </c>
      <c r="I498">
        <v>1.6279444586757834</v>
      </c>
    </row>
    <row r="499" spans="1:9" x14ac:dyDescent="0.3">
      <c r="A499">
        <v>1</v>
      </c>
      <c r="B499">
        <v>6</v>
      </c>
      <c r="C499">
        <v>60</v>
      </c>
      <c r="D499" s="16">
        <v>4.7</v>
      </c>
      <c r="E499">
        <v>0</v>
      </c>
      <c r="F499" s="6">
        <v>7.9885999999999999</v>
      </c>
      <c r="G499" s="7">
        <v>0</v>
      </c>
      <c r="H499" s="11">
        <v>1.2535020000000001E-2</v>
      </c>
      <c r="I499">
        <v>85.296061623683187</v>
      </c>
    </row>
    <row r="500" spans="1:9" x14ac:dyDescent="0.3">
      <c r="A500">
        <v>1</v>
      </c>
      <c r="B500">
        <v>6</v>
      </c>
      <c r="C500">
        <v>60</v>
      </c>
      <c r="D500" s="16">
        <v>9.4</v>
      </c>
      <c r="E500">
        <v>0</v>
      </c>
      <c r="F500" s="6">
        <v>7.9885999999999999</v>
      </c>
      <c r="G500" s="7">
        <v>0</v>
      </c>
      <c r="H500" s="11">
        <v>1.2535020000000001E-2</v>
      </c>
      <c r="I500">
        <v>21.324015405920797</v>
      </c>
    </row>
    <row r="501" spans="1:9" x14ac:dyDescent="0.3">
      <c r="A501">
        <v>1</v>
      </c>
      <c r="B501">
        <v>6</v>
      </c>
      <c r="C501">
        <v>60</v>
      </c>
      <c r="D501" s="16">
        <v>14.1</v>
      </c>
      <c r="E501">
        <v>0</v>
      </c>
      <c r="F501" s="6">
        <v>7.9885999999999999</v>
      </c>
      <c r="G501" s="7">
        <v>0</v>
      </c>
      <c r="H501" s="11">
        <v>1.2535020000000001E-2</v>
      </c>
      <c r="I501">
        <v>9.4773401804092412</v>
      </c>
    </row>
    <row r="502" spans="1:9" x14ac:dyDescent="0.3">
      <c r="A502">
        <v>1</v>
      </c>
      <c r="B502">
        <v>6</v>
      </c>
      <c r="C502">
        <v>60</v>
      </c>
      <c r="D502" s="16">
        <v>18.8</v>
      </c>
      <c r="E502">
        <v>0</v>
      </c>
      <c r="F502" s="6">
        <v>7.9885999999999999</v>
      </c>
      <c r="G502" s="7">
        <v>0</v>
      </c>
      <c r="H502" s="11">
        <v>1.2535020000000001E-2</v>
      </c>
      <c r="I502">
        <v>5.3310038514801992</v>
      </c>
    </row>
    <row r="503" spans="1:9" x14ac:dyDescent="0.3">
      <c r="A503">
        <v>1</v>
      </c>
      <c r="B503">
        <v>6</v>
      </c>
      <c r="C503">
        <v>60</v>
      </c>
      <c r="D503" s="16">
        <v>23.5</v>
      </c>
      <c r="E503">
        <v>0</v>
      </c>
      <c r="F503" s="6">
        <v>7.9885999999999999</v>
      </c>
      <c r="G503" s="7">
        <v>0</v>
      </c>
      <c r="H503" s="11">
        <v>1.2535020000000001E-2</v>
      </c>
      <c r="I503">
        <v>3.4118424649473273</v>
      </c>
    </row>
    <row r="504" spans="1:9" x14ac:dyDescent="0.3">
      <c r="A504">
        <v>1</v>
      </c>
      <c r="B504">
        <v>6</v>
      </c>
      <c r="C504">
        <v>60</v>
      </c>
      <c r="D504" s="16">
        <v>28.2</v>
      </c>
      <c r="E504">
        <v>0</v>
      </c>
      <c r="F504" s="6">
        <v>7.9885999999999999</v>
      </c>
      <c r="G504" s="7">
        <v>0</v>
      </c>
      <c r="H504" s="11">
        <v>1.2535020000000001E-2</v>
      </c>
      <c r="I504">
        <v>2.3693350451023103</v>
      </c>
    </row>
    <row r="505" spans="1:9" x14ac:dyDescent="0.3">
      <c r="A505">
        <v>1</v>
      </c>
      <c r="B505">
        <v>6</v>
      </c>
      <c r="C505">
        <v>60</v>
      </c>
      <c r="D505" s="16">
        <v>33.299999999999997</v>
      </c>
      <c r="E505">
        <v>0</v>
      </c>
      <c r="F505" s="6">
        <v>7.9885999999999999</v>
      </c>
      <c r="G505" s="7">
        <v>0</v>
      </c>
      <c r="H505" s="11">
        <v>1.2535020000000001E-2</v>
      </c>
      <c r="I505">
        <v>1.6991676372473032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CF1CA-8CFE-4BE9-B613-7DAD4FAEFD63}">
  <dimension ref="A1:H506"/>
  <sheetViews>
    <sheetView topLeftCell="A472" zoomScaleNormal="100" workbookViewId="0">
      <selection activeCell="A472" sqref="A1:XFD1048576"/>
    </sheetView>
  </sheetViews>
  <sheetFormatPr defaultColWidth="13.44140625" defaultRowHeight="14.4" x14ac:dyDescent="0.3"/>
  <sheetData>
    <row r="1" spans="1:8" x14ac:dyDescent="0.3">
      <c r="A1" t="s">
        <v>18</v>
      </c>
      <c r="B1" t="s">
        <v>0</v>
      </c>
      <c r="C1" s="3" t="s">
        <v>5</v>
      </c>
      <c r="D1" s="1" t="s">
        <v>6</v>
      </c>
      <c r="E1" t="s">
        <v>25</v>
      </c>
      <c r="F1" t="s">
        <v>23</v>
      </c>
      <c r="H1" t="s">
        <v>9</v>
      </c>
    </row>
    <row r="2" spans="1:8" x14ac:dyDescent="0.3">
      <c r="A2" s="14" t="s">
        <v>12</v>
      </c>
      <c r="B2" t="s">
        <v>16</v>
      </c>
      <c r="C2" s="3" t="s">
        <v>12</v>
      </c>
      <c r="D2" s="1" t="s">
        <v>12</v>
      </c>
      <c r="E2" t="s">
        <v>12</v>
      </c>
      <c r="F2" t="s">
        <v>12</v>
      </c>
      <c r="H2" t="s">
        <v>12</v>
      </c>
    </row>
    <row r="3" spans="1:8" x14ac:dyDescent="0.3">
      <c r="A3">
        <v>0.6</v>
      </c>
      <c r="B3">
        <v>10</v>
      </c>
      <c r="C3" s="8">
        <v>4.0000000000000001E-3</v>
      </c>
      <c r="D3" s="9">
        <f t="shared" ref="D3:D66" si="0">(A3)/((9.81*B3*10^-2))^(1/2)</f>
        <v>0.60578253281538263</v>
      </c>
      <c r="E3">
        <v>0</v>
      </c>
      <c r="F3">
        <v>0</v>
      </c>
      <c r="H3">
        <v>19.936623459420002</v>
      </c>
    </row>
    <row r="4" spans="1:8" x14ac:dyDescent="0.3">
      <c r="A4">
        <v>0.6</v>
      </c>
      <c r="B4">
        <v>10</v>
      </c>
      <c r="C4" s="8">
        <v>4.0000000000000001E-3</v>
      </c>
      <c r="D4" s="9">
        <f t="shared" si="0"/>
        <v>0.60578253281538263</v>
      </c>
      <c r="E4">
        <v>0.34580250000000001</v>
      </c>
      <c r="F4">
        <v>1.0834813100993861</v>
      </c>
      <c r="H4">
        <v>4.7808709375443756</v>
      </c>
    </row>
    <row r="5" spans="1:8" x14ac:dyDescent="0.3">
      <c r="A5">
        <v>0.6</v>
      </c>
      <c r="B5">
        <v>10</v>
      </c>
      <c r="C5" s="8">
        <v>4.0000000000000001E-3</v>
      </c>
      <c r="D5" s="9">
        <f t="shared" si="0"/>
        <v>0.60578253281538263</v>
      </c>
      <c r="E5">
        <v>0.72121500000000005</v>
      </c>
      <c r="F5">
        <v>2.2597377782500958</v>
      </c>
      <c r="H5">
        <v>1.3309235547975002</v>
      </c>
    </row>
    <row r="6" spans="1:8" x14ac:dyDescent="0.3">
      <c r="A6">
        <v>0.6</v>
      </c>
      <c r="B6">
        <v>10</v>
      </c>
      <c r="C6" s="8">
        <v>4.0000000000000001E-3</v>
      </c>
      <c r="D6" s="9">
        <f t="shared" si="0"/>
        <v>0.60578253281538263</v>
      </c>
      <c r="E6">
        <v>0.83198812499999997</v>
      </c>
      <c r="F6">
        <v>2.606816271317101</v>
      </c>
      <c r="H6">
        <v>6.9291757974023468E-2</v>
      </c>
    </row>
    <row r="7" spans="1:8" x14ac:dyDescent="0.3">
      <c r="A7">
        <v>0.6</v>
      </c>
      <c r="B7">
        <v>10</v>
      </c>
      <c r="C7" s="8">
        <v>4.0000000000000001E-3</v>
      </c>
      <c r="D7" s="9">
        <f t="shared" si="0"/>
        <v>0.60578253281538263</v>
      </c>
      <c r="E7">
        <v>0.93588749999999987</v>
      </c>
      <c r="F7">
        <v>2.9323576741221915</v>
      </c>
      <c r="H7">
        <v>-0.69154026313882477</v>
      </c>
    </row>
    <row r="8" spans="1:8" x14ac:dyDescent="0.3">
      <c r="A8">
        <v>0.6</v>
      </c>
      <c r="B8">
        <v>10</v>
      </c>
      <c r="C8" s="8">
        <v>4.0000000000000001E-3</v>
      </c>
      <c r="D8" s="9">
        <f t="shared" si="0"/>
        <v>0.60578253281538263</v>
      </c>
      <c r="E8">
        <v>0.98188875000000009</v>
      </c>
      <c r="F8">
        <v>3.0764905089519266</v>
      </c>
      <c r="H8">
        <v>-1.0851842834451564</v>
      </c>
    </row>
    <row r="9" spans="1:8" x14ac:dyDescent="0.3">
      <c r="A9">
        <v>0.6</v>
      </c>
      <c r="B9">
        <v>10</v>
      </c>
      <c r="C9" s="8">
        <v>4.0000000000000001E-3</v>
      </c>
      <c r="D9" s="9">
        <f t="shared" si="0"/>
        <v>0.60578253281538263</v>
      </c>
      <c r="E9">
        <v>1.0209132467532467</v>
      </c>
      <c r="F9">
        <v>3.1987635198994382</v>
      </c>
      <c r="H9">
        <v>-1.3892638529682848</v>
      </c>
    </row>
    <row r="10" spans="1:8" x14ac:dyDescent="0.3">
      <c r="A10">
        <v>0.6</v>
      </c>
      <c r="B10">
        <v>10</v>
      </c>
      <c r="C10" s="8">
        <v>2E-3</v>
      </c>
      <c r="D10" s="9">
        <f t="shared" si="0"/>
        <v>0.60578253281538263</v>
      </c>
      <c r="E10">
        <v>0.13958999999999999</v>
      </c>
      <c r="F10">
        <v>0.19438604544086843</v>
      </c>
      <c r="H10">
        <v>19.903498333649999</v>
      </c>
    </row>
    <row r="11" spans="1:8" x14ac:dyDescent="0.3">
      <c r="A11">
        <v>0.6</v>
      </c>
      <c r="B11">
        <v>10</v>
      </c>
      <c r="C11" s="8">
        <v>2E-3</v>
      </c>
      <c r="D11" s="9">
        <f t="shared" si="0"/>
        <v>0.60578253281538263</v>
      </c>
      <c r="E11">
        <v>0.40766624999999995</v>
      </c>
      <c r="F11">
        <v>1.2773151224566153</v>
      </c>
      <c r="H11">
        <v>4.7016298534935945</v>
      </c>
    </row>
    <row r="12" spans="1:8" x14ac:dyDescent="0.3">
      <c r="A12">
        <v>0.6</v>
      </c>
      <c r="B12">
        <v>10</v>
      </c>
      <c r="C12" s="8">
        <v>2E-3</v>
      </c>
      <c r="D12" s="9">
        <f t="shared" si="0"/>
        <v>0.60578253281538263</v>
      </c>
      <c r="E12">
        <v>0.72227250000000009</v>
      </c>
      <c r="F12">
        <v>2.263051176751929</v>
      </c>
      <c r="H12">
        <v>1.3283285251443753</v>
      </c>
    </row>
    <row r="13" spans="1:8" x14ac:dyDescent="0.3">
      <c r="A13">
        <v>0.6</v>
      </c>
      <c r="B13">
        <v>10</v>
      </c>
      <c r="C13" s="8">
        <v>2E-3</v>
      </c>
      <c r="D13" s="9">
        <f t="shared" si="0"/>
        <v>0.60578253281538263</v>
      </c>
      <c r="E13">
        <v>0.89464499999999991</v>
      </c>
      <c r="F13">
        <v>2.8031351325507052</v>
      </c>
      <c r="H13">
        <v>-0.11462348302874979</v>
      </c>
    </row>
    <row r="14" spans="1:8" x14ac:dyDescent="0.3">
      <c r="A14">
        <v>0.6</v>
      </c>
      <c r="B14">
        <v>10</v>
      </c>
      <c r="C14" s="8">
        <v>2E-3</v>
      </c>
      <c r="D14" s="9">
        <f t="shared" si="0"/>
        <v>0.60578253281538263</v>
      </c>
      <c r="E14">
        <v>1.0754774999999999</v>
      </c>
      <c r="F14">
        <v>3.3697262763641453</v>
      </c>
      <c r="H14">
        <v>-1.1688432117338243</v>
      </c>
    </row>
    <row r="15" spans="1:8" x14ac:dyDescent="0.3">
      <c r="A15">
        <v>0.6</v>
      </c>
      <c r="B15">
        <v>10</v>
      </c>
      <c r="C15" s="8">
        <v>2E-3</v>
      </c>
      <c r="D15" s="9">
        <f t="shared" si="0"/>
        <v>0.60578253281538263</v>
      </c>
      <c r="E15">
        <v>1.1627212499999999</v>
      </c>
      <c r="F15">
        <v>3.6430816527653662</v>
      </c>
      <c r="H15">
        <v>-1.7444701027476561</v>
      </c>
    </row>
    <row r="16" spans="1:8" x14ac:dyDescent="0.3">
      <c r="A16">
        <v>0.6</v>
      </c>
      <c r="B16">
        <v>10</v>
      </c>
      <c r="C16" s="8">
        <v>2E-3</v>
      </c>
      <c r="D16" s="9">
        <f t="shared" si="0"/>
        <v>0.60578253281538263</v>
      </c>
      <c r="E16">
        <v>1.2067638260869564</v>
      </c>
      <c r="F16">
        <v>3.7810774973264891</v>
      </c>
      <c r="H16">
        <v>-2.0897554239697542</v>
      </c>
    </row>
    <row r="17" spans="1:8" x14ac:dyDescent="0.3">
      <c r="A17">
        <v>0.6</v>
      </c>
      <c r="B17">
        <v>10</v>
      </c>
      <c r="C17" s="8">
        <v>1E-3</v>
      </c>
      <c r="D17" s="9">
        <f t="shared" si="0"/>
        <v>0.60578253281538263</v>
      </c>
      <c r="E17">
        <v>0</v>
      </c>
      <c r="F17">
        <v>0</v>
      </c>
      <c r="H17">
        <v>19.936623459420002</v>
      </c>
    </row>
    <row r="18" spans="1:8" x14ac:dyDescent="0.3">
      <c r="A18">
        <v>0.6</v>
      </c>
      <c r="B18">
        <v>10</v>
      </c>
      <c r="C18" s="8">
        <v>1E-3</v>
      </c>
      <c r="D18" s="9">
        <f t="shared" si="0"/>
        <v>0.60578253281538263</v>
      </c>
      <c r="E18">
        <v>0.39973500000000001</v>
      </c>
      <c r="F18">
        <v>1.2524646336928682</v>
      </c>
      <c r="H18">
        <v>4.7125161454725006</v>
      </c>
    </row>
    <row r="19" spans="1:8" x14ac:dyDescent="0.3">
      <c r="A19">
        <v>0.6</v>
      </c>
      <c r="B19">
        <v>10</v>
      </c>
      <c r="C19" s="8">
        <v>1E-3</v>
      </c>
      <c r="D19" s="9">
        <f t="shared" si="0"/>
        <v>0.60578253281538263</v>
      </c>
      <c r="E19">
        <v>0.69372</v>
      </c>
      <c r="F19">
        <v>2.1735894172024377</v>
      </c>
      <c r="H19">
        <v>1.3970597391000006</v>
      </c>
    </row>
    <row r="20" spans="1:8" x14ac:dyDescent="0.3">
      <c r="A20">
        <v>0.6</v>
      </c>
      <c r="B20">
        <v>10</v>
      </c>
      <c r="C20" s="8">
        <v>1E-3</v>
      </c>
      <c r="D20" s="9">
        <f t="shared" si="0"/>
        <v>0.60578253281538263</v>
      </c>
      <c r="E20">
        <v>0.91923187499999992</v>
      </c>
      <c r="F20">
        <v>2.8801716477183219</v>
      </c>
      <c r="H20">
        <v>-0.19043934181347669</v>
      </c>
    </row>
    <row r="21" spans="1:8" x14ac:dyDescent="0.3">
      <c r="A21">
        <v>0.6</v>
      </c>
      <c r="B21">
        <v>10</v>
      </c>
      <c r="C21" s="8">
        <v>1E-3</v>
      </c>
      <c r="D21" s="9">
        <f t="shared" si="0"/>
        <v>0.60578253281538263</v>
      </c>
      <c r="E21">
        <v>1.034235</v>
      </c>
      <c r="F21">
        <v>3.2405037347926595</v>
      </c>
      <c r="H21">
        <v>-1.0209265215056997</v>
      </c>
    </row>
    <row r="22" spans="1:8" x14ac:dyDescent="0.3">
      <c r="A22">
        <v>0.6</v>
      </c>
      <c r="B22">
        <v>10</v>
      </c>
      <c r="C22" s="8">
        <v>1E-3</v>
      </c>
      <c r="D22" s="9">
        <f t="shared" si="0"/>
        <v>0.60578253281538263</v>
      </c>
      <c r="E22">
        <v>1.1769975000000001</v>
      </c>
      <c r="F22">
        <v>3.687812532540113</v>
      </c>
      <c r="H22">
        <v>-1.8012541994156259</v>
      </c>
    </row>
    <row r="23" spans="1:8" x14ac:dyDescent="0.3">
      <c r="A23">
        <v>0.6</v>
      </c>
      <c r="B23">
        <v>10</v>
      </c>
      <c r="C23" s="8">
        <v>1E-3</v>
      </c>
      <c r="D23" s="9">
        <f t="shared" si="0"/>
        <v>0.60578253281538263</v>
      </c>
      <c r="E23">
        <v>1.2887276855895198</v>
      </c>
      <c r="F23">
        <v>4.0378897235962219</v>
      </c>
      <c r="H23">
        <v>-2.4340957919532094</v>
      </c>
    </row>
    <row r="24" spans="1:8" x14ac:dyDescent="0.3">
      <c r="A24">
        <v>0.6</v>
      </c>
      <c r="B24">
        <v>10</v>
      </c>
      <c r="C24" s="8">
        <v>6.6666999999999996E-4</v>
      </c>
      <c r="D24" s="9">
        <f t="shared" si="0"/>
        <v>0.60578253281538263</v>
      </c>
      <c r="E24">
        <v>0</v>
      </c>
      <c r="F24">
        <v>0</v>
      </c>
      <c r="H24">
        <v>19.936623459420002</v>
      </c>
    </row>
    <row r="25" spans="1:8" x14ac:dyDescent="0.3">
      <c r="A25">
        <v>0.6</v>
      </c>
      <c r="B25">
        <v>10</v>
      </c>
      <c r="C25" s="8">
        <v>6.6666999999999996E-4</v>
      </c>
      <c r="D25" s="9">
        <f t="shared" si="0"/>
        <v>0.60578253281538263</v>
      </c>
      <c r="E25">
        <v>0.37752749999999996</v>
      </c>
      <c r="F25">
        <v>1.1828832651543755</v>
      </c>
      <c r="H25">
        <v>4.7418599423193752</v>
      </c>
    </row>
    <row r="26" spans="1:8" x14ac:dyDescent="0.3">
      <c r="A26">
        <v>0.6</v>
      </c>
      <c r="B26">
        <v>10</v>
      </c>
      <c r="C26" s="8">
        <v>6.6666999999999996E-4</v>
      </c>
      <c r="D26" s="9">
        <f t="shared" si="0"/>
        <v>0.60578253281538263</v>
      </c>
      <c r="E26">
        <v>0.72650250000000005</v>
      </c>
      <c r="F26">
        <v>2.276304770759261</v>
      </c>
      <c r="H26">
        <v>1.3179103841193753</v>
      </c>
    </row>
    <row r="27" spans="1:8" x14ac:dyDescent="0.3">
      <c r="A27">
        <v>0.6</v>
      </c>
      <c r="B27">
        <v>10</v>
      </c>
      <c r="C27" s="8">
        <v>6.6666999999999996E-4</v>
      </c>
      <c r="D27" s="9">
        <f t="shared" si="0"/>
        <v>0.60578253281538263</v>
      </c>
      <c r="E27">
        <v>0.86926500000000007</v>
      </c>
      <c r="F27">
        <v>2.723613568506714</v>
      </c>
      <c r="H27">
        <v>-3.8517822168750035E-2</v>
      </c>
    </row>
    <row r="28" spans="1:8" x14ac:dyDescent="0.3">
      <c r="A28">
        <v>0.6</v>
      </c>
      <c r="B28">
        <v>10</v>
      </c>
      <c r="C28" s="8">
        <v>6.6666999999999996E-4</v>
      </c>
      <c r="D28" s="9">
        <f t="shared" si="0"/>
        <v>0.60578253281538263</v>
      </c>
      <c r="E28">
        <v>1.0837259999999997</v>
      </c>
      <c r="F28">
        <v>3.3955707846784429</v>
      </c>
      <c r="H28">
        <v>-1.1991205348523992</v>
      </c>
    </row>
    <row r="29" spans="1:8" x14ac:dyDescent="0.3">
      <c r="A29">
        <v>0.6</v>
      </c>
      <c r="B29">
        <v>10</v>
      </c>
      <c r="C29" s="8">
        <v>6.6666999999999996E-4</v>
      </c>
      <c r="D29" s="9">
        <f t="shared" si="0"/>
        <v>0.60578253281538263</v>
      </c>
      <c r="E29">
        <v>1.0971562500000001</v>
      </c>
      <c r="F29">
        <v>3.4376509456517219</v>
      </c>
      <c r="H29">
        <v>-1.4925830266589064</v>
      </c>
    </row>
    <row r="30" spans="1:8" x14ac:dyDescent="0.3">
      <c r="A30">
        <v>0.6</v>
      </c>
      <c r="B30">
        <v>10</v>
      </c>
      <c r="C30" s="8">
        <v>6.6666999999999996E-4</v>
      </c>
      <c r="D30" s="9">
        <f t="shared" si="0"/>
        <v>0.60578253281538263</v>
      </c>
      <c r="E30">
        <v>1.1286896069868997</v>
      </c>
      <c r="F30">
        <v>3.5364524376594364</v>
      </c>
      <c r="H30">
        <v>-1.776401800189257</v>
      </c>
    </row>
    <row r="31" spans="1:8" x14ac:dyDescent="0.3">
      <c r="A31">
        <v>0.6</v>
      </c>
      <c r="B31">
        <v>15</v>
      </c>
      <c r="C31" s="8">
        <v>5.7099999999999998E-3</v>
      </c>
      <c r="D31" s="9">
        <f t="shared" si="0"/>
        <v>0.49461936682949792</v>
      </c>
      <c r="E31">
        <v>0</v>
      </c>
      <c r="F31">
        <v>0</v>
      </c>
      <c r="H31">
        <v>31.810235769046876</v>
      </c>
    </row>
    <row r="32" spans="1:8" x14ac:dyDescent="0.3">
      <c r="A32">
        <v>0.6</v>
      </c>
      <c r="B32">
        <v>15</v>
      </c>
      <c r="C32" s="8">
        <v>5.7099999999999998E-3</v>
      </c>
      <c r="D32" s="9">
        <f t="shared" si="0"/>
        <v>0.49461936682949792</v>
      </c>
      <c r="E32">
        <v>0.25046052631578952</v>
      </c>
      <c r="F32">
        <v>0.23251919311108668</v>
      </c>
      <c r="H32">
        <v>7.8459171343496692</v>
      </c>
    </row>
    <row r="33" spans="1:8" x14ac:dyDescent="0.3">
      <c r="A33">
        <v>0.6</v>
      </c>
      <c r="B33">
        <v>15</v>
      </c>
      <c r="C33" s="8">
        <v>5.7099999999999998E-3</v>
      </c>
      <c r="D33" s="9">
        <f t="shared" si="0"/>
        <v>0.49461936682949792</v>
      </c>
      <c r="E33">
        <v>0.27383684210526316</v>
      </c>
      <c r="F33">
        <v>0.57199721505327306</v>
      </c>
      <c r="H33">
        <v>3.4069933936450973</v>
      </c>
    </row>
    <row r="34" spans="1:8" x14ac:dyDescent="0.3">
      <c r="A34">
        <v>0.6</v>
      </c>
      <c r="B34">
        <v>15</v>
      </c>
      <c r="C34" s="8">
        <v>5.7099999999999998E-3</v>
      </c>
      <c r="D34" s="9">
        <f t="shared" si="0"/>
        <v>0.49461936682949792</v>
      </c>
      <c r="E34">
        <v>0.34062631578947372</v>
      </c>
      <c r="F34">
        <v>0.71150873091992517</v>
      </c>
      <c r="H34">
        <v>1.7908950476513024</v>
      </c>
    </row>
    <row r="35" spans="1:8" x14ac:dyDescent="0.3">
      <c r="A35">
        <v>0.6</v>
      </c>
      <c r="B35">
        <v>15</v>
      </c>
      <c r="C35" s="8">
        <v>5.7099999999999998E-3</v>
      </c>
      <c r="D35" s="9">
        <f t="shared" si="0"/>
        <v>0.49461936682949792</v>
      </c>
      <c r="E35">
        <v>0.39512652631578948</v>
      </c>
      <c r="F35">
        <v>0.82535012786711315</v>
      </c>
      <c r="H35">
        <v>1.0069969787046251</v>
      </c>
    </row>
    <row r="36" spans="1:8" x14ac:dyDescent="0.3">
      <c r="A36">
        <v>0.6</v>
      </c>
      <c r="B36">
        <v>15</v>
      </c>
      <c r="C36" s="8">
        <v>5.7099999999999998E-3</v>
      </c>
      <c r="D36" s="9">
        <f t="shared" si="0"/>
        <v>0.49461936682949792</v>
      </c>
      <c r="E36">
        <v>0.46084736842105267</v>
      </c>
      <c r="F36">
        <v>0.96262945947989875</v>
      </c>
      <c r="H36">
        <v>0.52257115538426602</v>
      </c>
    </row>
    <row r="37" spans="1:8" x14ac:dyDescent="0.3">
      <c r="A37">
        <v>0.6</v>
      </c>
      <c r="B37">
        <v>15</v>
      </c>
      <c r="C37" s="8">
        <v>5.7099999999999998E-3</v>
      </c>
      <c r="D37" s="9">
        <f t="shared" si="0"/>
        <v>0.49461936682949792</v>
      </c>
      <c r="E37">
        <v>0.5123706766917292</v>
      </c>
      <c r="F37">
        <v>1.0702526288627445</v>
      </c>
      <c r="H37">
        <v>0.20289817751557018</v>
      </c>
    </row>
    <row r="38" spans="1:8" x14ac:dyDescent="0.3">
      <c r="A38">
        <v>0.6</v>
      </c>
      <c r="B38">
        <v>15</v>
      </c>
      <c r="C38" s="8">
        <v>2.8549999999999999E-3</v>
      </c>
      <c r="D38" s="9">
        <f t="shared" si="0"/>
        <v>0.49461936682949792</v>
      </c>
      <c r="E38">
        <v>0</v>
      </c>
      <c r="F38">
        <v>0</v>
      </c>
      <c r="H38">
        <v>31.810235769046876</v>
      </c>
    </row>
    <row r="39" spans="1:8" x14ac:dyDescent="0.3">
      <c r="A39">
        <v>0.6</v>
      </c>
      <c r="B39">
        <v>15</v>
      </c>
      <c r="C39" s="8">
        <v>2.8549999999999999E-3</v>
      </c>
      <c r="D39" s="9">
        <f t="shared" si="0"/>
        <v>0.49461936682949792</v>
      </c>
      <c r="E39">
        <v>0.38270368421052636</v>
      </c>
      <c r="F39">
        <v>0.79940098591591591</v>
      </c>
      <c r="H39">
        <v>7.7035733554175909</v>
      </c>
    </row>
    <row r="40" spans="1:8" x14ac:dyDescent="0.3">
      <c r="A40">
        <v>0.6</v>
      </c>
      <c r="B40">
        <v>15</v>
      </c>
      <c r="C40" s="8">
        <v>2.8549999999999999E-3</v>
      </c>
      <c r="D40" s="9">
        <f t="shared" si="0"/>
        <v>0.49461936682949792</v>
      </c>
      <c r="E40">
        <v>0.49290631578947369</v>
      </c>
      <c r="F40">
        <v>1.0295949870958918</v>
      </c>
      <c r="H40">
        <v>3.1214443595584491</v>
      </c>
    </row>
    <row r="41" spans="1:8" x14ac:dyDescent="0.3">
      <c r="A41">
        <v>0.6</v>
      </c>
      <c r="B41">
        <v>15</v>
      </c>
      <c r="C41" s="8">
        <v>2.8549999999999999E-3</v>
      </c>
      <c r="D41" s="9">
        <f t="shared" si="0"/>
        <v>0.49461936682949792</v>
      </c>
      <c r="E41">
        <v>0.729341052631579</v>
      </c>
      <c r="F41">
        <v>1.52346575326384</v>
      </c>
      <c r="H41">
        <v>1.0838445047740723</v>
      </c>
    </row>
    <row r="42" spans="1:8" x14ac:dyDescent="0.3">
      <c r="A42">
        <v>0.6</v>
      </c>
      <c r="B42">
        <v>15</v>
      </c>
      <c r="C42" s="8">
        <v>2.8549999999999999E-3</v>
      </c>
      <c r="D42" s="9">
        <f t="shared" si="0"/>
        <v>0.49461936682949792</v>
      </c>
      <c r="E42">
        <v>0.89123873684210531</v>
      </c>
      <c r="F42">
        <v>1.8616416677246039</v>
      </c>
      <c r="H42">
        <v>-7.7911595519574259E-2</v>
      </c>
    </row>
    <row r="43" spans="1:8" x14ac:dyDescent="0.3">
      <c r="A43">
        <v>0.6</v>
      </c>
      <c r="B43">
        <v>15</v>
      </c>
      <c r="C43" s="8">
        <v>2.8549999999999999E-3</v>
      </c>
      <c r="D43" s="9">
        <f t="shared" si="0"/>
        <v>0.49461936682949792</v>
      </c>
      <c r="E43">
        <v>1.1507826315789473</v>
      </c>
      <c r="F43">
        <v>2.4037834183824138</v>
      </c>
      <c r="H43">
        <v>-1.3676934704931027</v>
      </c>
    </row>
    <row r="44" spans="1:8" x14ac:dyDescent="0.3">
      <c r="A44">
        <v>0.6</v>
      </c>
      <c r="B44">
        <v>15</v>
      </c>
      <c r="C44" s="8">
        <v>2.8549999999999999E-3</v>
      </c>
      <c r="D44" s="9">
        <f t="shared" si="0"/>
        <v>0.49461936682949792</v>
      </c>
      <c r="E44">
        <v>1.2663284210526315</v>
      </c>
      <c r="F44">
        <v>2.6451383408317217</v>
      </c>
      <c r="H44">
        <v>-2.0769105538590176</v>
      </c>
    </row>
    <row r="45" spans="1:8" x14ac:dyDescent="0.3">
      <c r="A45">
        <v>0.6</v>
      </c>
      <c r="B45">
        <v>15</v>
      </c>
      <c r="C45" s="8">
        <v>1.4274999999999999E-3</v>
      </c>
      <c r="D45" s="9">
        <f t="shared" si="0"/>
        <v>0.49461936682949792</v>
      </c>
      <c r="E45">
        <v>0</v>
      </c>
      <c r="F45">
        <v>0</v>
      </c>
      <c r="H45">
        <v>31.810235769046876</v>
      </c>
    </row>
    <row r="46" spans="1:8" x14ac:dyDescent="0.3">
      <c r="A46">
        <v>0.6</v>
      </c>
      <c r="B46">
        <v>15</v>
      </c>
      <c r="C46" s="8">
        <v>1.4274999999999999E-3</v>
      </c>
      <c r="D46" s="9">
        <f t="shared" si="0"/>
        <v>0.49461936682949792</v>
      </c>
      <c r="E46">
        <v>0.40073684210526322</v>
      </c>
      <c r="F46">
        <v>0.83706909519991202</v>
      </c>
      <c r="H46">
        <v>7.6795559140068717</v>
      </c>
    </row>
    <row r="47" spans="1:8" x14ac:dyDescent="0.3">
      <c r="A47">
        <v>0.6</v>
      </c>
      <c r="B47">
        <v>15</v>
      </c>
      <c r="C47" s="8">
        <v>1.4274999999999999E-3</v>
      </c>
      <c r="D47" s="9">
        <f t="shared" si="0"/>
        <v>0.49461936682949792</v>
      </c>
      <c r="E47">
        <v>0.54099473684210531</v>
      </c>
      <c r="F47">
        <v>1.1300432785198813</v>
      </c>
      <c r="H47">
        <v>3.0369226220107484</v>
      </c>
    </row>
    <row r="48" spans="1:8" x14ac:dyDescent="0.3">
      <c r="A48">
        <v>0.6</v>
      </c>
      <c r="B48">
        <v>15</v>
      </c>
      <c r="C48" s="8">
        <v>1.4274999999999999E-3</v>
      </c>
      <c r="D48" s="9">
        <f t="shared" si="0"/>
        <v>0.49461936682949792</v>
      </c>
      <c r="E48">
        <v>0.76039815789473686</v>
      </c>
      <c r="F48">
        <v>1.5883386081418329</v>
      </c>
      <c r="H48">
        <v>1.0051906260649239</v>
      </c>
    </row>
    <row r="49" spans="1:8" x14ac:dyDescent="0.3">
      <c r="A49">
        <v>0.6</v>
      </c>
      <c r="B49">
        <v>15</v>
      </c>
      <c r="C49" s="8">
        <v>1.4274999999999999E-3</v>
      </c>
      <c r="D49" s="9">
        <f t="shared" si="0"/>
        <v>0.49461936682949792</v>
      </c>
      <c r="E49">
        <v>1.0443202105263159</v>
      </c>
      <c r="F49">
        <v>2.1814020620909709</v>
      </c>
      <c r="H49">
        <v>-0.58161856283146318</v>
      </c>
    </row>
    <row r="50" spans="1:8" x14ac:dyDescent="0.3">
      <c r="A50">
        <v>0.6</v>
      </c>
      <c r="B50">
        <v>15</v>
      </c>
      <c r="C50" s="8">
        <v>1.4274999999999999E-3</v>
      </c>
      <c r="D50" s="9">
        <f t="shared" si="0"/>
        <v>0.49461936682949792</v>
      </c>
      <c r="E50">
        <v>1.3070700000000002</v>
      </c>
      <c r="F50">
        <v>2.7302403655103795</v>
      </c>
      <c r="H50">
        <v>-2.020716714078699</v>
      </c>
    </row>
    <row r="51" spans="1:8" x14ac:dyDescent="0.3">
      <c r="A51">
        <v>0.6</v>
      </c>
      <c r="B51">
        <v>15</v>
      </c>
      <c r="C51" s="8">
        <v>1.4274999999999999E-3</v>
      </c>
      <c r="D51" s="9">
        <f t="shared" si="0"/>
        <v>0.49461936682949792</v>
      </c>
      <c r="E51">
        <v>1.4621169924812027</v>
      </c>
      <c r="F51">
        <v>3.0541063844865359</v>
      </c>
      <c r="H51">
        <v>-2.9850478844112827</v>
      </c>
    </row>
    <row r="52" spans="1:8" x14ac:dyDescent="0.3">
      <c r="A52">
        <v>0.6</v>
      </c>
      <c r="B52">
        <v>15</v>
      </c>
      <c r="C52" s="8">
        <v>9.5166999999999995E-4</v>
      </c>
      <c r="D52" s="9">
        <f t="shared" si="0"/>
        <v>0.49461936682949792</v>
      </c>
      <c r="E52">
        <v>0</v>
      </c>
      <c r="F52">
        <v>0</v>
      </c>
      <c r="H52">
        <v>31.810235769046876</v>
      </c>
    </row>
    <row r="53" spans="1:8" x14ac:dyDescent="0.3">
      <c r="A53">
        <v>0.6</v>
      </c>
      <c r="B53">
        <v>15</v>
      </c>
      <c r="C53" s="8">
        <v>9.5166999999999995E-4</v>
      </c>
      <c r="D53" s="9">
        <f t="shared" si="0"/>
        <v>0.49461936682949792</v>
      </c>
      <c r="E53">
        <v>0.42878842105263165</v>
      </c>
      <c r="F53">
        <v>0.8956639318639058</v>
      </c>
      <c r="H53">
        <v>7.6399977752127439</v>
      </c>
    </row>
    <row r="54" spans="1:8" x14ac:dyDescent="0.3">
      <c r="A54">
        <v>0.6</v>
      </c>
      <c r="B54">
        <v>15</v>
      </c>
      <c r="C54" s="8">
        <v>9.5166999999999995E-4</v>
      </c>
      <c r="D54" s="9">
        <f t="shared" si="0"/>
        <v>0.49461936682949792</v>
      </c>
      <c r="E54">
        <v>0.53698736842105255</v>
      </c>
      <c r="F54">
        <v>1.1216725875678817</v>
      </c>
      <c r="H54">
        <v>3.0442664034708042</v>
      </c>
    </row>
    <row r="55" spans="1:8" x14ac:dyDescent="0.3">
      <c r="A55">
        <v>0.6</v>
      </c>
      <c r="B55">
        <v>15</v>
      </c>
      <c r="C55" s="8">
        <v>9.5166999999999995E-4</v>
      </c>
      <c r="D55" s="9">
        <f t="shared" si="0"/>
        <v>0.49461936682949792</v>
      </c>
      <c r="E55">
        <v>0.80447921052631577</v>
      </c>
      <c r="F55">
        <v>1.6804162086138232</v>
      </c>
      <c r="H55">
        <v>0.88792217527805439</v>
      </c>
    </row>
    <row r="56" spans="1:8" x14ac:dyDescent="0.3">
      <c r="A56">
        <v>0.6</v>
      </c>
      <c r="B56">
        <v>15</v>
      </c>
      <c r="C56" s="8">
        <v>9.5166999999999995E-4</v>
      </c>
      <c r="D56" s="9">
        <f t="shared" si="0"/>
        <v>0.49461936682949792</v>
      </c>
      <c r="E56">
        <v>1.1453058947368422</v>
      </c>
      <c r="F56">
        <v>2.3923434740813483</v>
      </c>
      <c r="H56">
        <v>-0.95752407652035432</v>
      </c>
    </row>
    <row r="57" spans="1:8" x14ac:dyDescent="0.3">
      <c r="A57">
        <v>0.6</v>
      </c>
      <c r="B57">
        <v>15</v>
      </c>
      <c r="C57" s="8">
        <v>9.5166999999999995E-4</v>
      </c>
      <c r="D57" s="9">
        <f t="shared" si="0"/>
        <v>0.49461936682949792</v>
      </c>
      <c r="E57">
        <v>1.3404647368421054</v>
      </c>
      <c r="F57">
        <v>2.7999961234437056</v>
      </c>
      <c r="H57">
        <v>-2.1710200479678954</v>
      </c>
    </row>
    <row r="58" spans="1:8" x14ac:dyDescent="0.3">
      <c r="A58">
        <v>0.6</v>
      </c>
      <c r="B58">
        <v>15</v>
      </c>
      <c r="C58" s="8">
        <v>9.5166999999999995E-4</v>
      </c>
      <c r="D58" s="9">
        <f t="shared" si="0"/>
        <v>0.49461936682949792</v>
      </c>
      <c r="E58">
        <v>1.4489499248120299</v>
      </c>
      <c r="F58">
        <v>3.0266026856442525</v>
      </c>
      <c r="H58">
        <v>-2.919886518759149</v>
      </c>
    </row>
    <row r="59" spans="1:8" x14ac:dyDescent="0.3">
      <c r="A59">
        <v>0.6</v>
      </c>
      <c r="B59">
        <v>20</v>
      </c>
      <c r="C59" s="8">
        <v>6.9699999999999996E-3</v>
      </c>
      <c r="D59" s="9">
        <f t="shared" si="0"/>
        <v>0.42835293687811932</v>
      </c>
      <c r="E59">
        <v>0</v>
      </c>
      <c r="F59">
        <v>0</v>
      </c>
      <c r="H59">
        <v>38.591876034869706</v>
      </c>
    </row>
    <row r="60" spans="1:8" x14ac:dyDescent="0.3">
      <c r="A60">
        <v>0.6</v>
      </c>
      <c r="B60">
        <v>20</v>
      </c>
      <c r="C60" s="8">
        <v>6.9699999999999996E-3</v>
      </c>
      <c r="D60" s="9">
        <f t="shared" si="0"/>
        <v>0.42835293687811932</v>
      </c>
      <c r="E60">
        <v>0.21186782608695648</v>
      </c>
      <c r="F60">
        <v>0.33191609340100858</v>
      </c>
      <c r="H60">
        <v>9.5716594499750443</v>
      </c>
    </row>
    <row r="61" spans="1:8" x14ac:dyDescent="0.3">
      <c r="A61">
        <v>0.6</v>
      </c>
      <c r="B61">
        <v>20</v>
      </c>
      <c r="C61" s="8">
        <v>6.9699999999999996E-3</v>
      </c>
      <c r="D61" s="9">
        <f t="shared" si="0"/>
        <v>0.42835293687811932</v>
      </c>
      <c r="E61">
        <v>0.30161739130434778</v>
      </c>
      <c r="F61">
        <v>0.47251943852226902</v>
      </c>
      <c r="H61">
        <v>4.1333320398433262</v>
      </c>
    </row>
    <row r="62" spans="1:8" x14ac:dyDescent="0.3">
      <c r="A62">
        <v>0.6</v>
      </c>
      <c r="B62">
        <v>20</v>
      </c>
      <c r="C62" s="8">
        <v>6.9699999999999996E-3</v>
      </c>
      <c r="D62" s="9">
        <f t="shared" si="0"/>
        <v>0.42835293687811932</v>
      </c>
      <c r="E62">
        <v>0.32662956521739128</v>
      </c>
      <c r="F62">
        <v>0.51170397732655493</v>
      </c>
      <c r="H62">
        <v>2.2306245682933827</v>
      </c>
    </row>
    <row r="63" spans="1:8" x14ac:dyDescent="0.3">
      <c r="A63">
        <v>0.6</v>
      </c>
      <c r="B63">
        <v>20</v>
      </c>
      <c r="C63" s="8">
        <v>6.9699999999999996E-3</v>
      </c>
      <c r="D63" s="9">
        <f t="shared" si="0"/>
        <v>0.42835293687811932</v>
      </c>
      <c r="E63">
        <v>0.39548660869565222</v>
      </c>
      <c r="F63">
        <v>0.61957670768188289</v>
      </c>
      <c r="H63">
        <v>1.2777786233768893</v>
      </c>
    </row>
    <row r="64" spans="1:8" x14ac:dyDescent="0.3">
      <c r="A64">
        <v>0.6</v>
      </c>
      <c r="B64">
        <v>20</v>
      </c>
      <c r="C64" s="8">
        <v>6.9699999999999996E-3</v>
      </c>
      <c r="D64" s="9">
        <f t="shared" si="0"/>
        <v>0.42835293687811932</v>
      </c>
      <c r="E64">
        <v>0.43624173913043474</v>
      </c>
      <c r="F64">
        <v>0.68342445620415992</v>
      </c>
      <c r="H64">
        <v>0.74847490309292997</v>
      </c>
    </row>
    <row r="65" spans="1:8" x14ac:dyDescent="0.3">
      <c r="A65">
        <v>0.6</v>
      </c>
      <c r="B65">
        <v>20</v>
      </c>
      <c r="C65" s="8">
        <v>6.9699999999999996E-3</v>
      </c>
      <c r="D65" s="9">
        <f t="shared" si="0"/>
        <v>0.42835293687811932</v>
      </c>
      <c r="E65">
        <v>0.60786666666666656</v>
      </c>
      <c r="F65">
        <v>0.95229527311940598</v>
      </c>
      <c r="H65">
        <v>0.14974278876444455</v>
      </c>
    </row>
    <row r="66" spans="1:8" x14ac:dyDescent="0.3">
      <c r="A66">
        <v>0.6</v>
      </c>
      <c r="B66">
        <v>20</v>
      </c>
      <c r="C66" s="8">
        <v>3.4849999999999998E-3</v>
      </c>
      <c r="D66" s="9">
        <f t="shared" si="0"/>
        <v>0.42835293687811932</v>
      </c>
      <c r="E66">
        <v>0</v>
      </c>
      <c r="F66">
        <v>0</v>
      </c>
      <c r="H66">
        <v>38.591876034869706</v>
      </c>
    </row>
    <row r="67" spans="1:8" x14ac:dyDescent="0.3">
      <c r="A67">
        <v>0.6</v>
      </c>
      <c r="B67">
        <v>20</v>
      </c>
      <c r="C67" s="8">
        <v>3.4849999999999998E-3</v>
      </c>
      <c r="D67" s="9">
        <f t="shared" ref="D67:D130" si="1">(A67)/((9.81*B67*10^-2))^(1/2)</f>
        <v>0.42835293687811932</v>
      </c>
      <c r="E67">
        <v>0.47449565217391299</v>
      </c>
      <c r="F67">
        <v>0.74335375084600874</v>
      </c>
      <c r="H67">
        <v>9.2652205980331157</v>
      </c>
    </row>
    <row r="68" spans="1:8" x14ac:dyDescent="0.3">
      <c r="A68">
        <v>0.6</v>
      </c>
      <c r="B68">
        <v>20</v>
      </c>
      <c r="C68" s="8">
        <v>3.4849999999999998E-3</v>
      </c>
      <c r="D68" s="9">
        <f t="shared" si="1"/>
        <v>0.42835293687811932</v>
      </c>
      <c r="E68">
        <v>0.65767304347826072</v>
      </c>
      <c r="F68">
        <v>1.0303228732656307</v>
      </c>
      <c r="H68">
        <v>3.5526787114961049</v>
      </c>
    </row>
    <row r="69" spans="1:8" x14ac:dyDescent="0.3">
      <c r="A69">
        <v>0.6</v>
      </c>
      <c r="B69">
        <v>20</v>
      </c>
      <c r="C69" s="8">
        <v>3.4849999999999998E-3</v>
      </c>
      <c r="D69" s="9">
        <f t="shared" si="1"/>
        <v>0.42835293687811932</v>
      </c>
      <c r="E69">
        <v>0.91036956521739121</v>
      </c>
      <c r="F69">
        <v>1.426201963832459</v>
      </c>
      <c r="H69">
        <v>1.0030785852133834</v>
      </c>
    </row>
    <row r="70" spans="1:8" x14ac:dyDescent="0.3">
      <c r="A70">
        <v>0.6</v>
      </c>
      <c r="B70">
        <v>20</v>
      </c>
      <c r="C70" s="8">
        <v>3.4849999999999998E-3</v>
      </c>
      <c r="D70" s="9">
        <f t="shared" si="1"/>
        <v>0.42835293687811932</v>
      </c>
      <c r="E70">
        <v>0.9648813913043478</v>
      </c>
      <c r="F70">
        <v>1.5116012086970931</v>
      </c>
      <c r="H70">
        <v>-3.9018327390415108E-2</v>
      </c>
    </row>
    <row r="71" spans="1:8" x14ac:dyDescent="0.3">
      <c r="A71">
        <v>0.6</v>
      </c>
      <c r="B71">
        <v>20</v>
      </c>
      <c r="C71" s="8">
        <v>3.4849999999999998E-3</v>
      </c>
      <c r="D71" s="9">
        <f t="shared" si="1"/>
        <v>0.42835293687811932</v>
      </c>
      <c r="E71">
        <v>1.1630660869565217</v>
      </c>
      <c r="F71">
        <v>1.8220810543992865</v>
      </c>
      <c r="H71">
        <v>-1.2276320719440452</v>
      </c>
    </row>
    <row r="72" spans="1:8" x14ac:dyDescent="0.3">
      <c r="A72">
        <v>0.6</v>
      </c>
      <c r="B72">
        <v>20</v>
      </c>
      <c r="C72" s="8">
        <v>3.4849999999999998E-3</v>
      </c>
      <c r="D72" s="9">
        <f t="shared" si="1"/>
        <v>0.42835293687811932</v>
      </c>
      <c r="E72">
        <v>1.34796</v>
      </c>
      <c r="F72">
        <v>2.1117393118348891</v>
      </c>
      <c r="H72">
        <v>-2.3109974824000008</v>
      </c>
    </row>
    <row r="73" spans="1:8" x14ac:dyDescent="0.3">
      <c r="A73">
        <v>0.6</v>
      </c>
      <c r="B73">
        <v>20</v>
      </c>
      <c r="C73" s="8">
        <v>1.7424999999999999E-3</v>
      </c>
      <c r="D73" s="9">
        <f t="shared" si="1"/>
        <v>0.42835293687811932</v>
      </c>
      <c r="E73">
        <v>0</v>
      </c>
      <c r="F73">
        <v>0</v>
      </c>
      <c r="H73">
        <v>38.591876034869706</v>
      </c>
    </row>
    <row r="74" spans="1:8" x14ac:dyDescent="0.3">
      <c r="A74">
        <v>0.6</v>
      </c>
      <c r="B74">
        <v>20</v>
      </c>
      <c r="C74" s="8">
        <v>1.7424999999999999E-3</v>
      </c>
      <c r="D74" s="9">
        <f t="shared" si="1"/>
        <v>0.42835293687811932</v>
      </c>
      <c r="E74">
        <v>0.492151304347826</v>
      </c>
      <c r="F74">
        <v>0.77101342529609296</v>
      </c>
      <c r="H74">
        <v>9.2362070678862747</v>
      </c>
    </row>
    <row r="75" spans="1:8" x14ac:dyDescent="0.3">
      <c r="A75">
        <v>0.6</v>
      </c>
      <c r="B75">
        <v>20</v>
      </c>
      <c r="C75" s="8">
        <v>1.7424999999999999E-3</v>
      </c>
      <c r="D75" s="9">
        <f t="shared" si="1"/>
        <v>0.42835293687811932</v>
      </c>
      <c r="E75">
        <v>0.69445565217391292</v>
      </c>
      <c r="F75">
        <v>1.0879471950366393</v>
      </c>
      <c r="H75">
        <v>3.4681295162749337</v>
      </c>
    </row>
    <row r="76" spans="1:8" x14ac:dyDescent="0.3">
      <c r="A76">
        <v>0.6</v>
      </c>
      <c r="B76">
        <v>20</v>
      </c>
      <c r="C76" s="8">
        <v>1.7424999999999999E-3</v>
      </c>
      <c r="D76" s="9">
        <f t="shared" si="1"/>
        <v>0.42835293687811932</v>
      </c>
      <c r="E76">
        <v>0.95892260869565205</v>
      </c>
      <c r="F76">
        <v>1.5022660685701898</v>
      </c>
      <c r="H76">
        <v>0.84878688408430991</v>
      </c>
    </row>
    <row r="77" spans="1:8" x14ac:dyDescent="0.3">
      <c r="A77">
        <v>0.6</v>
      </c>
      <c r="B77">
        <v>20</v>
      </c>
      <c r="C77" s="8">
        <v>1.7424999999999999E-3</v>
      </c>
      <c r="D77" s="9">
        <f t="shared" si="1"/>
        <v>0.42835293687811932</v>
      </c>
      <c r="E77">
        <v>1.1696869565217392</v>
      </c>
      <c r="F77">
        <v>1.8324534323180683</v>
      </c>
      <c r="H77">
        <v>-0.78220983824226231</v>
      </c>
    </row>
    <row r="78" spans="1:8" x14ac:dyDescent="0.3">
      <c r="A78">
        <v>0.6</v>
      </c>
      <c r="B78">
        <v>20</v>
      </c>
      <c r="C78" s="8">
        <v>1.7424999999999999E-3</v>
      </c>
      <c r="D78" s="9">
        <f t="shared" si="1"/>
        <v>0.42835293687811932</v>
      </c>
      <c r="E78">
        <v>1.4801321739130433</v>
      </c>
      <c r="F78">
        <v>2.3188027080653795</v>
      </c>
      <c r="H78">
        <v>-2.6523485723051792</v>
      </c>
    </row>
    <row r="79" spans="1:8" x14ac:dyDescent="0.3">
      <c r="A79">
        <v>0.6</v>
      </c>
      <c r="B79">
        <v>20</v>
      </c>
      <c r="C79" s="8">
        <v>1.7424999999999999E-3</v>
      </c>
      <c r="D79" s="9">
        <f t="shared" si="1"/>
        <v>0.42835293687811932</v>
      </c>
      <c r="E79">
        <v>1.5817066666666666</v>
      </c>
      <c r="F79">
        <v>2.4779312055189497</v>
      </c>
      <c r="H79">
        <v>-3.4751571726222212</v>
      </c>
    </row>
    <row r="80" spans="1:8" x14ac:dyDescent="0.3">
      <c r="A80">
        <v>0.6</v>
      </c>
      <c r="B80">
        <v>20</v>
      </c>
      <c r="C80" s="8">
        <v>1.1616700000000001E-3</v>
      </c>
      <c r="D80" s="9">
        <f t="shared" si="1"/>
        <v>0.42835293687811932</v>
      </c>
      <c r="E80">
        <v>0</v>
      </c>
      <c r="F80">
        <v>0</v>
      </c>
      <c r="H80">
        <v>38.591876034869706</v>
      </c>
    </row>
    <row r="81" spans="1:8" x14ac:dyDescent="0.3">
      <c r="A81">
        <v>0.6</v>
      </c>
      <c r="B81">
        <v>20</v>
      </c>
      <c r="C81" s="8">
        <v>1.1616700000000001E-3</v>
      </c>
      <c r="D81" s="9">
        <f t="shared" si="1"/>
        <v>0.42835293687811932</v>
      </c>
      <c r="E81">
        <v>0.45463304347826083</v>
      </c>
      <c r="F81">
        <v>0.71223661708966424</v>
      </c>
      <c r="H81">
        <v>9.2965939615395055</v>
      </c>
    </row>
    <row r="82" spans="1:8" x14ac:dyDescent="0.3">
      <c r="A82">
        <v>0.6</v>
      </c>
      <c r="B82">
        <v>20</v>
      </c>
      <c r="C82" s="8">
        <v>1.1616700000000001E-3</v>
      </c>
      <c r="D82" s="9">
        <f t="shared" si="1"/>
        <v>0.42835293687811932</v>
      </c>
      <c r="E82">
        <v>0.61059130434782605</v>
      </c>
      <c r="F82">
        <v>0.95656374139874001</v>
      </c>
      <c r="H82">
        <v>3.654189266489829</v>
      </c>
    </row>
    <row r="83" spans="1:8" x14ac:dyDescent="0.3">
      <c r="A83">
        <v>0.6</v>
      </c>
      <c r="B83">
        <v>20</v>
      </c>
      <c r="C83" s="8">
        <v>1.1616700000000001E-3</v>
      </c>
      <c r="D83" s="9">
        <f t="shared" si="1"/>
        <v>0.42835293687811932</v>
      </c>
      <c r="E83">
        <v>0.77353826086956512</v>
      </c>
      <c r="F83">
        <v>1.2118394868443072</v>
      </c>
      <c r="H83">
        <v>1.3947778024298674</v>
      </c>
    </row>
    <row r="84" spans="1:8" x14ac:dyDescent="0.3">
      <c r="A84">
        <v>0.6</v>
      </c>
      <c r="B84">
        <v>20</v>
      </c>
      <c r="C84" s="8">
        <v>1.1616700000000001E-3</v>
      </c>
      <c r="D84" s="9">
        <f t="shared" si="1"/>
        <v>0.42835293687811932</v>
      </c>
      <c r="E84">
        <v>1.0496285217391303</v>
      </c>
      <c r="F84">
        <v>1.6443676460574965</v>
      </c>
      <c r="H84">
        <v>-0.32924901580727434</v>
      </c>
    </row>
    <row r="85" spans="1:8" x14ac:dyDescent="0.3">
      <c r="A85">
        <v>0.6</v>
      </c>
      <c r="B85">
        <v>20</v>
      </c>
      <c r="C85" s="8">
        <v>1.1616700000000001E-3</v>
      </c>
      <c r="D85" s="9">
        <f t="shared" si="1"/>
        <v>0.42835293687811932</v>
      </c>
      <c r="E85">
        <v>1.31976</v>
      </c>
      <c r="F85">
        <v>2.0675606651437826</v>
      </c>
      <c r="H85">
        <v>-1.8890064213958413</v>
      </c>
    </row>
    <row r="86" spans="1:8" x14ac:dyDescent="0.3">
      <c r="A86">
        <v>0.6</v>
      </c>
      <c r="B86">
        <v>20</v>
      </c>
      <c r="C86" s="8">
        <v>1.1616700000000001E-3</v>
      </c>
      <c r="D86" s="9">
        <f t="shared" si="1"/>
        <v>0.42835293687811932</v>
      </c>
      <c r="E86">
        <v>1.3285878260869561</v>
      </c>
      <c r="F86">
        <v>2.0813905023688242</v>
      </c>
      <c r="H86">
        <v>-2.2131582329309136</v>
      </c>
    </row>
    <row r="87" spans="1:8" x14ac:dyDescent="0.3">
      <c r="A87">
        <v>0.6</v>
      </c>
      <c r="B87">
        <v>30</v>
      </c>
      <c r="C87" s="8">
        <v>9.2599999999999991E-3</v>
      </c>
      <c r="D87" s="9">
        <f t="shared" si="1"/>
        <v>0.34974870839133448</v>
      </c>
      <c r="E87">
        <v>0</v>
      </c>
      <c r="F87">
        <v>0</v>
      </c>
      <c r="H87">
        <v>42.179963682739846</v>
      </c>
    </row>
    <row r="88" spans="1:8" x14ac:dyDescent="0.3">
      <c r="A88">
        <v>0.6</v>
      </c>
      <c r="B88">
        <v>30</v>
      </c>
      <c r="C88" s="8">
        <v>9.2599999999999991E-3</v>
      </c>
      <c r="D88" s="9">
        <f t="shared" si="1"/>
        <v>0.34974870839133448</v>
      </c>
      <c r="E88">
        <v>0.22380545454545456</v>
      </c>
      <c r="F88">
        <v>0.23374520340203606</v>
      </c>
      <c r="H88">
        <v>10.459839822161655</v>
      </c>
    </row>
    <row r="89" spans="1:8" x14ac:dyDescent="0.3">
      <c r="A89">
        <v>0.6</v>
      </c>
      <c r="B89">
        <v>30</v>
      </c>
      <c r="C89" s="8">
        <v>9.2599999999999991E-3</v>
      </c>
      <c r="D89" s="9">
        <f t="shared" si="1"/>
        <v>0.34974870839133448</v>
      </c>
      <c r="E89">
        <v>0.47376000000000001</v>
      </c>
      <c r="F89">
        <v>0.49480084294039245</v>
      </c>
      <c r="H89">
        <v>4.3051001174955372</v>
      </c>
    </row>
    <row r="90" spans="1:8" x14ac:dyDescent="0.3">
      <c r="A90">
        <v>0.6</v>
      </c>
      <c r="B90">
        <v>30</v>
      </c>
      <c r="C90" s="8">
        <v>9.2599999999999991E-3</v>
      </c>
      <c r="D90" s="9">
        <f t="shared" si="1"/>
        <v>0.34974870839133448</v>
      </c>
      <c r="E90">
        <v>0.61027363636363641</v>
      </c>
      <c r="F90">
        <v>0.63737738453441783</v>
      </c>
      <c r="H90">
        <v>2.0031100810623972</v>
      </c>
    </row>
    <row r="91" spans="1:8" x14ac:dyDescent="0.3">
      <c r="A91">
        <v>0.6</v>
      </c>
      <c r="B91">
        <v>30</v>
      </c>
      <c r="C91" s="8">
        <v>9.2599999999999991E-3</v>
      </c>
      <c r="D91" s="9">
        <f t="shared" si="1"/>
        <v>0.34974870839133448</v>
      </c>
      <c r="E91">
        <v>0.76140000000000008</v>
      </c>
      <c r="F91">
        <v>0.79521564043991644</v>
      </c>
      <c r="H91">
        <v>0.70165761530959359</v>
      </c>
    </row>
    <row r="92" spans="1:8" x14ac:dyDescent="0.3">
      <c r="A92">
        <v>0.6</v>
      </c>
      <c r="B92">
        <v>30</v>
      </c>
      <c r="C92" s="8">
        <v>9.2599999999999991E-3</v>
      </c>
      <c r="D92" s="9">
        <f t="shared" si="1"/>
        <v>0.34974870839133448</v>
      </c>
      <c r="E92">
        <v>0.89522181818181823</v>
      </c>
      <c r="F92">
        <v>0.934980813608144</v>
      </c>
      <c r="H92">
        <v>-0.1907519185190083</v>
      </c>
    </row>
    <row r="93" spans="1:8" x14ac:dyDescent="0.3">
      <c r="A93">
        <v>0.6</v>
      </c>
      <c r="B93">
        <v>30</v>
      </c>
      <c r="C93" s="8">
        <v>9.2599999999999991E-3</v>
      </c>
      <c r="D93" s="9">
        <f t="shared" si="1"/>
        <v>0.34974870839133448</v>
      </c>
      <c r="E93">
        <v>0.94580658227848124</v>
      </c>
      <c r="F93">
        <v>0.98781217107810715</v>
      </c>
      <c r="H93">
        <v>-0.70295345228869743</v>
      </c>
    </row>
    <row r="94" spans="1:8" x14ac:dyDescent="0.3">
      <c r="A94">
        <v>0.6</v>
      </c>
      <c r="B94">
        <v>30</v>
      </c>
      <c r="C94" s="8">
        <v>4.6299999999999996E-3</v>
      </c>
      <c r="D94" s="9">
        <f t="shared" si="1"/>
        <v>0.34974870839133448</v>
      </c>
      <c r="E94">
        <v>0</v>
      </c>
      <c r="F94">
        <v>0</v>
      </c>
      <c r="H94">
        <v>42.179963682739846</v>
      </c>
    </row>
    <row r="95" spans="1:8" x14ac:dyDescent="0.3">
      <c r="A95">
        <v>0.6</v>
      </c>
      <c r="B95">
        <v>30</v>
      </c>
      <c r="C95" s="8">
        <v>4.6299999999999996E-3</v>
      </c>
      <c r="D95" s="9">
        <f t="shared" si="1"/>
        <v>0.34974870839133448</v>
      </c>
      <c r="E95">
        <v>0.62757818181818192</v>
      </c>
      <c r="F95">
        <v>0.65545046727168887</v>
      </c>
      <c r="H95">
        <v>9.8754384843847944</v>
      </c>
    </row>
    <row r="96" spans="1:8" x14ac:dyDescent="0.3">
      <c r="A96">
        <v>0.6</v>
      </c>
      <c r="B96">
        <v>30</v>
      </c>
      <c r="C96" s="8">
        <v>4.6299999999999996E-3</v>
      </c>
      <c r="D96" s="9">
        <f t="shared" si="1"/>
        <v>0.34974870839133448</v>
      </c>
      <c r="E96">
        <v>1.0751890909090909</v>
      </c>
      <c r="F96">
        <v>1.1229408740757609</v>
      </c>
      <c r="H96">
        <v>2.7214089433586772</v>
      </c>
    </row>
    <row r="97" spans="1:8" x14ac:dyDescent="0.3">
      <c r="A97">
        <v>0.6</v>
      </c>
      <c r="B97">
        <v>30</v>
      </c>
      <c r="C97" s="8">
        <v>4.6299999999999996E-3</v>
      </c>
      <c r="D97" s="9">
        <f t="shared" si="1"/>
        <v>0.34974870839133448</v>
      </c>
      <c r="E97">
        <v>1.3820563636363639</v>
      </c>
      <c r="F97">
        <v>1.4434368746166968</v>
      </c>
      <c r="H97">
        <v>-0.61088791668396736</v>
      </c>
    </row>
    <row r="98" spans="1:8" x14ac:dyDescent="0.3">
      <c r="A98">
        <v>0.6</v>
      </c>
      <c r="B98">
        <v>30</v>
      </c>
      <c r="C98" s="8">
        <v>4.6299999999999996E-3</v>
      </c>
      <c r="D98" s="9">
        <f t="shared" si="1"/>
        <v>0.34974870839133448</v>
      </c>
      <c r="E98">
        <v>1.520954181818182</v>
      </c>
      <c r="F98">
        <v>1.5885034853878572</v>
      </c>
      <c r="H98">
        <v>-2.2454142121137717</v>
      </c>
    </row>
    <row r="99" spans="1:8" x14ac:dyDescent="0.3">
      <c r="A99">
        <v>0.6</v>
      </c>
      <c r="B99">
        <v>30</v>
      </c>
      <c r="C99" s="8">
        <v>4.6299999999999996E-3</v>
      </c>
      <c r="D99" s="9">
        <f t="shared" si="1"/>
        <v>0.34974870839133448</v>
      </c>
      <c r="E99">
        <v>1.6504690909090909</v>
      </c>
      <c r="F99">
        <v>1.7237704690748088</v>
      </c>
      <c r="H99">
        <v>-3.4592163162247935</v>
      </c>
    </row>
    <row r="100" spans="1:8" x14ac:dyDescent="0.3">
      <c r="A100">
        <v>0.6</v>
      </c>
      <c r="B100">
        <v>30</v>
      </c>
      <c r="C100" s="8">
        <v>4.6299999999999996E-3</v>
      </c>
      <c r="D100" s="9">
        <f t="shared" si="1"/>
        <v>0.34974870839133448</v>
      </c>
      <c r="E100">
        <v>1.5737750847457628</v>
      </c>
      <c r="F100">
        <v>1.6436702940957255</v>
      </c>
      <c r="H100">
        <v>-3.3857788906100117</v>
      </c>
    </row>
    <row r="101" spans="1:8" x14ac:dyDescent="0.3">
      <c r="A101">
        <v>0.6</v>
      </c>
      <c r="B101">
        <v>30</v>
      </c>
      <c r="C101" s="8">
        <v>2.3149999999999998E-3</v>
      </c>
      <c r="D101" s="9">
        <f t="shared" si="1"/>
        <v>0.34974870839133448</v>
      </c>
      <c r="E101">
        <v>0</v>
      </c>
      <c r="F101">
        <v>0</v>
      </c>
      <c r="H101">
        <v>42.179963682739846</v>
      </c>
    </row>
    <row r="102" spans="1:8" x14ac:dyDescent="0.3">
      <c r="A102">
        <v>0.6</v>
      </c>
      <c r="B102">
        <v>30</v>
      </c>
      <c r="C102" s="8">
        <v>2.3149999999999998E-3</v>
      </c>
      <c r="D102" s="9">
        <f t="shared" si="1"/>
        <v>0.34974870839133448</v>
      </c>
      <c r="E102">
        <v>0.6414218181818182</v>
      </c>
      <c r="F102">
        <v>0.66990893346150526</v>
      </c>
      <c r="H102">
        <v>9.8455736076575224</v>
      </c>
    </row>
    <row r="103" spans="1:8" x14ac:dyDescent="0.3">
      <c r="A103">
        <v>0.6</v>
      </c>
      <c r="B103">
        <v>30</v>
      </c>
      <c r="C103" s="8">
        <v>2.3149999999999998E-3</v>
      </c>
      <c r="D103" s="9">
        <f t="shared" si="1"/>
        <v>0.34974870839133448</v>
      </c>
      <c r="E103">
        <v>0.9290618181818181</v>
      </c>
      <c r="F103">
        <v>0.97032373096102909</v>
      </c>
      <c r="H103">
        <v>3.2192976660099171</v>
      </c>
    </row>
    <row r="104" spans="1:8" x14ac:dyDescent="0.3">
      <c r="A104">
        <v>0.6</v>
      </c>
      <c r="B104">
        <v>30</v>
      </c>
      <c r="C104" s="8">
        <v>2.3149999999999998E-3</v>
      </c>
      <c r="D104" s="9">
        <f t="shared" si="1"/>
        <v>0.34974870839133448</v>
      </c>
      <c r="E104">
        <v>1.0648063636363638</v>
      </c>
      <c r="F104">
        <v>1.1120970244333983</v>
      </c>
      <c r="H104">
        <v>0.70876632370239689</v>
      </c>
    </row>
    <row r="105" spans="1:8" x14ac:dyDescent="0.3">
      <c r="A105">
        <v>0.6</v>
      </c>
      <c r="B105">
        <v>30</v>
      </c>
      <c r="C105" s="8">
        <v>2.3149999999999998E-3</v>
      </c>
      <c r="D105" s="9">
        <f t="shared" si="1"/>
        <v>0.34974870839133448</v>
      </c>
      <c r="E105">
        <v>1.0825723636363638</v>
      </c>
      <c r="F105">
        <v>1.1306520560436628</v>
      </c>
      <c r="H105">
        <v>-0.30513842095608601</v>
      </c>
    </row>
    <row r="106" spans="1:8" x14ac:dyDescent="0.3">
      <c r="A106">
        <v>0.6</v>
      </c>
      <c r="B106">
        <v>30</v>
      </c>
      <c r="C106" s="8">
        <v>2.3149999999999998E-3</v>
      </c>
      <c r="D106" s="9">
        <f t="shared" si="1"/>
        <v>0.34974870839133448</v>
      </c>
      <c r="E106">
        <v>1.1905527272727272</v>
      </c>
      <c r="F106">
        <v>1.2434280923242329</v>
      </c>
      <c r="H106">
        <v>-1.237941196054215</v>
      </c>
    </row>
    <row r="107" spans="1:8" x14ac:dyDescent="0.3">
      <c r="A107">
        <v>0.6</v>
      </c>
      <c r="B107">
        <v>30</v>
      </c>
      <c r="C107" s="8">
        <v>2.3149999999999998E-3</v>
      </c>
      <c r="D107" s="9">
        <f t="shared" si="1"/>
        <v>0.34974870839133448</v>
      </c>
      <c r="E107">
        <v>1.2567918987341773</v>
      </c>
      <c r="F107">
        <v>1.3126091077641151</v>
      </c>
      <c r="H107">
        <v>-1.8674122878810444</v>
      </c>
    </row>
    <row r="108" spans="1:8" x14ac:dyDescent="0.3">
      <c r="A108">
        <v>0.6</v>
      </c>
      <c r="B108">
        <v>30</v>
      </c>
      <c r="C108" s="8">
        <v>1.5433300000000001E-3</v>
      </c>
      <c r="D108" s="9">
        <f t="shared" si="1"/>
        <v>0.34974870839133448</v>
      </c>
      <c r="E108">
        <v>0</v>
      </c>
      <c r="F108">
        <v>0</v>
      </c>
      <c r="H108">
        <v>42.179963682739846</v>
      </c>
    </row>
    <row r="109" spans="1:8" x14ac:dyDescent="0.3">
      <c r="A109">
        <v>0.6</v>
      </c>
      <c r="B109">
        <v>30</v>
      </c>
      <c r="C109" s="8">
        <v>1.5433300000000001E-3</v>
      </c>
      <c r="D109" s="9">
        <f t="shared" si="1"/>
        <v>0.34974870839133448</v>
      </c>
      <c r="E109">
        <v>0.38762181818181818</v>
      </c>
      <c r="F109">
        <v>0.40483705331486652</v>
      </c>
      <c r="H109">
        <v>10.289564775002978</v>
      </c>
    </row>
    <row r="110" spans="1:8" x14ac:dyDescent="0.3">
      <c r="A110">
        <v>0.6</v>
      </c>
      <c r="B110">
        <v>30</v>
      </c>
      <c r="C110" s="8">
        <v>1.5433300000000001E-3</v>
      </c>
      <c r="D110" s="9">
        <f t="shared" si="1"/>
        <v>0.34974870839133448</v>
      </c>
      <c r="E110">
        <v>0.63373090909090912</v>
      </c>
      <c r="F110">
        <v>0.66187645224494041</v>
      </c>
      <c r="H110">
        <v>4.0039173606823137</v>
      </c>
    </row>
    <row r="111" spans="1:8" x14ac:dyDescent="0.3">
      <c r="A111">
        <v>0.6</v>
      </c>
      <c r="B111">
        <v>30</v>
      </c>
      <c r="C111" s="8">
        <v>1.5433300000000001E-3</v>
      </c>
      <c r="D111" s="9">
        <f t="shared" si="1"/>
        <v>0.34974870839133448</v>
      </c>
      <c r="E111">
        <v>0.88022454545454554</v>
      </c>
      <c r="F111">
        <v>0.91931747523584284</v>
      </c>
      <c r="H111">
        <v>1.3190958044561161</v>
      </c>
    </row>
    <row r="112" spans="1:8" x14ac:dyDescent="0.3">
      <c r="A112">
        <v>0.6</v>
      </c>
      <c r="B112">
        <v>30</v>
      </c>
      <c r="C112" s="8">
        <v>1.5433300000000001E-3</v>
      </c>
      <c r="D112" s="9">
        <f t="shared" si="1"/>
        <v>0.34974870839133448</v>
      </c>
      <c r="E112">
        <v>0.90906545454545462</v>
      </c>
      <c r="F112">
        <v>0.94943927979796061</v>
      </c>
      <c r="H112">
        <v>0.2823185462081062</v>
      </c>
    </row>
    <row r="113" spans="1:8" x14ac:dyDescent="0.3">
      <c r="A113">
        <v>0.6</v>
      </c>
      <c r="B113">
        <v>30</v>
      </c>
      <c r="C113" s="8">
        <v>1.5433300000000001E-3</v>
      </c>
      <c r="D113" s="9">
        <f t="shared" si="1"/>
        <v>0.34974870839133448</v>
      </c>
      <c r="E113">
        <v>0.86753454545454534</v>
      </c>
      <c r="F113">
        <v>0.90606388122851078</v>
      </c>
      <c r="H113">
        <v>-0.10778186099305764</v>
      </c>
    </row>
    <row r="114" spans="1:8" x14ac:dyDescent="0.3">
      <c r="A114">
        <v>0.6</v>
      </c>
      <c r="B114">
        <v>30</v>
      </c>
      <c r="C114" s="8">
        <v>1.5433300000000001E-3</v>
      </c>
      <c r="D114" s="9">
        <f t="shared" si="1"/>
        <v>0.34974870839133448</v>
      </c>
      <c r="E114">
        <v>0.8757733905579399</v>
      </c>
      <c r="F114">
        <v>0.91466863363904538</v>
      </c>
      <c r="H114">
        <v>-0.45776329365920027</v>
      </c>
    </row>
    <row r="115" spans="1:8" x14ac:dyDescent="0.3">
      <c r="A115">
        <v>0.6</v>
      </c>
      <c r="B115">
        <v>40</v>
      </c>
      <c r="C115" s="8">
        <v>9.2599999999999991E-3</v>
      </c>
      <c r="D115" s="9">
        <f t="shared" si="1"/>
        <v>0.30289126640769132</v>
      </c>
      <c r="E115">
        <v>0</v>
      </c>
      <c r="F115">
        <v>0</v>
      </c>
      <c r="H115">
        <v>53.688632274677403</v>
      </c>
    </row>
    <row r="116" spans="1:8" x14ac:dyDescent="0.3">
      <c r="A116">
        <v>0.6</v>
      </c>
      <c r="B116">
        <v>40</v>
      </c>
      <c r="C116" s="8">
        <v>9.2599999999999991E-3</v>
      </c>
      <c r="D116" s="9">
        <f t="shared" si="1"/>
        <v>0.30289126640769132</v>
      </c>
      <c r="E116">
        <v>0.3488123076923077</v>
      </c>
      <c r="F116">
        <v>0.12143463910991316</v>
      </c>
      <c r="H116">
        <v>13.215319024473374</v>
      </c>
    </row>
    <row r="117" spans="1:8" x14ac:dyDescent="0.3">
      <c r="A117">
        <v>0.6</v>
      </c>
      <c r="B117">
        <v>40</v>
      </c>
      <c r="C117" s="8">
        <v>9.2599999999999991E-3</v>
      </c>
      <c r="D117" s="9">
        <f t="shared" si="1"/>
        <v>0.30289126640769132</v>
      </c>
      <c r="E117">
        <v>0.46334769230769224</v>
      </c>
      <c r="F117">
        <v>0.36294457435462851</v>
      </c>
      <c r="H117">
        <v>5.6004287433315971</v>
      </c>
    </row>
    <row r="118" spans="1:8" x14ac:dyDescent="0.3">
      <c r="A118">
        <v>0.6</v>
      </c>
      <c r="B118">
        <v>40</v>
      </c>
      <c r="C118" s="8">
        <v>9.2599999999999991E-3</v>
      </c>
      <c r="D118" s="9">
        <f t="shared" si="1"/>
        <v>0.30289126640769132</v>
      </c>
      <c r="E118">
        <v>0.55835999999999997</v>
      </c>
      <c r="F118">
        <v>0.43736860224195406</v>
      </c>
      <c r="H118">
        <v>2.8255375048473375</v>
      </c>
    </row>
    <row r="119" spans="1:8" x14ac:dyDescent="0.3">
      <c r="A119">
        <v>0.6</v>
      </c>
      <c r="B119">
        <v>40</v>
      </c>
      <c r="C119" s="8">
        <v>9.2599999999999991E-3</v>
      </c>
      <c r="D119" s="9">
        <f t="shared" si="1"/>
        <v>0.30289126640769132</v>
      </c>
      <c r="E119">
        <v>0.6226560000000001</v>
      </c>
      <c r="F119">
        <v>0.4877322594698153</v>
      </c>
      <c r="H119">
        <v>1.4884544506158961</v>
      </c>
    </row>
    <row r="120" spans="1:8" x14ac:dyDescent="0.3">
      <c r="A120">
        <v>0.6</v>
      </c>
      <c r="B120">
        <v>40</v>
      </c>
      <c r="C120" s="8">
        <v>9.2599999999999991E-3</v>
      </c>
      <c r="D120" s="9">
        <f t="shared" si="1"/>
        <v>0.30289126640769132</v>
      </c>
      <c r="E120">
        <v>0.80782153846153837</v>
      </c>
      <c r="F120">
        <v>0.63277415491415578</v>
      </c>
      <c r="H120">
        <v>0.38197231191479297</v>
      </c>
    </row>
    <row r="121" spans="1:8" x14ac:dyDescent="0.3">
      <c r="A121">
        <v>0.6</v>
      </c>
      <c r="B121">
        <v>40</v>
      </c>
      <c r="C121" s="8">
        <v>9.2599999999999991E-3</v>
      </c>
      <c r="D121" s="9">
        <f t="shared" si="1"/>
        <v>0.30289126640769132</v>
      </c>
      <c r="E121">
        <v>0.90231855595667865</v>
      </c>
      <c r="F121">
        <v>0.70679455117800516</v>
      </c>
      <c r="H121">
        <v>-0.31983343953114995</v>
      </c>
    </row>
    <row r="122" spans="1:8" x14ac:dyDescent="0.3">
      <c r="A122">
        <v>0.6</v>
      </c>
      <c r="B122">
        <v>40</v>
      </c>
      <c r="C122" s="8">
        <v>4.6299999999999996E-3</v>
      </c>
      <c r="D122" s="9">
        <f t="shared" si="1"/>
        <v>0.30289126640769132</v>
      </c>
      <c r="E122">
        <v>0</v>
      </c>
      <c r="F122">
        <v>0</v>
      </c>
      <c r="H122">
        <v>53.688632274677403</v>
      </c>
    </row>
    <row r="123" spans="1:8" x14ac:dyDescent="0.3">
      <c r="A123">
        <v>0.6</v>
      </c>
      <c r="B123">
        <v>40</v>
      </c>
      <c r="C123" s="8">
        <v>4.6299999999999996E-3</v>
      </c>
      <c r="D123" s="9">
        <f t="shared" si="1"/>
        <v>0.30289126640769132</v>
      </c>
      <c r="E123">
        <v>0.43731692307692305</v>
      </c>
      <c r="F123">
        <v>0.34255442972796396</v>
      </c>
      <c r="H123">
        <v>13.097039713613256</v>
      </c>
    </row>
    <row r="124" spans="1:8" x14ac:dyDescent="0.3">
      <c r="A124">
        <v>0.6</v>
      </c>
      <c r="B124">
        <v>40</v>
      </c>
      <c r="C124" s="8">
        <v>4.6299999999999996E-3</v>
      </c>
      <c r="D124" s="9">
        <f t="shared" si="1"/>
        <v>0.30289126640769132</v>
      </c>
      <c r="E124">
        <v>0.55879384615384609</v>
      </c>
      <c r="F124">
        <v>0.43770843798573184</v>
      </c>
      <c r="H124">
        <v>5.4345776298262711</v>
      </c>
    </row>
    <row r="125" spans="1:8" x14ac:dyDescent="0.3">
      <c r="A125">
        <v>0.6</v>
      </c>
      <c r="B125">
        <v>40</v>
      </c>
      <c r="C125" s="8">
        <v>4.6299999999999996E-3</v>
      </c>
      <c r="D125" s="9">
        <f t="shared" si="1"/>
        <v>0.30289126640769132</v>
      </c>
      <c r="E125">
        <v>0.77701846153846155</v>
      </c>
      <c r="F125">
        <v>0.6086458171059359</v>
      </c>
      <c r="H125">
        <v>2.3291514448956216</v>
      </c>
    </row>
    <row r="126" spans="1:8" x14ac:dyDescent="0.3">
      <c r="A126">
        <v>0.6</v>
      </c>
      <c r="B126">
        <v>40</v>
      </c>
      <c r="C126" s="8">
        <v>4.6299999999999996E-3</v>
      </c>
      <c r="D126" s="9">
        <f t="shared" si="1"/>
        <v>0.30289126640769132</v>
      </c>
      <c r="E126">
        <v>0.97250953846153843</v>
      </c>
      <c r="F126">
        <v>0.76177580325218663</v>
      </c>
      <c r="H126">
        <v>0.53972812690934957</v>
      </c>
    </row>
    <row r="127" spans="1:8" x14ac:dyDescent="0.3">
      <c r="A127">
        <v>0.6</v>
      </c>
      <c r="B127">
        <v>40</v>
      </c>
      <c r="C127" s="8">
        <v>4.6299999999999996E-3</v>
      </c>
      <c r="D127" s="9">
        <f t="shared" si="1"/>
        <v>0.30289126640769132</v>
      </c>
      <c r="E127">
        <v>1.0941599999999998</v>
      </c>
      <c r="F127">
        <v>0.85706574580746553</v>
      </c>
      <c r="H127">
        <v>-0.54386548300118309</v>
      </c>
    </row>
    <row r="128" spans="1:8" x14ac:dyDescent="0.3">
      <c r="A128">
        <v>0.6</v>
      </c>
      <c r="B128">
        <v>40</v>
      </c>
      <c r="C128" s="8">
        <v>4.6299999999999996E-3</v>
      </c>
      <c r="D128" s="9">
        <f t="shared" si="1"/>
        <v>0.30289126640769132</v>
      </c>
      <c r="E128">
        <v>1.1569588363636363</v>
      </c>
      <c r="F128">
        <v>0.90625666077770828</v>
      </c>
      <c r="H128">
        <v>-1.1957343030896892</v>
      </c>
    </row>
    <row r="129" spans="1:8" x14ac:dyDescent="0.3">
      <c r="A129">
        <v>0.6</v>
      </c>
      <c r="B129">
        <v>40</v>
      </c>
      <c r="C129" s="8">
        <v>2.3149999999999998E-3</v>
      </c>
      <c r="D129" s="9">
        <f t="shared" si="1"/>
        <v>0.30289126640769132</v>
      </c>
      <c r="E129">
        <v>0</v>
      </c>
      <c r="F129">
        <v>0</v>
      </c>
      <c r="H129">
        <v>53.688632274677403</v>
      </c>
    </row>
    <row r="130" spans="1:8" x14ac:dyDescent="0.3">
      <c r="A130">
        <v>0.6</v>
      </c>
      <c r="B130">
        <v>40</v>
      </c>
      <c r="C130" s="8">
        <v>2.3149999999999998E-3</v>
      </c>
      <c r="D130" s="9">
        <f t="shared" si="1"/>
        <v>0.30289126640769132</v>
      </c>
      <c r="E130">
        <v>0.45553846153846156</v>
      </c>
      <c r="F130">
        <v>0.35682753096662917</v>
      </c>
      <c r="H130">
        <v>13.069382075769942</v>
      </c>
    </row>
    <row r="131" spans="1:8" x14ac:dyDescent="0.3">
      <c r="A131">
        <v>0.6</v>
      </c>
      <c r="B131">
        <v>40</v>
      </c>
      <c r="C131" s="8">
        <v>2.3149999999999998E-3</v>
      </c>
      <c r="D131" s="9">
        <f t="shared" ref="D131:D194" si="2">(A131)/((9.81*B131*10^-2))^(1/2)</f>
        <v>0.30289126640769132</v>
      </c>
      <c r="E131">
        <v>0.61606153846153833</v>
      </c>
      <c r="F131">
        <v>0.48256675616439371</v>
      </c>
      <c r="H131">
        <v>5.3201994934835506</v>
      </c>
    </row>
    <row r="132" spans="1:8" x14ac:dyDescent="0.3">
      <c r="A132">
        <v>0.6</v>
      </c>
      <c r="B132">
        <v>40</v>
      </c>
      <c r="C132" s="8">
        <v>2.3149999999999998E-3</v>
      </c>
      <c r="D132" s="9">
        <f t="shared" si="2"/>
        <v>0.30289126640769132</v>
      </c>
      <c r="E132">
        <v>0.75749538461538468</v>
      </c>
      <c r="F132">
        <v>0.59335320863593755</v>
      </c>
      <c r="H132">
        <v>2.3800807790542016</v>
      </c>
    </row>
    <row r="133" spans="1:8" x14ac:dyDescent="0.3">
      <c r="A133">
        <v>0.6</v>
      </c>
      <c r="B133">
        <v>40</v>
      </c>
      <c r="C133" s="8">
        <v>2.3149999999999998E-3</v>
      </c>
      <c r="D133" s="9">
        <f t="shared" si="2"/>
        <v>0.30289126640769132</v>
      </c>
      <c r="E133">
        <v>0.96522092307692309</v>
      </c>
      <c r="F133">
        <v>0.75606656275672046</v>
      </c>
      <c r="H133">
        <v>0.56373785939980148</v>
      </c>
    </row>
    <row r="134" spans="1:8" x14ac:dyDescent="0.3">
      <c r="A134">
        <v>0.6</v>
      </c>
      <c r="B134">
        <v>40</v>
      </c>
      <c r="C134" s="8">
        <v>2.3149999999999998E-3</v>
      </c>
      <c r="D134" s="9">
        <f t="shared" si="2"/>
        <v>0.30289126640769132</v>
      </c>
      <c r="E134">
        <v>1.0724676923076921</v>
      </c>
      <c r="F134">
        <v>0.84007395861857825</v>
      </c>
      <c r="H134">
        <v>-0.4639669202556212</v>
      </c>
    </row>
    <row r="135" spans="1:8" x14ac:dyDescent="0.3">
      <c r="A135">
        <v>0.6</v>
      </c>
      <c r="B135">
        <v>40</v>
      </c>
      <c r="C135" s="8">
        <v>2.3149999999999998E-3</v>
      </c>
      <c r="D135" s="9">
        <f t="shared" si="2"/>
        <v>0.30289126640769132</v>
      </c>
      <c r="E135">
        <v>1.0718452173913042</v>
      </c>
      <c r="F135">
        <v>0.83958636820359278</v>
      </c>
      <c r="H135">
        <v>-0.88105213255168235</v>
      </c>
    </row>
    <row r="136" spans="1:8" x14ac:dyDescent="0.3">
      <c r="A136">
        <v>0.6</v>
      </c>
      <c r="B136">
        <v>40</v>
      </c>
      <c r="C136" s="8">
        <v>1.5433300000000001E-3</v>
      </c>
      <c r="D136" s="9">
        <f t="shared" si="2"/>
        <v>0.30289126640769132</v>
      </c>
      <c r="E136">
        <v>0</v>
      </c>
      <c r="F136">
        <v>0</v>
      </c>
      <c r="H136">
        <v>53.688632274677403</v>
      </c>
    </row>
    <row r="137" spans="1:8" x14ac:dyDescent="0.3">
      <c r="A137">
        <v>0.6</v>
      </c>
      <c r="B137">
        <v>40</v>
      </c>
      <c r="C137" s="8">
        <v>1.5433300000000001E-3</v>
      </c>
      <c r="D137" s="9">
        <f t="shared" si="2"/>
        <v>0.30289126640769132</v>
      </c>
      <c r="E137">
        <v>0.33840000000000003</v>
      </c>
      <c r="F137">
        <v>0.26507188014663879</v>
      </c>
      <c r="H137">
        <v>13.22748331666935</v>
      </c>
    </row>
    <row r="138" spans="1:8" x14ac:dyDescent="0.3">
      <c r="A138">
        <v>0.6</v>
      </c>
      <c r="B138">
        <v>40</v>
      </c>
      <c r="C138" s="8">
        <v>1.5433300000000001E-3</v>
      </c>
      <c r="D138" s="9">
        <f t="shared" si="2"/>
        <v>0.30289126640769132</v>
      </c>
      <c r="E138">
        <v>0.51020307692307687</v>
      </c>
      <c r="F138">
        <v>0.39964683468262463</v>
      </c>
      <c r="H138">
        <v>5.5228813805822483</v>
      </c>
    </row>
    <row r="139" spans="1:8" x14ac:dyDescent="0.3">
      <c r="A139">
        <v>0.6</v>
      </c>
      <c r="B139">
        <v>40</v>
      </c>
      <c r="C139" s="8">
        <v>1.5433300000000001E-3</v>
      </c>
      <c r="D139" s="9">
        <f t="shared" si="2"/>
        <v>0.30289126640769132</v>
      </c>
      <c r="E139">
        <v>0.6754984615384616</v>
      </c>
      <c r="F139">
        <v>0.52912425306194433</v>
      </c>
      <c r="H139">
        <v>2.5798326255479291</v>
      </c>
    </row>
    <row r="140" spans="1:8" x14ac:dyDescent="0.3">
      <c r="A140">
        <v>0.6</v>
      </c>
      <c r="B140">
        <v>40</v>
      </c>
      <c r="C140" s="8">
        <v>1.5433300000000001E-3</v>
      </c>
      <c r="D140" s="9">
        <f t="shared" si="2"/>
        <v>0.30289126640769132</v>
      </c>
      <c r="E140">
        <v>0.70803692307692312</v>
      </c>
      <c r="F140">
        <v>0.55461193384527496</v>
      </c>
      <c r="H140">
        <v>1.295307607438694</v>
      </c>
    </row>
    <row r="141" spans="1:8" x14ac:dyDescent="0.3">
      <c r="A141">
        <v>0.6</v>
      </c>
      <c r="B141">
        <v>40</v>
      </c>
      <c r="C141" s="8">
        <v>1.5433300000000001E-3</v>
      </c>
      <c r="D141" s="9">
        <f t="shared" si="2"/>
        <v>0.30289126640769132</v>
      </c>
      <c r="E141">
        <v>0.61432615384615374</v>
      </c>
      <c r="F141">
        <v>0.48120741318928278</v>
      </c>
      <c r="H141">
        <v>0.84977663690982241</v>
      </c>
    </row>
    <row r="142" spans="1:8" x14ac:dyDescent="0.3">
      <c r="A142">
        <v>0.6</v>
      </c>
      <c r="B142">
        <v>40</v>
      </c>
      <c r="C142" s="8">
        <v>1.5433300000000001E-3</v>
      </c>
      <c r="D142" s="9">
        <f t="shared" si="2"/>
        <v>0.30289126640769132</v>
      </c>
      <c r="E142">
        <v>0.67555588235294117</v>
      </c>
      <c r="F142">
        <v>0.52916923132215021</v>
      </c>
      <c r="H142">
        <v>0.32791892486667806</v>
      </c>
    </row>
    <row r="143" spans="1:8" x14ac:dyDescent="0.3">
      <c r="A143">
        <v>0.6</v>
      </c>
      <c r="B143">
        <v>60</v>
      </c>
      <c r="C143" s="8">
        <v>1.379E-2</v>
      </c>
      <c r="D143" s="9">
        <f t="shared" si="2"/>
        <v>0.24730968341474896</v>
      </c>
      <c r="E143">
        <v>0</v>
      </c>
      <c r="F143">
        <v>0</v>
      </c>
      <c r="H143">
        <v>86.83172107845688</v>
      </c>
    </row>
    <row r="144" spans="1:8" x14ac:dyDescent="0.3">
      <c r="A144">
        <v>0.6</v>
      </c>
      <c r="B144">
        <v>60</v>
      </c>
      <c r="C144" s="8">
        <v>1.379E-2</v>
      </c>
      <c r="D144" s="9">
        <f t="shared" si="2"/>
        <v>0.24730968341474896</v>
      </c>
      <c r="E144">
        <v>0.25490347826086956</v>
      </c>
      <c r="F144">
        <v>0.1331121832910295</v>
      </c>
      <c r="H144">
        <v>21.597471438124085</v>
      </c>
    </row>
    <row r="145" spans="1:8" x14ac:dyDescent="0.3">
      <c r="A145">
        <v>0.6</v>
      </c>
      <c r="B145">
        <v>60</v>
      </c>
      <c r="C145" s="8">
        <v>1.379E-2</v>
      </c>
      <c r="D145" s="9">
        <f t="shared" si="2"/>
        <v>0.24730968341474896</v>
      </c>
      <c r="E145">
        <v>0.4943582608695653</v>
      </c>
      <c r="F145">
        <v>0.25815696153411782</v>
      </c>
      <c r="H145">
        <v>9.2325058555644652</v>
      </c>
    </row>
    <row r="146" spans="1:8" x14ac:dyDescent="0.3">
      <c r="A146">
        <v>0.6</v>
      </c>
      <c r="B146">
        <v>60</v>
      </c>
      <c r="C146" s="8">
        <v>1.379E-2</v>
      </c>
      <c r="D146" s="9">
        <f t="shared" si="2"/>
        <v>0.24730968341474896</v>
      </c>
      <c r="E146">
        <v>0.65877652173913048</v>
      </c>
      <c r="F146">
        <v>0.34401720097292038</v>
      </c>
      <c r="H146">
        <v>4.6892055078925532</v>
      </c>
    </row>
    <row r="147" spans="1:8" x14ac:dyDescent="0.3">
      <c r="A147">
        <v>0.6</v>
      </c>
      <c r="B147">
        <v>60</v>
      </c>
      <c r="C147" s="8">
        <v>1.379E-2</v>
      </c>
      <c r="D147" s="9">
        <f t="shared" si="2"/>
        <v>0.24730968341474896</v>
      </c>
      <c r="E147">
        <v>0.81171860869565227</v>
      </c>
      <c r="F147">
        <v>0.42388451094753798</v>
      </c>
      <c r="H147">
        <v>2.3531607736435061</v>
      </c>
    </row>
    <row r="148" spans="1:8" x14ac:dyDescent="0.3">
      <c r="A148">
        <v>0.6</v>
      </c>
      <c r="B148">
        <v>60</v>
      </c>
      <c r="C148" s="8">
        <v>1.379E-2</v>
      </c>
      <c r="D148" s="9">
        <f t="shared" si="2"/>
        <v>0.24730968341474896</v>
      </c>
      <c r="E148">
        <v>0.75036521739130435</v>
      </c>
      <c r="F148">
        <v>0.39184538804285729</v>
      </c>
      <c r="H148">
        <v>1.454810721079169</v>
      </c>
    </row>
    <row r="149" spans="1:8" x14ac:dyDescent="0.3">
      <c r="A149">
        <v>0.6</v>
      </c>
      <c r="B149">
        <v>60</v>
      </c>
      <c r="C149" s="8">
        <v>1.379E-2</v>
      </c>
      <c r="D149" s="9">
        <f t="shared" si="2"/>
        <v>0.24730968341474896</v>
      </c>
      <c r="E149">
        <v>0.80327700000000002</v>
      </c>
      <c r="F149">
        <v>0.41947625033205582</v>
      </c>
      <c r="H149">
        <v>0.69736441550850048</v>
      </c>
    </row>
    <row r="150" spans="1:8" x14ac:dyDescent="0.3">
      <c r="A150">
        <v>0.6</v>
      </c>
      <c r="B150">
        <v>60</v>
      </c>
      <c r="C150" s="8">
        <v>6.8950000000000001E-3</v>
      </c>
      <c r="D150" s="9">
        <f t="shared" si="2"/>
        <v>0.24730968341474896</v>
      </c>
      <c r="E150">
        <v>0</v>
      </c>
      <c r="F150">
        <v>0</v>
      </c>
      <c r="H150">
        <v>86.83172107845688</v>
      </c>
    </row>
    <row r="151" spans="1:8" x14ac:dyDescent="0.3">
      <c r="A151">
        <v>0.6</v>
      </c>
      <c r="B151">
        <v>60</v>
      </c>
      <c r="C151" s="8">
        <v>6.8950000000000001E-3</v>
      </c>
      <c r="D151" s="9">
        <f t="shared" si="2"/>
        <v>0.24730968341474896</v>
      </c>
      <c r="E151">
        <v>0.32773304347826088</v>
      </c>
      <c r="F151">
        <v>0.17114423565989506</v>
      </c>
      <c r="H151">
        <v>21.525335058375429</v>
      </c>
    </row>
    <row r="152" spans="1:8" x14ac:dyDescent="0.3">
      <c r="A152">
        <v>0.6</v>
      </c>
      <c r="B152">
        <v>60</v>
      </c>
      <c r="C152" s="8">
        <v>6.8950000000000001E-3</v>
      </c>
      <c r="D152" s="9">
        <f t="shared" si="2"/>
        <v>0.24730968341474896</v>
      </c>
      <c r="E152">
        <v>0.55615304347826089</v>
      </c>
      <c r="F152">
        <v>0.29042658172588248</v>
      </c>
      <c r="H152">
        <v>9.1221484555082082</v>
      </c>
    </row>
    <row r="153" spans="1:8" x14ac:dyDescent="0.3">
      <c r="A153">
        <v>0.6</v>
      </c>
      <c r="B153">
        <v>60</v>
      </c>
      <c r="C153" s="8">
        <v>6.8950000000000001E-3</v>
      </c>
      <c r="D153" s="9">
        <f t="shared" si="2"/>
        <v>0.24730968341474896</v>
      </c>
      <c r="E153">
        <v>0.751468695652174</v>
      </c>
      <c r="F153">
        <v>0.39242163126056739</v>
      </c>
      <c r="H153">
        <v>4.4669837264767489</v>
      </c>
    </row>
    <row r="154" spans="1:8" x14ac:dyDescent="0.3">
      <c r="A154">
        <v>0.6</v>
      </c>
      <c r="B154">
        <v>60</v>
      </c>
      <c r="C154" s="8">
        <v>6.8950000000000001E-3</v>
      </c>
      <c r="D154" s="9">
        <f t="shared" si="2"/>
        <v>0.24730968341474896</v>
      </c>
      <c r="E154">
        <v>0.86336139130434786</v>
      </c>
      <c r="F154">
        <v>0.45085269353636998</v>
      </c>
      <c r="H154">
        <v>2.2061009267468101</v>
      </c>
    </row>
    <row r="155" spans="1:8" x14ac:dyDescent="0.3">
      <c r="A155">
        <v>0.6</v>
      </c>
      <c r="B155">
        <v>60</v>
      </c>
      <c r="C155" s="8">
        <v>6.8950000000000001E-3</v>
      </c>
      <c r="D155" s="9">
        <f t="shared" si="2"/>
        <v>0.24730968341474896</v>
      </c>
      <c r="E155">
        <v>0.8463678260869566</v>
      </c>
      <c r="F155">
        <v>0.44197854798363467</v>
      </c>
      <c r="H155">
        <v>1.1942168072195845</v>
      </c>
    </row>
    <row r="156" spans="1:8" x14ac:dyDescent="0.3">
      <c r="A156">
        <v>0.6</v>
      </c>
      <c r="B156">
        <v>60</v>
      </c>
      <c r="C156" s="8">
        <v>6.8950000000000001E-3</v>
      </c>
      <c r="D156" s="9">
        <f t="shared" si="2"/>
        <v>0.24730968341474896</v>
      </c>
      <c r="E156">
        <v>0.92129400000000006</v>
      </c>
      <c r="F156">
        <v>0.48110546246614938</v>
      </c>
      <c r="H156">
        <v>0.35136563280660038</v>
      </c>
    </row>
    <row r="157" spans="1:8" x14ac:dyDescent="0.3">
      <c r="A157">
        <v>0.6</v>
      </c>
      <c r="B157">
        <v>60</v>
      </c>
      <c r="C157" s="8">
        <v>3.4475E-3</v>
      </c>
      <c r="D157" s="9">
        <f t="shared" si="2"/>
        <v>0.24730968341474896</v>
      </c>
      <c r="E157">
        <v>0</v>
      </c>
      <c r="F157">
        <v>0</v>
      </c>
      <c r="H157">
        <v>86.83172107845688</v>
      </c>
    </row>
    <row r="158" spans="1:8" x14ac:dyDescent="0.3">
      <c r="A158">
        <v>0.6</v>
      </c>
      <c r="B158">
        <v>60</v>
      </c>
      <c r="C158" s="8">
        <v>3.4475E-3</v>
      </c>
      <c r="D158" s="9">
        <f t="shared" si="2"/>
        <v>0.24730968341474896</v>
      </c>
      <c r="E158">
        <v>0.13241739130434785</v>
      </c>
      <c r="F158">
        <v>3.0732971611204501E-2</v>
      </c>
      <c r="H158">
        <v>21.678121848230475</v>
      </c>
    </row>
    <row r="159" spans="1:8" x14ac:dyDescent="0.3">
      <c r="A159">
        <v>0.6</v>
      </c>
      <c r="B159">
        <v>60</v>
      </c>
      <c r="C159" s="8">
        <v>3.4475E-3</v>
      </c>
      <c r="D159" s="9">
        <f t="shared" si="2"/>
        <v>0.24730968341474896</v>
      </c>
      <c r="E159">
        <v>0.33325043478260874</v>
      </c>
      <c r="F159">
        <v>0.17402545174844544</v>
      </c>
      <c r="H159">
        <v>9.4591740598366769</v>
      </c>
    </row>
    <row r="160" spans="1:8" x14ac:dyDescent="0.3">
      <c r="A160">
        <v>0.6</v>
      </c>
      <c r="B160">
        <v>60</v>
      </c>
      <c r="C160" s="8">
        <v>3.4475E-3</v>
      </c>
      <c r="D160" s="9">
        <f t="shared" si="2"/>
        <v>0.24730968341474896</v>
      </c>
      <c r="E160">
        <v>0.32773304347826088</v>
      </c>
      <c r="F160">
        <v>0.17114423565989506</v>
      </c>
      <c r="H160">
        <v>5.2443873561647649</v>
      </c>
    </row>
    <row r="161" spans="1:8" x14ac:dyDescent="0.3">
      <c r="A161">
        <v>0.6</v>
      </c>
      <c r="B161">
        <v>60</v>
      </c>
      <c r="C161" s="8">
        <v>3.4475E-3</v>
      </c>
      <c r="D161" s="9">
        <f t="shared" si="2"/>
        <v>0.24730968341474896</v>
      </c>
      <c r="E161">
        <v>0.37209286956521742</v>
      </c>
      <c r="F161">
        <v>0.1943092130118404</v>
      </c>
      <c r="H161">
        <v>3.2378985670501028</v>
      </c>
    </row>
    <row r="162" spans="1:8" x14ac:dyDescent="0.3">
      <c r="A162">
        <v>0.6</v>
      </c>
      <c r="B162">
        <v>60</v>
      </c>
      <c r="C162" s="8">
        <v>3.4475E-3</v>
      </c>
      <c r="D162" s="9">
        <f t="shared" si="2"/>
        <v>0.24730968341474896</v>
      </c>
      <c r="E162">
        <v>0.42152869565217393</v>
      </c>
      <c r="F162">
        <v>0.22012490916525218</v>
      </c>
      <c r="H162">
        <v>2.1099253020403785</v>
      </c>
    </row>
    <row r="163" spans="1:8" x14ac:dyDescent="0.3">
      <c r="A163">
        <v>0.6</v>
      </c>
      <c r="B163">
        <v>60</v>
      </c>
      <c r="C163" s="8">
        <v>3.4475E-3</v>
      </c>
      <c r="D163" s="9">
        <f t="shared" si="2"/>
        <v>0.24730968341474896</v>
      </c>
      <c r="E163">
        <v>0.42996705882352942</v>
      </c>
      <c r="F163">
        <v>0.22453147494774109</v>
      </c>
      <c r="H163">
        <v>1.4468384775488932</v>
      </c>
    </row>
    <row r="164" spans="1:8" x14ac:dyDescent="0.3">
      <c r="A164">
        <v>0.6</v>
      </c>
      <c r="B164">
        <v>60</v>
      </c>
      <c r="C164" s="8">
        <v>2.2983299999999999E-3</v>
      </c>
      <c r="D164" s="9">
        <f t="shared" si="2"/>
        <v>0.24730968341474896</v>
      </c>
      <c r="E164">
        <v>0</v>
      </c>
      <c r="F164">
        <v>0</v>
      </c>
      <c r="H164">
        <v>86.83172107845688</v>
      </c>
    </row>
    <row r="165" spans="1:8" x14ac:dyDescent="0.3">
      <c r="A165">
        <v>0.6</v>
      </c>
      <c r="B165">
        <v>60</v>
      </c>
      <c r="C165" s="8">
        <v>2.2983299999999999E-3</v>
      </c>
      <c r="D165" s="9">
        <f t="shared" si="2"/>
        <v>0.24730968341474896</v>
      </c>
      <c r="E165">
        <v>0</v>
      </c>
      <c r="F165">
        <v>0</v>
      </c>
      <c r="H165">
        <v>21.70793026961422</v>
      </c>
    </row>
    <row r="166" spans="1:8" x14ac:dyDescent="0.3">
      <c r="A166">
        <v>0.6</v>
      </c>
      <c r="B166">
        <v>60</v>
      </c>
      <c r="C166" s="8">
        <v>2.2983299999999999E-3</v>
      </c>
      <c r="D166" s="9">
        <f t="shared" si="2"/>
        <v>0.24730968341474896</v>
      </c>
      <c r="E166">
        <v>0</v>
      </c>
      <c r="F166">
        <v>0</v>
      </c>
      <c r="H166">
        <v>9.6479690087174319</v>
      </c>
    </row>
    <row r="167" spans="1:8" x14ac:dyDescent="0.3">
      <c r="A167">
        <v>0.6</v>
      </c>
      <c r="B167">
        <v>60</v>
      </c>
      <c r="C167" s="8">
        <v>2.2983299999999999E-3</v>
      </c>
      <c r="D167" s="9">
        <f t="shared" si="2"/>
        <v>0.24730968341474896</v>
      </c>
      <c r="E167">
        <v>0.13241739130434785</v>
      </c>
      <c r="F167">
        <v>3.0732971611204501E-2</v>
      </c>
      <c r="H167">
        <v>5.3971741460198119</v>
      </c>
    </row>
    <row r="168" spans="1:8" x14ac:dyDescent="0.3">
      <c r="A168">
        <v>0.6</v>
      </c>
      <c r="B168">
        <v>60</v>
      </c>
      <c r="C168" s="8">
        <v>2.2983299999999999E-3</v>
      </c>
      <c r="D168" s="9">
        <f t="shared" si="2"/>
        <v>0.24730968341474896</v>
      </c>
      <c r="E168">
        <v>0.24497217391304352</v>
      </c>
      <c r="F168">
        <v>5.6855997480728317E-2</v>
      </c>
      <c r="H168">
        <v>3.3712495209524151</v>
      </c>
    </row>
    <row r="169" spans="1:8" x14ac:dyDescent="0.3">
      <c r="A169">
        <v>0.6</v>
      </c>
      <c r="B169">
        <v>60</v>
      </c>
      <c r="C169" s="8">
        <v>2.2983299999999999E-3</v>
      </c>
      <c r="D169" s="9">
        <f t="shared" si="2"/>
        <v>0.24730968341474896</v>
      </c>
      <c r="E169">
        <v>0.13241739130434782</v>
      </c>
      <c r="F169">
        <v>6.9149186125210121E-2</v>
      </c>
      <c r="H169">
        <v>2.3821838307956154</v>
      </c>
    </row>
    <row r="170" spans="1:8" x14ac:dyDescent="0.3">
      <c r="A170">
        <v>0.6</v>
      </c>
      <c r="B170">
        <v>60</v>
      </c>
      <c r="C170" s="8">
        <v>2.2983299999999999E-3</v>
      </c>
      <c r="D170" s="9">
        <f t="shared" si="2"/>
        <v>0.24730968341474896</v>
      </c>
      <c r="E170">
        <v>0.15082971428571429</v>
      </c>
      <c r="F170">
        <v>7.8764215815001232E-2</v>
      </c>
      <c r="H170">
        <v>1.8130356456803267</v>
      </c>
    </row>
    <row r="171" spans="1:8" x14ac:dyDescent="0.3">
      <c r="A171">
        <f>100/60</f>
        <v>1.6666666666666667</v>
      </c>
      <c r="B171">
        <v>10</v>
      </c>
      <c r="C171" s="8">
        <v>2.5500000000000002E-3</v>
      </c>
      <c r="D171" s="9">
        <f t="shared" si="2"/>
        <v>1.6827292578205073</v>
      </c>
      <c r="E171">
        <v>0.15228</v>
      </c>
      <c r="F171">
        <v>0.47712938426394974</v>
      </c>
      <c r="H171">
        <v>19.897201822140001</v>
      </c>
    </row>
    <row r="172" spans="1:8" x14ac:dyDescent="0.3">
      <c r="A172">
        <f t="shared" ref="A172:A235" si="3">100/60</f>
        <v>1.6666666666666667</v>
      </c>
      <c r="B172">
        <v>10</v>
      </c>
      <c r="C172" s="8">
        <v>2.5500000000000002E-3</v>
      </c>
      <c r="D172" s="9">
        <f t="shared" si="2"/>
        <v>1.6827292578205073</v>
      </c>
      <c r="E172">
        <v>0.29345625000000003</v>
      </c>
      <c r="F172">
        <v>0.91946808425865334</v>
      </c>
      <c r="H172">
        <v>4.8377576947260943</v>
      </c>
    </row>
    <row r="173" spans="1:8" x14ac:dyDescent="0.3">
      <c r="A173">
        <f t="shared" si="3"/>
        <v>1.6666666666666667</v>
      </c>
      <c r="B173">
        <v>10</v>
      </c>
      <c r="C173" s="8">
        <v>2.5500000000000002E-3</v>
      </c>
      <c r="D173" s="9">
        <f t="shared" si="2"/>
        <v>1.6827292578205073</v>
      </c>
      <c r="E173">
        <v>0.39127500000000004</v>
      </c>
      <c r="F173">
        <v>1.2259574456782045</v>
      </c>
      <c r="H173">
        <v>1.9549169708175005</v>
      </c>
    </row>
    <row r="174" spans="1:8" x14ac:dyDescent="0.3">
      <c r="A174">
        <f t="shared" si="3"/>
        <v>1.6666666666666667</v>
      </c>
      <c r="B174">
        <v>10</v>
      </c>
      <c r="C174" s="8">
        <v>2.5500000000000002E-3</v>
      </c>
      <c r="D174" s="9">
        <f t="shared" si="2"/>
        <v>1.6827292578205073</v>
      </c>
      <c r="E174">
        <v>0.52504874999999995</v>
      </c>
      <c r="F174">
        <v>1.6451023561600768</v>
      </c>
      <c r="H174">
        <v>0.77738944342359384</v>
      </c>
    </row>
    <row r="175" spans="1:8" x14ac:dyDescent="0.3">
      <c r="A175">
        <f t="shared" si="3"/>
        <v>1.6666666666666667</v>
      </c>
      <c r="B175">
        <v>10</v>
      </c>
      <c r="C175" s="8">
        <v>2.5500000000000002E-3</v>
      </c>
      <c r="D175" s="9">
        <f t="shared" si="2"/>
        <v>1.6827292578205073</v>
      </c>
      <c r="E175">
        <v>0.56343600000000005</v>
      </c>
      <c r="F175">
        <v>1.7653787217766144</v>
      </c>
      <c r="H175">
        <v>0.25778272401359986</v>
      </c>
    </row>
    <row r="176" spans="1:8" x14ac:dyDescent="0.3">
      <c r="A176">
        <f t="shared" si="3"/>
        <v>1.6666666666666667</v>
      </c>
      <c r="B176">
        <v>10</v>
      </c>
      <c r="C176" s="8">
        <v>2.5500000000000002E-3</v>
      </c>
      <c r="D176" s="9">
        <f t="shared" si="2"/>
        <v>1.6827292578205073</v>
      </c>
      <c r="E176">
        <v>0.60065999999999997</v>
      </c>
      <c r="F176">
        <v>1.8820103490411355</v>
      </c>
      <c r="H176">
        <v>-5.9552044424999957E-2</v>
      </c>
    </row>
    <row r="177" spans="1:8" x14ac:dyDescent="0.3">
      <c r="A177">
        <f t="shared" si="3"/>
        <v>1.6666666666666667</v>
      </c>
      <c r="B177">
        <v>10</v>
      </c>
      <c r="C177" s="8">
        <v>2.5500000000000002E-3</v>
      </c>
      <c r="D177" s="9">
        <f t="shared" si="2"/>
        <v>1.6827292578205073</v>
      </c>
      <c r="E177">
        <v>0.60394040816326522</v>
      </c>
      <c r="F177">
        <v>1.8922886464345765</v>
      </c>
      <c r="H177">
        <v>-8.8642961767596729E-2</v>
      </c>
    </row>
    <row r="178" spans="1:8" x14ac:dyDescent="0.3">
      <c r="A178">
        <f t="shared" si="3"/>
        <v>1.6666666666666667</v>
      </c>
      <c r="B178">
        <v>10</v>
      </c>
      <c r="C178" s="8">
        <v>1.2750000000000001E-3</v>
      </c>
      <c r="D178" s="9">
        <f t="shared" si="2"/>
        <v>1.6827292578205073</v>
      </c>
      <c r="E178">
        <v>0.31407750000000001</v>
      </c>
      <c r="F178">
        <v>0.98407935504439659</v>
      </c>
      <c r="H178">
        <v>19.768927510209373</v>
      </c>
    </row>
    <row r="179" spans="1:8" x14ac:dyDescent="0.3">
      <c r="A179">
        <f t="shared" si="3"/>
        <v>1.6666666666666667</v>
      </c>
      <c r="B179">
        <v>10</v>
      </c>
      <c r="C179" s="8">
        <v>1.2750000000000001E-3</v>
      </c>
      <c r="D179" s="9">
        <f t="shared" si="2"/>
        <v>1.6827292578205073</v>
      </c>
      <c r="E179">
        <v>0.43621874999999999</v>
      </c>
      <c r="F179">
        <v>1.3667768820061059</v>
      </c>
      <c r="H179">
        <v>4.6606683085073435</v>
      </c>
    </row>
    <row r="180" spans="1:8" x14ac:dyDescent="0.3">
      <c r="A180">
        <f t="shared" si="3"/>
        <v>1.6666666666666667</v>
      </c>
      <c r="B180">
        <v>10</v>
      </c>
      <c r="C180" s="8">
        <v>1.2750000000000001E-3</v>
      </c>
      <c r="D180" s="9">
        <f t="shared" si="2"/>
        <v>1.6827292578205073</v>
      </c>
      <c r="E180">
        <v>0.55941750000000001</v>
      </c>
      <c r="F180">
        <v>1.752787807469649</v>
      </c>
      <c r="H180">
        <v>1.6831688875593753</v>
      </c>
    </row>
    <row r="181" spans="1:8" x14ac:dyDescent="0.3">
      <c r="A181">
        <f t="shared" si="3"/>
        <v>1.6666666666666667</v>
      </c>
      <c r="B181">
        <v>10</v>
      </c>
      <c r="C181" s="8">
        <v>1.2750000000000001E-3</v>
      </c>
      <c r="D181" s="9">
        <f t="shared" si="2"/>
        <v>1.6827292578205073</v>
      </c>
      <c r="E181">
        <v>0.86767874999999994</v>
      </c>
      <c r="F181">
        <v>2.718643470753964</v>
      </c>
      <c r="H181">
        <v>-3.3833936228905959E-2</v>
      </c>
    </row>
    <row r="182" spans="1:8" x14ac:dyDescent="0.3">
      <c r="A182">
        <f t="shared" si="3"/>
        <v>1.6666666666666667</v>
      </c>
      <c r="B182">
        <v>10</v>
      </c>
      <c r="C182" s="8">
        <v>1.2750000000000001E-3</v>
      </c>
      <c r="D182" s="9">
        <f t="shared" si="2"/>
        <v>1.6827292578205073</v>
      </c>
      <c r="E182">
        <v>0.85657499999999998</v>
      </c>
      <c r="F182">
        <v>2.6838527864847177</v>
      </c>
      <c r="H182">
        <v>-0.44986030368569979</v>
      </c>
    </row>
    <row r="183" spans="1:8" x14ac:dyDescent="0.3">
      <c r="A183">
        <f t="shared" si="3"/>
        <v>1.6666666666666667</v>
      </c>
      <c r="B183">
        <v>10</v>
      </c>
      <c r="C183" s="8">
        <v>1.2750000000000001E-3</v>
      </c>
      <c r="D183" s="9">
        <f t="shared" si="2"/>
        <v>1.6827292578205073</v>
      </c>
      <c r="E183">
        <v>0.94223250000000003</v>
      </c>
      <c r="F183">
        <v>2.9522380651331899</v>
      </c>
      <c r="H183">
        <v>-0.95546844680062548</v>
      </c>
    </row>
    <row r="184" spans="1:8" x14ac:dyDescent="0.3">
      <c r="A184">
        <f t="shared" si="3"/>
        <v>1.6666666666666667</v>
      </c>
      <c r="B184">
        <v>10</v>
      </c>
      <c r="C184" s="8">
        <v>1.2750000000000001E-3</v>
      </c>
      <c r="D184" s="9">
        <f t="shared" si="2"/>
        <v>1.6827292578205073</v>
      </c>
      <c r="E184">
        <v>0.9432036734693876</v>
      </c>
      <c r="F184">
        <v>2.9552809821246688</v>
      </c>
      <c r="H184">
        <v>-0.98095452192494748</v>
      </c>
    </row>
    <row r="185" spans="1:8" x14ac:dyDescent="0.3">
      <c r="A185">
        <f t="shared" si="3"/>
        <v>1.6666666666666667</v>
      </c>
      <c r="B185">
        <v>10</v>
      </c>
      <c r="C185" s="8">
        <v>6.3750000000000005E-4</v>
      </c>
      <c r="D185" s="9">
        <f t="shared" si="2"/>
        <v>1.6827292578205073</v>
      </c>
      <c r="E185">
        <v>0</v>
      </c>
      <c r="F185">
        <v>0</v>
      </c>
      <c r="H185">
        <v>19.936623459420002</v>
      </c>
    </row>
    <row r="186" spans="1:8" x14ac:dyDescent="0.3">
      <c r="A186">
        <f t="shared" si="3"/>
        <v>1.6666666666666667</v>
      </c>
      <c r="B186">
        <v>10</v>
      </c>
      <c r="C186" s="8">
        <v>6.3750000000000005E-4</v>
      </c>
      <c r="D186" s="9">
        <f t="shared" si="2"/>
        <v>1.6827292578205073</v>
      </c>
      <c r="E186">
        <v>0.52187625000000004</v>
      </c>
      <c r="F186">
        <v>1.6351621606545779</v>
      </c>
      <c r="H186">
        <v>4.5211526703210936</v>
      </c>
    </row>
    <row r="187" spans="1:8" x14ac:dyDescent="0.3">
      <c r="A187">
        <f t="shared" si="3"/>
        <v>1.6666666666666667</v>
      </c>
      <c r="B187">
        <v>10</v>
      </c>
      <c r="C187" s="8">
        <v>6.3750000000000005E-4</v>
      </c>
      <c r="D187" s="9">
        <f t="shared" si="2"/>
        <v>1.6827292578205073</v>
      </c>
      <c r="E187">
        <v>0.72650250000000005</v>
      </c>
      <c r="F187">
        <v>2.276304770759261</v>
      </c>
      <c r="H187">
        <v>1.3179103841193753</v>
      </c>
    </row>
    <row r="188" spans="1:8" x14ac:dyDescent="0.3">
      <c r="A188">
        <f t="shared" si="3"/>
        <v>1.6666666666666667</v>
      </c>
      <c r="B188">
        <v>10</v>
      </c>
      <c r="C188" s="8">
        <v>6.3750000000000005E-4</v>
      </c>
      <c r="D188" s="9">
        <f t="shared" si="2"/>
        <v>1.6827292578205073</v>
      </c>
      <c r="E188">
        <v>0.95174999999999998</v>
      </c>
      <c r="F188">
        <v>2.9820586516496865</v>
      </c>
      <c r="H188">
        <v>-0.29386874003624974</v>
      </c>
    </row>
    <row r="189" spans="1:8" x14ac:dyDescent="0.3">
      <c r="A189">
        <f t="shared" si="3"/>
        <v>1.6666666666666667</v>
      </c>
      <c r="B189">
        <v>10</v>
      </c>
      <c r="C189" s="8">
        <v>6.3750000000000005E-4</v>
      </c>
      <c r="D189" s="9">
        <f t="shared" si="2"/>
        <v>1.6827292578205073</v>
      </c>
      <c r="E189">
        <v>1.0894364999999999</v>
      </c>
      <c r="F189">
        <v>3.4134631365883417</v>
      </c>
      <c r="H189">
        <v>-1.2202172704280252</v>
      </c>
    </row>
    <row r="190" spans="1:8" x14ac:dyDescent="0.3">
      <c r="A190">
        <f t="shared" si="3"/>
        <v>1.6666666666666667</v>
      </c>
      <c r="B190">
        <v>10</v>
      </c>
      <c r="C190" s="8">
        <v>6.3750000000000005E-4</v>
      </c>
      <c r="D190" s="9">
        <f t="shared" si="2"/>
        <v>1.6827292578205073</v>
      </c>
      <c r="E190">
        <v>1.3266337500000001</v>
      </c>
      <c r="F190">
        <v>4.1566584205494808</v>
      </c>
      <c r="H190">
        <v>-2.4381319851914065</v>
      </c>
    </row>
    <row r="191" spans="1:8" x14ac:dyDescent="0.3">
      <c r="A191">
        <f t="shared" si="3"/>
        <v>1.6666666666666667</v>
      </c>
      <c r="B191">
        <v>10</v>
      </c>
      <c r="C191" s="8">
        <v>6.3750000000000005E-4</v>
      </c>
      <c r="D191" s="9">
        <f t="shared" si="2"/>
        <v>1.6827292578205073</v>
      </c>
      <c r="E191">
        <v>1.3332269387755098</v>
      </c>
      <c r="F191">
        <v>4.1773164459027443</v>
      </c>
      <c r="H191">
        <v>-2.490318052996916</v>
      </c>
    </row>
    <row r="192" spans="1:8" x14ac:dyDescent="0.3">
      <c r="A192">
        <f t="shared" si="3"/>
        <v>1.6666666666666667</v>
      </c>
      <c r="B192">
        <v>10</v>
      </c>
      <c r="C192" s="8">
        <v>4.2499999999999998E-4</v>
      </c>
      <c r="D192" s="9">
        <f t="shared" si="2"/>
        <v>1.6827292578205073</v>
      </c>
      <c r="E192">
        <v>0</v>
      </c>
      <c r="F192">
        <v>0</v>
      </c>
      <c r="H192">
        <v>19.936623459420002</v>
      </c>
    </row>
    <row r="193" spans="1:8" x14ac:dyDescent="0.3">
      <c r="A193">
        <f t="shared" si="3"/>
        <v>1.6666666666666667</v>
      </c>
      <c r="B193">
        <v>10</v>
      </c>
      <c r="C193" s="8">
        <v>4.2499999999999998E-4</v>
      </c>
      <c r="D193" s="9">
        <f t="shared" si="2"/>
        <v>1.6827292578205073</v>
      </c>
      <c r="E193">
        <v>0.42035624999999999</v>
      </c>
      <c r="F193">
        <v>1.3170759044786111</v>
      </c>
      <c r="H193">
        <v>4.6837669241010937</v>
      </c>
    </row>
    <row r="194" spans="1:8" x14ac:dyDescent="0.3">
      <c r="A194">
        <f t="shared" si="3"/>
        <v>1.6666666666666667</v>
      </c>
      <c r="B194">
        <v>10</v>
      </c>
      <c r="C194" s="8">
        <v>4.2499999999999998E-4</v>
      </c>
      <c r="D194" s="9">
        <f t="shared" si="2"/>
        <v>1.6827292578205073</v>
      </c>
      <c r="E194">
        <v>0.65882250000000009</v>
      </c>
      <c r="F194">
        <v>2.0642472666419498</v>
      </c>
      <c r="H194">
        <v>1.4773003373193752</v>
      </c>
    </row>
    <row r="195" spans="1:8" x14ac:dyDescent="0.3">
      <c r="A195">
        <f t="shared" si="3"/>
        <v>1.6666666666666667</v>
      </c>
      <c r="B195">
        <v>10</v>
      </c>
      <c r="C195" s="8">
        <v>4.2499999999999998E-4</v>
      </c>
      <c r="D195" s="9">
        <f t="shared" ref="D195:D258" si="4">(A195)/((9.81*B195*10^-2))^(1/2)</f>
        <v>1.6827292578205073</v>
      </c>
      <c r="E195">
        <v>0.89940374999999995</v>
      </c>
      <c r="F195">
        <v>2.8180454258089536</v>
      </c>
      <c r="H195">
        <v>-0.12913711316015614</v>
      </c>
    </row>
    <row r="196" spans="1:8" x14ac:dyDescent="0.3">
      <c r="A196">
        <f t="shared" si="3"/>
        <v>1.6666666666666667</v>
      </c>
      <c r="B196">
        <v>10</v>
      </c>
      <c r="C196" s="8">
        <v>4.2499999999999998E-4</v>
      </c>
      <c r="D196" s="9">
        <f t="shared" si="4"/>
        <v>1.6827292578205073</v>
      </c>
      <c r="E196">
        <v>1.1091059999999999</v>
      </c>
      <c r="F196">
        <v>3.475092348722435</v>
      </c>
      <c r="H196">
        <v>-1.2937324643243999</v>
      </c>
    </row>
    <row r="197" spans="1:8" x14ac:dyDescent="0.3">
      <c r="A197">
        <f t="shared" si="3"/>
        <v>1.6666666666666667</v>
      </c>
      <c r="B197">
        <v>10</v>
      </c>
      <c r="C197" s="8">
        <v>4.2499999999999998E-4</v>
      </c>
      <c r="D197" s="9">
        <f t="shared" si="4"/>
        <v>1.6827292578205073</v>
      </c>
      <c r="E197">
        <v>1.2573675000000002</v>
      </c>
      <c r="F197">
        <v>3.9396308186794191</v>
      </c>
      <c r="H197">
        <v>-2.133859055000626</v>
      </c>
    </row>
    <row r="198" spans="1:8" x14ac:dyDescent="0.3">
      <c r="A198">
        <f t="shared" si="3"/>
        <v>1.6666666666666667</v>
      </c>
      <c r="B198">
        <v>10</v>
      </c>
      <c r="C198" s="8">
        <v>4.2499999999999998E-4</v>
      </c>
      <c r="D198" s="9">
        <f t="shared" si="4"/>
        <v>1.6827292578205073</v>
      </c>
      <c r="E198">
        <v>1.2534612244897956</v>
      </c>
      <c r="F198">
        <v>3.9273915303359135</v>
      </c>
      <c r="H198">
        <v>-2.1395587037355757</v>
      </c>
    </row>
    <row r="199" spans="1:8" x14ac:dyDescent="0.3">
      <c r="A199">
        <f t="shared" si="3"/>
        <v>1.6666666666666667</v>
      </c>
      <c r="B199">
        <v>15</v>
      </c>
      <c r="C199" s="8">
        <v>3.7299999999999998E-3</v>
      </c>
      <c r="D199" s="9">
        <f t="shared" si="4"/>
        <v>1.3739426856374943</v>
      </c>
      <c r="E199">
        <v>0</v>
      </c>
      <c r="F199">
        <v>0</v>
      </c>
      <c r="H199">
        <v>31.810235769046876</v>
      </c>
    </row>
    <row r="200" spans="1:8" x14ac:dyDescent="0.3">
      <c r="A200">
        <f t="shared" si="3"/>
        <v>1.6666666666666667</v>
      </c>
      <c r="B200">
        <v>15</v>
      </c>
      <c r="C200" s="8">
        <v>3.7299999999999998E-3</v>
      </c>
      <c r="D200" s="9">
        <f t="shared" si="4"/>
        <v>1.3739426856374943</v>
      </c>
      <c r="E200">
        <v>0.35465210526315794</v>
      </c>
      <c r="F200">
        <v>0.74080614925192212</v>
      </c>
      <c r="H200">
        <v>7.7387361454568167</v>
      </c>
    </row>
    <row r="201" spans="1:8" x14ac:dyDescent="0.3">
      <c r="A201">
        <f t="shared" si="3"/>
        <v>1.6666666666666667</v>
      </c>
      <c r="B201">
        <v>15</v>
      </c>
      <c r="C201" s="8">
        <v>3.7299999999999998E-3</v>
      </c>
      <c r="D201" s="9">
        <f t="shared" si="4"/>
        <v>1.3739426856374943</v>
      </c>
      <c r="E201">
        <v>0.424781052631579</v>
      </c>
      <c r="F201">
        <v>0.88729324091190676</v>
      </c>
      <c r="H201">
        <v>3.2277244384580617</v>
      </c>
    </row>
    <row r="202" spans="1:8" x14ac:dyDescent="0.3">
      <c r="A202">
        <f t="shared" si="3"/>
        <v>1.6666666666666667</v>
      </c>
      <c r="B202">
        <v>15</v>
      </c>
      <c r="C202" s="8">
        <v>3.7299999999999998E-3</v>
      </c>
      <c r="D202" s="9">
        <f t="shared" si="4"/>
        <v>1.3739426856374943</v>
      </c>
      <c r="E202">
        <v>0.53298000000000012</v>
      </c>
      <c r="F202">
        <v>1.1133018966158832</v>
      </c>
      <c r="H202">
        <v>1.5052246788854298</v>
      </c>
    </row>
    <row r="203" spans="1:8" x14ac:dyDescent="0.3">
      <c r="A203">
        <f t="shared" si="3"/>
        <v>1.6666666666666667</v>
      </c>
      <c r="B203">
        <v>15</v>
      </c>
      <c r="C203" s="8">
        <v>3.7299999999999998E-3</v>
      </c>
      <c r="D203" s="9">
        <f t="shared" si="4"/>
        <v>1.3739426856374943</v>
      </c>
      <c r="E203">
        <v>0.67163494736842111</v>
      </c>
      <c r="F203">
        <v>1.4029278035550525</v>
      </c>
      <c r="H203">
        <v>0.50555047646668594</v>
      </c>
    </row>
    <row r="204" spans="1:8" x14ac:dyDescent="0.3">
      <c r="A204">
        <f t="shared" si="3"/>
        <v>1.6666666666666667</v>
      </c>
      <c r="B204">
        <v>15</v>
      </c>
      <c r="C204" s="8">
        <v>3.7299999999999998E-3</v>
      </c>
      <c r="D204" s="9">
        <f t="shared" si="4"/>
        <v>1.3739426856374943</v>
      </c>
      <c r="E204">
        <v>0.71865473684210524</v>
      </c>
      <c r="F204">
        <v>1.5011439107251754</v>
      </c>
      <c r="H204">
        <v>5.6277879157895722E-3</v>
      </c>
    </row>
    <row r="205" spans="1:8" x14ac:dyDescent="0.3">
      <c r="A205">
        <f t="shared" si="3"/>
        <v>1.6666666666666667</v>
      </c>
      <c r="B205">
        <v>15</v>
      </c>
      <c r="C205" s="8">
        <v>3.7299999999999998E-3</v>
      </c>
      <c r="D205" s="9">
        <f t="shared" si="4"/>
        <v>1.3739426856374943</v>
      </c>
      <c r="E205">
        <v>0.75682015037593986</v>
      </c>
      <c r="F205">
        <v>1.5808647769346911</v>
      </c>
      <c r="H205">
        <v>-0.32453197294301311</v>
      </c>
    </row>
    <row r="206" spans="1:8" x14ac:dyDescent="0.3">
      <c r="A206">
        <f t="shared" si="3"/>
        <v>1.6666666666666667</v>
      </c>
      <c r="B206">
        <v>15</v>
      </c>
      <c r="C206" s="8">
        <v>1.8649999999999999E-3</v>
      </c>
      <c r="D206" s="9">
        <f t="shared" si="4"/>
        <v>1.3739426856374943</v>
      </c>
      <c r="E206">
        <v>0</v>
      </c>
      <c r="F206">
        <v>0</v>
      </c>
      <c r="H206">
        <v>31.810235769046876</v>
      </c>
    </row>
    <row r="207" spans="1:8" x14ac:dyDescent="0.3">
      <c r="A207">
        <f t="shared" si="3"/>
        <v>1.6666666666666667</v>
      </c>
      <c r="B207">
        <v>15</v>
      </c>
      <c r="C207" s="8">
        <v>1.8649999999999999E-3</v>
      </c>
      <c r="D207" s="9">
        <f t="shared" si="4"/>
        <v>1.3739426856374943</v>
      </c>
      <c r="E207">
        <v>0.63717157894736853</v>
      </c>
      <c r="F207">
        <v>1.3309398613678602</v>
      </c>
      <c r="H207">
        <v>7.2623799865306387</v>
      </c>
    </row>
    <row r="208" spans="1:8" x14ac:dyDescent="0.3">
      <c r="A208">
        <f t="shared" si="3"/>
        <v>1.6666666666666667</v>
      </c>
      <c r="B208">
        <v>15</v>
      </c>
      <c r="C208" s="8">
        <v>1.8649999999999999E-3</v>
      </c>
      <c r="D208" s="9">
        <f t="shared" si="4"/>
        <v>1.3739426856374943</v>
      </c>
      <c r="E208">
        <v>1.0192073684210528</v>
      </c>
      <c r="F208">
        <v>2.1289457321251093</v>
      </c>
      <c r="H208">
        <v>1.7685384192708038</v>
      </c>
    </row>
    <row r="209" spans="1:8" x14ac:dyDescent="0.3">
      <c r="A209">
        <f t="shared" si="3"/>
        <v>1.6666666666666667</v>
      </c>
      <c r="B209">
        <v>15</v>
      </c>
      <c r="C209" s="8">
        <v>1.8649999999999999E-3</v>
      </c>
      <c r="D209" s="9">
        <f t="shared" si="4"/>
        <v>1.3739426856374943</v>
      </c>
      <c r="E209">
        <v>1.091006052631579</v>
      </c>
      <c r="F209">
        <v>2.2789206116817606</v>
      </c>
      <c r="H209">
        <v>-3.5360416128428065E-2</v>
      </c>
    </row>
    <row r="210" spans="1:8" x14ac:dyDescent="0.3">
      <c r="A210">
        <f t="shared" si="3"/>
        <v>1.6666666666666667</v>
      </c>
      <c r="B210">
        <v>15</v>
      </c>
      <c r="C210" s="8">
        <v>1.8649999999999999E-3</v>
      </c>
      <c r="D210" s="9">
        <f t="shared" si="4"/>
        <v>1.3739426856374943</v>
      </c>
      <c r="E210">
        <v>1.1685486315789475</v>
      </c>
      <c r="F210">
        <v>2.4408934816029433</v>
      </c>
      <c r="H210">
        <v>-1.0489506066586771</v>
      </c>
    </row>
    <row r="211" spans="1:8" x14ac:dyDescent="0.3">
      <c r="A211">
        <f t="shared" si="3"/>
        <v>1.6666666666666667</v>
      </c>
      <c r="B211">
        <v>15</v>
      </c>
      <c r="C211" s="8">
        <v>1.8649999999999999E-3</v>
      </c>
      <c r="D211" s="9">
        <f t="shared" si="4"/>
        <v>1.3739426856374943</v>
      </c>
      <c r="E211">
        <v>1.2442878947368421</v>
      </c>
      <c r="F211">
        <v>2.5990995405957262</v>
      </c>
      <c r="H211">
        <v>-1.7484113602293909</v>
      </c>
    </row>
    <row r="212" spans="1:8" x14ac:dyDescent="0.3">
      <c r="A212">
        <f t="shared" si="3"/>
        <v>1.6666666666666667</v>
      </c>
      <c r="B212">
        <v>15</v>
      </c>
      <c r="C212" s="8">
        <v>1.8649999999999999E-3</v>
      </c>
      <c r="D212" s="9">
        <f t="shared" si="4"/>
        <v>1.3739426856374943</v>
      </c>
      <c r="E212">
        <v>1.3104094736842105</v>
      </c>
      <c r="F212">
        <v>2.7372159413037123</v>
      </c>
      <c r="H212">
        <v>-2.2700055957436702</v>
      </c>
    </row>
    <row r="213" spans="1:8" x14ac:dyDescent="0.3">
      <c r="A213">
        <f t="shared" si="3"/>
        <v>1.6666666666666667</v>
      </c>
      <c r="B213">
        <v>15</v>
      </c>
      <c r="C213" s="8">
        <v>9.3249999999999995E-4</v>
      </c>
      <c r="D213" s="9">
        <f t="shared" si="4"/>
        <v>1.3739426856374943</v>
      </c>
      <c r="E213">
        <v>0</v>
      </c>
      <c r="F213">
        <v>0</v>
      </c>
      <c r="H213">
        <v>31.810235769046876</v>
      </c>
    </row>
    <row r="214" spans="1:8" x14ac:dyDescent="0.3">
      <c r="A214">
        <f t="shared" si="3"/>
        <v>1.6666666666666667</v>
      </c>
      <c r="B214">
        <v>15</v>
      </c>
      <c r="C214" s="8">
        <v>9.3249999999999995E-4</v>
      </c>
      <c r="D214" s="9">
        <f t="shared" si="4"/>
        <v>1.3739426856374943</v>
      </c>
      <c r="E214">
        <v>0.59309052631578951</v>
      </c>
      <c r="F214">
        <v>1.2388622608958699</v>
      </c>
      <c r="H214">
        <v>7.3545731091722999</v>
      </c>
    </row>
    <row r="215" spans="1:8" x14ac:dyDescent="0.3">
      <c r="A215">
        <f t="shared" si="3"/>
        <v>1.6666666666666667</v>
      </c>
      <c r="B215">
        <v>15</v>
      </c>
      <c r="C215" s="8">
        <v>9.3249999999999995E-4</v>
      </c>
      <c r="D215" s="9">
        <f t="shared" si="4"/>
        <v>1.3739426856374943</v>
      </c>
      <c r="E215">
        <v>1.0218789473684211</v>
      </c>
      <c r="F215">
        <v>2.1345261927597754</v>
      </c>
      <c r="H215">
        <v>1.7592684497780613</v>
      </c>
    </row>
    <row r="216" spans="1:8" x14ac:dyDescent="0.3">
      <c r="A216">
        <f t="shared" si="3"/>
        <v>1.6666666666666667</v>
      </c>
      <c r="B216">
        <v>15</v>
      </c>
      <c r="C216" s="8">
        <v>9.3249999999999995E-4</v>
      </c>
      <c r="D216" s="9">
        <f t="shared" si="4"/>
        <v>1.3739426856374943</v>
      </c>
      <c r="E216">
        <v>1.3204278947368422</v>
      </c>
      <c r="F216">
        <v>2.7581426686837101</v>
      </c>
      <c r="H216">
        <v>-0.97586096727315796</v>
      </c>
    </row>
    <row r="217" spans="1:8" x14ac:dyDescent="0.3">
      <c r="A217">
        <f t="shared" si="3"/>
        <v>1.6666666666666667</v>
      </c>
      <c r="B217">
        <v>15</v>
      </c>
      <c r="C217" s="8">
        <v>9.3249999999999995E-4</v>
      </c>
      <c r="D217" s="9">
        <f t="shared" si="4"/>
        <v>1.3739426856374943</v>
      </c>
      <c r="E217">
        <v>1.4939469473684213</v>
      </c>
      <c r="F217">
        <v>3.1205935869052714</v>
      </c>
      <c r="H217">
        <v>-2.5217822878755469</v>
      </c>
    </row>
    <row r="218" spans="1:8" x14ac:dyDescent="0.3">
      <c r="A218">
        <f t="shared" si="3"/>
        <v>1.6666666666666667</v>
      </c>
      <c r="B218">
        <v>15</v>
      </c>
      <c r="C218" s="8">
        <v>9.3249999999999995E-4</v>
      </c>
      <c r="D218" s="9">
        <f t="shared" si="4"/>
        <v>1.3739426856374943</v>
      </c>
      <c r="E218">
        <v>1.4800547368421053</v>
      </c>
      <c r="F218">
        <v>3.091575191605008</v>
      </c>
      <c r="H218">
        <v>-2.8403377806315797</v>
      </c>
    </row>
    <row r="219" spans="1:8" x14ac:dyDescent="0.3">
      <c r="A219">
        <f t="shared" si="3"/>
        <v>1.6666666666666667</v>
      </c>
      <c r="B219">
        <v>15</v>
      </c>
      <c r="C219" s="8">
        <v>9.3249999999999995E-4</v>
      </c>
      <c r="D219" s="9">
        <f t="shared" si="4"/>
        <v>1.3739426856374943</v>
      </c>
      <c r="E219">
        <v>1.5829105263157892</v>
      </c>
      <c r="F219">
        <v>3.306422926039652</v>
      </c>
      <c r="H219">
        <v>-3.61034126326367</v>
      </c>
    </row>
    <row r="220" spans="1:8" x14ac:dyDescent="0.3">
      <c r="A220">
        <f t="shared" si="3"/>
        <v>1.6666666666666667</v>
      </c>
      <c r="B220">
        <v>15</v>
      </c>
      <c r="C220" s="8">
        <v>6.2166999999999995E-4</v>
      </c>
      <c r="D220" s="9">
        <f t="shared" si="4"/>
        <v>1.3739426856374943</v>
      </c>
      <c r="E220">
        <v>0</v>
      </c>
      <c r="F220">
        <v>0</v>
      </c>
      <c r="H220">
        <v>31.810235769046876</v>
      </c>
    </row>
    <row r="221" spans="1:8" x14ac:dyDescent="0.3">
      <c r="A221">
        <f t="shared" si="3"/>
        <v>1.6666666666666667</v>
      </c>
      <c r="B221">
        <v>15</v>
      </c>
      <c r="C221" s="8">
        <v>6.2166999999999995E-4</v>
      </c>
      <c r="D221" s="9">
        <f t="shared" si="4"/>
        <v>1.3739426856374943</v>
      </c>
      <c r="E221">
        <v>0.57105000000000006</v>
      </c>
      <c r="F221">
        <v>1.1928234606598747</v>
      </c>
      <c r="H221">
        <v>7.3981921680117191</v>
      </c>
    </row>
    <row r="222" spans="1:8" x14ac:dyDescent="0.3">
      <c r="A222">
        <f t="shared" si="3"/>
        <v>1.6666666666666667</v>
      </c>
      <c r="B222">
        <v>15</v>
      </c>
      <c r="C222" s="8">
        <v>6.2166999999999995E-4</v>
      </c>
      <c r="D222" s="9">
        <f t="shared" si="4"/>
        <v>1.3739426856374943</v>
      </c>
      <c r="E222">
        <v>0.75472105263157907</v>
      </c>
      <c r="F222">
        <v>1.5764801292931676</v>
      </c>
      <c r="H222">
        <v>2.5661440666201667</v>
      </c>
    </row>
    <row r="223" spans="1:8" x14ac:dyDescent="0.3">
      <c r="A223">
        <f t="shared" si="3"/>
        <v>1.6666666666666667</v>
      </c>
      <c r="B223">
        <v>15</v>
      </c>
      <c r="C223" s="8">
        <v>6.2166999999999995E-4</v>
      </c>
      <c r="D223" s="9">
        <f t="shared" si="4"/>
        <v>1.3739426856374943</v>
      </c>
      <c r="E223">
        <v>1.1701515789473684</v>
      </c>
      <c r="F223">
        <v>2.4442417579837432</v>
      </c>
      <c r="H223">
        <v>-0.33959328454670346</v>
      </c>
    </row>
    <row r="224" spans="1:8" x14ac:dyDescent="0.3">
      <c r="A224">
        <f t="shared" si="3"/>
        <v>1.6666666666666667</v>
      </c>
      <c r="B224">
        <v>15</v>
      </c>
      <c r="C224" s="8">
        <v>6.2166999999999995E-4</v>
      </c>
      <c r="D224" s="9">
        <f t="shared" si="4"/>
        <v>1.3739426856374943</v>
      </c>
      <c r="E224">
        <v>1.3256374736842105</v>
      </c>
      <c r="F224">
        <v>2.7690245669213085</v>
      </c>
      <c r="H224">
        <v>-1.7150255790190803</v>
      </c>
    </row>
    <row r="225" spans="1:8" x14ac:dyDescent="0.3">
      <c r="A225">
        <f t="shared" si="3"/>
        <v>1.6666666666666667</v>
      </c>
      <c r="B225">
        <v>15</v>
      </c>
      <c r="C225" s="8">
        <v>6.2166999999999995E-4</v>
      </c>
      <c r="D225" s="9">
        <f t="shared" si="4"/>
        <v>1.3739426856374943</v>
      </c>
      <c r="E225">
        <v>1.4119294736842105</v>
      </c>
      <c r="F225">
        <v>2.949273445421023</v>
      </c>
      <c r="H225">
        <v>-2.5054085654675906</v>
      </c>
    </row>
    <row r="226" spans="1:8" x14ac:dyDescent="0.3">
      <c r="A226">
        <f t="shared" si="3"/>
        <v>1.6666666666666667</v>
      </c>
      <c r="B226">
        <v>15</v>
      </c>
      <c r="C226" s="8">
        <v>6.2166999999999995E-4</v>
      </c>
      <c r="D226" s="9">
        <f t="shared" si="4"/>
        <v>1.3739426856374943</v>
      </c>
      <c r="E226">
        <v>1.5216550375939848</v>
      </c>
      <c r="F226">
        <v>3.17847093577338</v>
      </c>
      <c r="H226">
        <v>-3.2870494057571671</v>
      </c>
    </row>
    <row r="227" spans="1:8" x14ac:dyDescent="0.3">
      <c r="A227">
        <f t="shared" si="3"/>
        <v>1.6666666666666667</v>
      </c>
      <c r="B227">
        <v>20</v>
      </c>
      <c r="C227" s="8">
        <v>4.8399999999999997E-3</v>
      </c>
      <c r="D227" s="9">
        <f t="shared" si="4"/>
        <v>1.189869269105887</v>
      </c>
      <c r="E227">
        <v>0</v>
      </c>
      <c r="F227">
        <v>0</v>
      </c>
      <c r="H227">
        <v>38.591876034869706</v>
      </c>
    </row>
    <row r="228" spans="1:8" x14ac:dyDescent="0.3">
      <c r="A228">
        <f t="shared" si="3"/>
        <v>1.6666666666666667</v>
      </c>
      <c r="B228">
        <v>20</v>
      </c>
      <c r="C228" s="8">
        <v>4.8399999999999997E-3</v>
      </c>
      <c r="D228" s="9">
        <f t="shared" si="4"/>
        <v>1.189869269105887</v>
      </c>
      <c r="E228">
        <v>0.29352521739130433</v>
      </c>
      <c r="F228">
        <v>0.45984208773264745</v>
      </c>
      <c r="H228">
        <v>9.5015020182015864</v>
      </c>
    </row>
    <row r="229" spans="1:8" x14ac:dyDescent="0.3">
      <c r="A229">
        <f t="shared" si="3"/>
        <v>1.6666666666666667</v>
      </c>
      <c r="B229">
        <v>20</v>
      </c>
      <c r="C229" s="8">
        <v>4.8399999999999997E-3</v>
      </c>
      <c r="D229" s="9">
        <f t="shared" si="4"/>
        <v>1.189869269105887</v>
      </c>
      <c r="E229">
        <v>0.39283826086956514</v>
      </c>
      <c r="F229">
        <v>0.61542775651436998</v>
      </c>
      <c r="H229">
        <v>4.0256389974514928</v>
      </c>
    </row>
    <row r="230" spans="1:8" x14ac:dyDescent="0.3">
      <c r="A230">
        <f t="shared" si="3"/>
        <v>1.6666666666666667</v>
      </c>
      <c r="B230">
        <v>20</v>
      </c>
      <c r="C230" s="8">
        <v>4.8399999999999997E-3</v>
      </c>
      <c r="D230" s="9">
        <f t="shared" si="4"/>
        <v>1.189869269105887</v>
      </c>
      <c r="E230">
        <v>0.48221999999999993</v>
      </c>
      <c r="F230">
        <v>0.7554548584179207</v>
      </c>
      <c r="H230">
        <v>2.0166808338993563</v>
      </c>
    </row>
    <row r="231" spans="1:8" x14ac:dyDescent="0.3">
      <c r="A231">
        <f t="shared" si="3"/>
        <v>1.6666666666666667</v>
      </c>
      <c r="B231">
        <v>20</v>
      </c>
      <c r="C231" s="8">
        <v>4.8399999999999997E-3</v>
      </c>
      <c r="D231" s="9">
        <f t="shared" si="4"/>
        <v>1.189869269105887</v>
      </c>
      <c r="E231">
        <v>0.58351930434782606</v>
      </c>
      <c r="F231">
        <v>0.91415224057527789</v>
      </c>
      <c r="H231">
        <v>0.96483391786561834</v>
      </c>
    </row>
    <row r="232" spans="1:8" x14ac:dyDescent="0.3">
      <c r="A232">
        <f t="shared" si="3"/>
        <v>1.6666666666666667</v>
      </c>
      <c r="B232">
        <v>20</v>
      </c>
      <c r="C232" s="8">
        <v>4.8399999999999997E-3</v>
      </c>
      <c r="D232" s="9">
        <f t="shared" si="4"/>
        <v>1.189869269105887</v>
      </c>
      <c r="E232">
        <v>0.71211130434782599</v>
      </c>
      <c r="F232">
        <v>1.1156068694867232</v>
      </c>
      <c r="H232">
        <v>0.20992228989822315</v>
      </c>
    </row>
    <row r="233" spans="1:8" x14ac:dyDescent="0.3">
      <c r="A233">
        <f t="shared" si="3"/>
        <v>1.6666666666666667</v>
      </c>
      <c r="B233">
        <v>20</v>
      </c>
      <c r="C233" s="8">
        <v>4.8399999999999997E-3</v>
      </c>
      <c r="D233" s="9">
        <f t="shared" si="4"/>
        <v>1.189869269105887</v>
      </c>
      <c r="E233">
        <v>0.93069780346820796</v>
      </c>
      <c r="F233">
        <v>1.4580485615464824</v>
      </c>
      <c r="H233">
        <v>-0.79041952290137274</v>
      </c>
    </row>
    <row r="234" spans="1:8" x14ac:dyDescent="0.3">
      <c r="A234">
        <f t="shared" si="3"/>
        <v>1.6666666666666667</v>
      </c>
      <c r="B234">
        <v>20</v>
      </c>
      <c r="C234" s="8">
        <v>2.4199999999999998E-3</v>
      </c>
      <c r="D234" s="9">
        <f t="shared" si="4"/>
        <v>1.189869269105887</v>
      </c>
      <c r="E234">
        <v>0.25159304347826084</v>
      </c>
      <c r="F234">
        <v>0.39415036091369765</v>
      </c>
      <c r="H234">
        <v>38.484267633674392</v>
      </c>
    </row>
    <row r="235" spans="1:8" x14ac:dyDescent="0.3">
      <c r="A235">
        <f t="shared" si="3"/>
        <v>1.6666666666666667</v>
      </c>
      <c r="B235">
        <v>20</v>
      </c>
      <c r="C235" s="8">
        <v>2.4199999999999998E-3</v>
      </c>
      <c r="D235" s="9">
        <f t="shared" si="4"/>
        <v>1.189869269105887</v>
      </c>
      <c r="E235">
        <v>0.492151304347826</v>
      </c>
      <c r="F235">
        <v>0.77101342529609296</v>
      </c>
      <c r="H235">
        <v>9.2362070678862747</v>
      </c>
    </row>
    <row r="236" spans="1:8" x14ac:dyDescent="0.3">
      <c r="A236">
        <f t="shared" ref="A236:A299" si="5">100/60</f>
        <v>1.6666666666666667</v>
      </c>
      <c r="B236">
        <v>20</v>
      </c>
      <c r="C236" s="8">
        <v>2.4199999999999998E-3</v>
      </c>
      <c r="D236" s="9">
        <f t="shared" si="4"/>
        <v>1.189869269105887</v>
      </c>
      <c r="E236">
        <v>0.75772173913043472</v>
      </c>
      <c r="F236">
        <v>1.1870610284827738</v>
      </c>
      <c r="H236">
        <v>3.3119444283801882</v>
      </c>
    </row>
    <row r="237" spans="1:8" x14ac:dyDescent="0.3">
      <c r="A237">
        <f t="shared" si="5"/>
        <v>1.6666666666666667</v>
      </c>
      <c r="B237">
        <v>20</v>
      </c>
      <c r="C237" s="8">
        <v>2.4199999999999998E-3</v>
      </c>
      <c r="D237" s="9">
        <f t="shared" si="4"/>
        <v>1.189869269105887</v>
      </c>
      <c r="E237">
        <v>0.92140434782608682</v>
      </c>
      <c r="F237">
        <v>1.4434892603637612</v>
      </c>
      <c r="H237">
        <v>0.96871609945156889</v>
      </c>
    </row>
    <row r="238" spans="1:8" x14ac:dyDescent="0.3">
      <c r="A238">
        <f t="shared" si="5"/>
        <v>1.6666666666666667</v>
      </c>
      <c r="B238">
        <v>20</v>
      </c>
      <c r="C238" s="8">
        <v>2.4199999999999998E-3</v>
      </c>
      <c r="D238" s="9">
        <f t="shared" si="4"/>
        <v>1.189869269105887</v>
      </c>
      <c r="E238">
        <v>1.3842031304347826</v>
      </c>
      <c r="F238">
        <v>2.1685184768865891</v>
      </c>
      <c r="H238">
        <v>-1.7135560793244793</v>
      </c>
    </row>
    <row r="239" spans="1:8" x14ac:dyDescent="0.3">
      <c r="A239">
        <f t="shared" si="5"/>
        <v>1.6666666666666667</v>
      </c>
      <c r="B239">
        <v>20</v>
      </c>
      <c r="C239" s="8">
        <v>2.4199999999999998E-3</v>
      </c>
      <c r="D239" s="9">
        <f t="shared" si="4"/>
        <v>1.189869269105887</v>
      </c>
      <c r="E239">
        <v>1.5823878260869564</v>
      </c>
      <c r="F239">
        <v>2.4789983225887826</v>
      </c>
      <c r="H239">
        <v>-3.184720538127789</v>
      </c>
    </row>
    <row r="240" spans="1:8" x14ac:dyDescent="0.3">
      <c r="A240">
        <f t="shared" si="5"/>
        <v>1.6666666666666667</v>
      </c>
      <c r="B240">
        <v>20</v>
      </c>
      <c r="C240" s="8">
        <v>2.4199999999999998E-3</v>
      </c>
      <c r="D240" s="9">
        <f t="shared" si="4"/>
        <v>1.189869269105887</v>
      </c>
      <c r="E240">
        <v>1.7328413793103448</v>
      </c>
      <c r="F240">
        <v>2.714701669087991</v>
      </c>
      <c r="H240">
        <v>-4.4303568625335545</v>
      </c>
    </row>
    <row r="241" spans="1:8" x14ac:dyDescent="0.3">
      <c r="A241">
        <f t="shared" si="5"/>
        <v>1.6666666666666667</v>
      </c>
      <c r="B241">
        <v>20</v>
      </c>
      <c r="C241" s="8">
        <v>1.2099999999999999E-3</v>
      </c>
      <c r="D241" s="9">
        <f t="shared" si="4"/>
        <v>1.189869269105887</v>
      </c>
      <c r="E241">
        <v>0.33104347826086955</v>
      </c>
      <c r="F241">
        <v>0.51861889593907595</v>
      </c>
      <c r="H241">
        <v>38.405573401221311</v>
      </c>
    </row>
    <row r="242" spans="1:8" x14ac:dyDescent="0.3">
      <c r="A242">
        <f t="shared" si="5"/>
        <v>1.6666666666666667</v>
      </c>
      <c r="B242">
        <v>20</v>
      </c>
      <c r="C242" s="8">
        <v>1.2099999999999999E-3</v>
      </c>
      <c r="D242" s="9">
        <f t="shared" si="4"/>
        <v>1.189869269105887</v>
      </c>
      <c r="E242">
        <v>0.60911999999999988</v>
      </c>
      <c r="F242">
        <v>0.95425876852789959</v>
      </c>
      <c r="H242">
        <v>9.0172228122374261</v>
      </c>
    </row>
    <row r="243" spans="1:8" x14ac:dyDescent="0.3">
      <c r="A243">
        <f t="shared" si="5"/>
        <v>1.6666666666666667</v>
      </c>
      <c r="B243">
        <v>20</v>
      </c>
      <c r="C243" s="8">
        <v>1.2099999999999999E-3</v>
      </c>
      <c r="D243" s="9">
        <f t="shared" si="4"/>
        <v>1.189869269105887</v>
      </c>
      <c r="E243">
        <v>0.8415860869565216</v>
      </c>
      <c r="F243">
        <v>1.3184444821206727</v>
      </c>
      <c r="H243">
        <v>3.0839320851066914</v>
      </c>
    </row>
    <row r="244" spans="1:8" x14ac:dyDescent="0.3">
      <c r="A244">
        <f t="shared" si="5"/>
        <v>1.6666666666666667</v>
      </c>
      <c r="B244">
        <v>20</v>
      </c>
      <c r="C244" s="8">
        <v>1.2099999999999999E-3</v>
      </c>
      <c r="D244" s="9">
        <f t="shared" si="4"/>
        <v>1.189869269105887</v>
      </c>
      <c r="E244">
        <v>1.1818252173913042</v>
      </c>
      <c r="F244">
        <v>1.8514694585025013</v>
      </c>
      <c r="H244">
        <v>3.7583816593950603E-2</v>
      </c>
    </row>
    <row r="245" spans="1:8" x14ac:dyDescent="0.3">
      <c r="A245">
        <f t="shared" si="5"/>
        <v>1.6666666666666667</v>
      </c>
      <c r="B245">
        <v>20</v>
      </c>
      <c r="C245" s="8">
        <v>1.2099999999999999E-3</v>
      </c>
      <c r="D245" s="9">
        <f t="shared" si="4"/>
        <v>1.189869269105887</v>
      </c>
      <c r="E245">
        <v>1.5740013913043476</v>
      </c>
      <c r="F245">
        <v>2.4658599772249925</v>
      </c>
      <c r="H245">
        <v>-2.6680416043128496</v>
      </c>
    </row>
    <row r="246" spans="1:8" x14ac:dyDescent="0.3">
      <c r="A246">
        <f t="shared" si="5"/>
        <v>1.6666666666666667</v>
      </c>
      <c r="B246">
        <v>20</v>
      </c>
      <c r="C246" s="8">
        <v>1.2099999999999999E-3</v>
      </c>
      <c r="D246" s="9">
        <f t="shared" si="4"/>
        <v>1.189869269105887</v>
      </c>
      <c r="E246">
        <v>1.6699304347826085</v>
      </c>
      <c r="F246">
        <v>2.6161442084037825</v>
      </c>
      <c r="H246">
        <v>-3.6687384603983353</v>
      </c>
    </row>
    <row r="247" spans="1:8" x14ac:dyDescent="0.3">
      <c r="A247">
        <f t="shared" si="5"/>
        <v>1.6666666666666667</v>
      </c>
      <c r="B247">
        <v>20</v>
      </c>
      <c r="C247" s="8">
        <v>1.2099999999999999E-3</v>
      </c>
      <c r="D247" s="9">
        <f t="shared" si="4"/>
        <v>1.189869269105887</v>
      </c>
      <c r="E247">
        <v>1.6714969411764704</v>
      </c>
      <c r="F247">
        <v>2.6185983265780304</v>
      </c>
      <c r="H247">
        <v>-4.0432285133035828</v>
      </c>
    </row>
    <row r="248" spans="1:8" x14ac:dyDescent="0.3">
      <c r="A248">
        <f t="shared" si="5"/>
        <v>1.6666666666666667</v>
      </c>
      <c r="B248">
        <v>20</v>
      </c>
      <c r="C248" s="8">
        <v>8.0667E-4</v>
      </c>
      <c r="D248" s="9">
        <f t="shared" si="4"/>
        <v>1.189869269105887</v>
      </c>
      <c r="E248">
        <v>0</v>
      </c>
      <c r="F248">
        <v>0</v>
      </c>
      <c r="H248">
        <v>38.591876034869706</v>
      </c>
    </row>
    <row r="249" spans="1:8" x14ac:dyDescent="0.3">
      <c r="A249">
        <f t="shared" si="5"/>
        <v>1.6666666666666667</v>
      </c>
      <c r="B249">
        <v>20</v>
      </c>
      <c r="C249" s="8">
        <v>8.0667E-4</v>
      </c>
      <c r="D249" s="9">
        <f t="shared" si="4"/>
        <v>1.189869269105887</v>
      </c>
      <c r="E249">
        <v>0.54732521739130424</v>
      </c>
      <c r="F249">
        <v>0.85744990795260556</v>
      </c>
      <c r="H249">
        <v>9.1387086896102812</v>
      </c>
    </row>
    <row r="250" spans="1:8" x14ac:dyDescent="0.3">
      <c r="A250">
        <f t="shared" si="5"/>
        <v>1.6666666666666667</v>
      </c>
      <c r="B250">
        <v>20</v>
      </c>
      <c r="C250" s="8">
        <v>8.0667E-4</v>
      </c>
      <c r="D250" s="9">
        <f t="shared" si="4"/>
        <v>1.189869269105887</v>
      </c>
      <c r="E250">
        <v>0.7650782608695651</v>
      </c>
      <c r="F250">
        <v>1.1985858928369753</v>
      </c>
      <c r="H250">
        <v>3.2929001591627971</v>
      </c>
    </row>
    <row r="251" spans="1:8" x14ac:dyDescent="0.3">
      <c r="A251">
        <f t="shared" si="5"/>
        <v>1.6666666666666667</v>
      </c>
      <c r="B251">
        <v>20</v>
      </c>
      <c r="C251" s="8">
        <v>8.0667E-4</v>
      </c>
      <c r="D251" s="9">
        <f t="shared" si="4"/>
        <v>1.189869269105887</v>
      </c>
      <c r="E251">
        <v>1.075891304347826</v>
      </c>
      <c r="F251">
        <v>1.6855114118019967</v>
      </c>
      <c r="H251">
        <v>0.44417068426820444</v>
      </c>
    </row>
    <row r="252" spans="1:8" x14ac:dyDescent="0.3">
      <c r="A252">
        <f t="shared" si="5"/>
        <v>1.6666666666666667</v>
      </c>
      <c r="B252">
        <v>20</v>
      </c>
      <c r="C252" s="8">
        <v>8.0667E-4</v>
      </c>
      <c r="D252" s="9">
        <f t="shared" si="4"/>
        <v>1.189869269105887</v>
      </c>
      <c r="E252">
        <v>1.3462434782608694</v>
      </c>
      <c r="F252">
        <v>2.1090501768189087</v>
      </c>
      <c r="H252">
        <v>-1.5373565132970828</v>
      </c>
    </row>
    <row r="253" spans="1:8" x14ac:dyDescent="0.3">
      <c r="A253">
        <f t="shared" si="5"/>
        <v>1.6666666666666667</v>
      </c>
      <c r="B253">
        <v>20</v>
      </c>
      <c r="C253" s="8">
        <v>8.0667E-4</v>
      </c>
      <c r="D253" s="9">
        <f t="shared" si="4"/>
        <v>1.189869269105887</v>
      </c>
      <c r="E253">
        <v>1.134375652173913</v>
      </c>
      <c r="F253">
        <v>1.7771340834179001</v>
      </c>
      <c r="H253">
        <v>-1.1155772478923249</v>
      </c>
    </row>
    <row r="254" spans="1:8" x14ac:dyDescent="0.3">
      <c r="A254">
        <f t="shared" si="5"/>
        <v>1.6666666666666667</v>
      </c>
      <c r="B254">
        <v>20</v>
      </c>
      <c r="C254" s="8">
        <v>8.0667E-4</v>
      </c>
      <c r="D254" s="9">
        <f t="shared" si="4"/>
        <v>1.189869269105887</v>
      </c>
      <c r="E254">
        <v>1.3005372781065088</v>
      </c>
      <c r="F254">
        <v>2.0374459900028628</v>
      </c>
      <c r="H254">
        <v>-2.1605857770190786</v>
      </c>
    </row>
    <row r="255" spans="1:8" x14ac:dyDescent="0.3">
      <c r="A255">
        <f t="shared" si="5"/>
        <v>1.6666666666666667</v>
      </c>
      <c r="B255">
        <v>30</v>
      </c>
      <c r="C255" s="8">
        <v>6.9100000000000003E-3</v>
      </c>
      <c r="D255" s="9">
        <f t="shared" si="4"/>
        <v>0.97152418997592926</v>
      </c>
      <c r="E255">
        <v>0.18458181818181821</v>
      </c>
      <c r="F255">
        <v>0.19277954919755552</v>
      </c>
      <c r="H255">
        <v>42.122043921814218</v>
      </c>
    </row>
    <row r="256" spans="1:8" x14ac:dyDescent="0.3">
      <c r="A256">
        <f t="shared" si="5"/>
        <v>1.6666666666666667</v>
      </c>
      <c r="B256">
        <v>30</v>
      </c>
      <c r="C256" s="8">
        <v>6.9100000000000003E-3</v>
      </c>
      <c r="D256" s="9">
        <f t="shared" si="4"/>
        <v>0.97152418997592926</v>
      </c>
      <c r="E256">
        <v>0.35993454545454551</v>
      </c>
      <c r="F256">
        <v>0.37592012093523319</v>
      </c>
      <c r="H256">
        <v>10.32475102976529</v>
      </c>
    </row>
    <row r="257" spans="1:8" x14ac:dyDescent="0.3">
      <c r="A257">
        <f t="shared" si="5"/>
        <v>1.6666666666666667</v>
      </c>
      <c r="B257">
        <v>30</v>
      </c>
      <c r="C257" s="8">
        <v>6.9100000000000003E-3</v>
      </c>
      <c r="D257" s="9">
        <f t="shared" si="4"/>
        <v>0.97152418997592926</v>
      </c>
      <c r="E257">
        <v>0.56451272727272728</v>
      </c>
      <c r="F257">
        <v>0.58958412129585713</v>
      </c>
      <c r="H257">
        <v>4.1449157786856201</v>
      </c>
    </row>
    <row r="258" spans="1:8" x14ac:dyDescent="0.3">
      <c r="A258">
        <f t="shared" si="5"/>
        <v>1.6666666666666667</v>
      </c>
      <c r="B258">
        <v>30</v>
      </c>
      <c r="C258" s="8">
        <v>6.9100000000000003E-3</v>
      </c>
      <c r="D258" s="9">
        <f t="shared" si="4"/>
        <v>0.97152418997592926</v>
      </c>
      <c r="E258">
        <v>0.87561000000000011</v>
      </c>
      <c r="F258">
        <v>0.91449798650590375</v>
      </c>
      <c r="H258">
        <v>1.3328698476012399</v>
      </c>
    </row>
    <row r="259" spans="1:8" x14ac:dyDescent="0.3">
      <c r="A259">
        <f t="shared" si="5"/>
        <v>1.6666666666666667</v>
      </c>
      <c r="B259">
        <v>30</v>
      </c>
      <c r="C259" s="8">
        <v>6.9100000000000003E-3</v>
      </c>
      <c r="D259" s="9">
        <f t="shared" ref="D259:D322" si="6">(A259)/((9.81*B259*10^-2))^(1/2)</f>
        <v>0.97152418997592926</v>
      </c>
      <c r="E259">
        <v>1.1185658181818181</v>
      </c>
      <c r="F259">
        <v>1.1682440681371862</v>
      </c>
      <c r="H259">
        <v>-0.43982358501849894</v>
      </c>
    </row>
    <row r="260" spans="1:8" x14ac:dyDescent="0.3">
      <c r="A260">
        <f t="shared" si="5"/>
        <v>1.6666666666666667</v>
      </c>
      <c r="B260">
        <v>30</v>
      </c>
      <c r="C260" s="8">
        <v>6.9100000000000003E-3</v>
      </c>
      <c r="D260" s="9">
        <f t="shared" si="6"/>
        <v>0.97152418997592926</v>
      </c>
      <c r="E260">
        <v>1.2167018181818181</v>
      </c>
      <c r="F260">
        <v>1.2707385284605532</v>
      </c>
      <c r="H260">
        <v>-1.3449519765699169</v>
      </c>
    </row>
    <row r="261" spans="1:8" x14ac:dyDescent="0.3">
      <c r="A261">
        <f t="shared" si="5"/>
        <v>1.6666666666666667</v>
      </c>
      <c r="B261">
        <v>30</v>
      </c>
      <c r="C261" s="8">
        <v>6.9100000000000003E-3</v>
      </c>
      <c r="D261" s="9">
        <f t="shared" si="6"/>
        <v>0.97152418997592926</v>
      </c>
      <c r="E261">
        <v>1.3790898701298702</v>
      </c>
      <c r="F261">
        <v>1.4403386318617359</v>
      </c>
      <c r="H261">
        <v>-2.3723954934591607</v>
      </c>
    </row>
    <row r="262" spans="1:8" x14ac:dyDescent="0.3">
      <c r="A262">
        <f t="shared" si="5"/>
        <v>1.6666666666666667</v>
      </c>
      <c r="B262">
        <v>30</v>
      </c>
      <c r="C262" s="8">
        <v>3.4550000000000002E-3</v>
      </c>
      <c r="D262" s="9">
        <f t="shared" si="6"/>
        <v>0.97152418997592926</v>
      </c>
      <c r="E262">
        <v>0.30917454545454548</v>
      </c>
      <c r="F262">
        <v>0.32290574490590546</v>
      </c>
      <c r="H262">
        <v>42.017462553492898</v>
      </c>
    </row>
    <row r="263" spans="1:8" x14ac:dyDescent="0.3">
      <c r="A263">
        <f t="shared" si="5"/>
        <v>1.6666666666666667</v>
      </c>
      <c r="B263">
        <v>30</v>
      </c>
      <c r="C263" s="8">
        <v>3.4550000000000002E-3</v>
      </c>
      <c r="D263" s="9">
        <f t="shared" si="6"/>
        <v>0.97152418997592926</v>
      </c>
      <c r="E263">
        <v>0.63219272727272735</v>
      </c>
      <c r="F263">
        <v>0.66026995600162774</v>
      </c>
      <c r="H263">
        <v>9.8655559251768619</v>
      </c>
    </row>
    <row r="264" spans="1:8" x14ac:dyDescent="0.3">
      <c r="A264">
        <f t="shared" si="5"/>
        <v>1.6666666666666667</v>
      </c>
      <c r="B264">
        <v>30</v>
      </c>
      <c r="C264" s="8">
        <v>3.4550000000000002E-3</v>
      </c>
      <c r="D264" s="9">
        <f t="shared" si="6"/>
        <v>0.97152418997592926</v>
      </c>
      <c r="E264">
        <v>0.98905090909090898</v>
      </c>
      <c r="F264">
        <v>1.0329770844502346</v>
      </c>
      <c r="H264">
        <v>3.0236857401004955</v>
      </c>
    </row>
    <row r="265" spans="1:8" x14ac:dyDescent="0.3">
      <c r="A265">
        <f t="shared" si="5"/>
        <v>1.6666666666666667</v>
      </c>
      <c r="B265">
        <v>30</v>
      </c>
      <c r="C265" s="8">
        <v>3.4550000000000002E-3</v>
      </c>
      <c r="D265" s="9">
        <f t="shared" si="6"/>
        <v>0.97152418997592926</v>
      </c>
      <c r="E265">
        <v>1.3970536363636363</v>
      </c>
      <c r="F265">
        <v>1.4591002129889978</v>
      </c>
      <c r="H265">
        <v>-0.68174233671942119</v>
      </c>
    </row>
    <row r="266" spans="1:8" x14ac:dyDescent="0.3">
      <c r="A266">
        <f t="shared" si="5"/>
        <v>1.6666666666666667</v>
      </c>
      <c r="B266">
        <v>30</v>
      </c>
      <c r="C266" s="8">
        <v>3.4550000000000002E-3</v>
      </c>
      <c r="D266" s="9">
        <f t="shared" si="6"/>
        <v>0.97152418997592926</v>
      </c>
      <c r="E266">
        <v>1.6104763636363637</v>
      </c>
      <c r="F266">
        <v>1.6820015667486714</v>
      </c>
      <c r="H266">
        <v>-2.721979453003796</v>
      </c>
    </row>
    <row r="267" spans="1:8" x14ac:dyDescent="0.3">
      <c r="A267">
        <f t="shared" si="5"/>
        <v>1.6666666666666667</v>
      </c>
      <c r="B267">
        <v>30</v>
      </c>
      <c r="C267" s="8">
        <v>3.4550000000000002E-3</v>
      </c>
      <c r="D267" s="9">
        <f t="shared" si="6"/>
        <v>0.97152418997592926</v>
      </c>
      <c r="E267">
        <v>1.7504509090909091</v>
      </c>
      <c r="F267">
        <v>1.8281927248901513</v>
      </c>
      <c r="H267">
        <v>-4.0372675968793388</v>
      </c>
    </row>
    <row r="268" spans="1:8" x14ac:dyDescent="0.3">
      <c r="A268">
        <f t="shared" si="5"/>
        <v>1.6666666666666667</v>
      </c>
      <c r="B268">
        <v>30</v>
      </c>
      <c r="C268" s="8">
        <v>3.4550000000000002E-3</v>
      </c>
      <c r="D268" s="9">
        <f t="shared" si="6"/>
        <v>0.97152418997592926</v>
      </c>
      <c r="E268">
        <v>1.8049464935064934</v>
      </c>
      <c r="F268">
        <v>1.8851085917960961</v>
      </c>
      <c r="H268">
        <v>-4.6774985501543194</v>
      </c>
    </row>
    <row r="269" spans="1:8" x14ac:dyDescent="0.3">
      <c r="A269">
        <f t="shared" si="5"/>
        <v>1.6666666666666667</v>
      </c>
      <c r="B269">
        <v>30</v>
      </c>
      <c r="C269" s="8">
        <v>1.7275000000000001E-3</v>
      </c>
      <c r="D269" s="9">
        <f t="shared" si="6"/>
        <v>0.97152418997592926</v>
      </c>
      <c r="E269">
        <v>0.3507054545454546</v>
      </c>
      <c r="F269">
        <v>0.3662811434753554</v>
      </c>
      <c r="H269">
        <v>41.970873345798353</v>
      </c>
    </row>
    <row r="270" spans="1:8" x14ac:dyDescent="0.3">
      <c r="A270">
        <f t="shared" si="5"/>
        <v>1.6666666666666667</v>
      </c>
      <c r="B270">
        <v>30</v>
      </c>
      <c r="C270" s="8">
        <v>1.7275000000000001E-3</v>
      </c>
      <c r="D270" s="9">
        <f t="shared" si="6"/>
        <v>0.97152418997592926</v>
      </c>
      <c r="E270">
        <v>0.58143272727272732</v>
      </c>
      <c r="F270">
        <v>0.60725557997229984</v>
      </c>
      <c r="H270">
        <v>9.9702820929004989</v>
      </c>
    </row>
    <row r="271" spans="1:8" x14ac:dyDescent="0.3">
      <c r="A271">
        <f t="shared" si="5"/>
        <v>1.6666666666666667</v>
      </c>
      <c r="B271">
        <v>30</v>
      </c>
      <c r="C271" s="8">
        <v>1.7275000000000001E-3</v>
      </c>
      <c r="D271" s="9">
        <f t="shared" si="6"/>
        <v>0.97152418997592926</v>
      </c>
      <c r="E271">
        <v>0.79985454545454548</v>
      </c>
      <c r="F271">
        <v>0.83537804652274039</v>
      </c>
      <c r="H271">
        <v>3.5990582318122315</v>
      </c>
    </row>
    <row r="272" spans="1:8" x14ac:dyDescent="0.3">
      <c r="A272">
        <f t="shared" si="5"/>
        <v>1.6666666666666667</v>
      </c>
      <c r="B272">
        <v>30</v>
      </c>
      <c r="C272" s="8">
        <v>1.7275000000000001E-3</v>
      </c>
      <c r="D272" s="9">
        <f t="shared" si="6"/>
        <v>0.97152418997592926</v>
      </c>
      <c r="E272">
        <v>1.1109518181818183</v>
      </c>
      <c r="F272">
        <v>1.1602919117327872</v>
      </c>
      <c r="H272">
        <v>0.53808402822471069</v>
      </c>
    </row>
    <row r="273" spans="1:8" x14ac:dyDescent="0.3">
      <c r="A273">
        <f t="shared" si="5"/>
        <v>1.6666666666666667</v>
      </c>
      <c r="B273">
        <v>30</v>
      </c>
      <c r="C273" s="8">
        <v>1.7275000000000001E-3</v>
      </c>
      <c r="D273" s="9">
        <f t="shared" si="6"/>
        <v>0.97152418997592926</v>
      </c>
      <c r="E273">
        <v>1.2293149090909092</v>
      </c>
      <c r="F273">
        <v>1.2839117976557195</v>
      </c>
      <c r="H273">
        <v>-0.88186720040283006</v>
      </c>
    </row>
    <row r="274" spans="1:8" x14ac:dyDescent="0.3">
      <c r="A274">
        <f t="shared" si="5"/>
        <v>1.6666666666666667</v>
      </c>
      <c r="B274">
        <v>30</v>
      </c>
      <c r="C274" s="8">
        <v>1.7275000000000001E-3</v>
      </c>
      <c r="D274" s="9">
        <f t="shared" si="6"/>
        <v>0.97152418997592926</v>
      </c>
      <c r="E274">
        <v>1.2913036363636363</v>
      </c>
      <c r="F274">
        <v>1.3486535962612318</v>
      </c>
      <c r="H274">
        <v>-1.6630249803322308</v>
      </c>
    </row>
    <row r="275" spans="1:8" x14ac:dyDescent="0.3">
      <c r="A275">
        <f t="shared" si="5"/>
        <v>1.6666666666666667</v>
      </c>
      <c r="B275">
        <v>30</v>
      </c>
      <c r="C275" s="8">
        <v>1.7275000000000001E-3</v>
      </c>
      <c r="D275" s="9">
        <f t="shared" si="6"/>
        <v>0.97152418997592926</v>
      </c>
      <c r="E275">
        <v>1.4139360000000001</v>
      </c>
      <c r="F275">
        <v>1.4767323637786365</v>
      </c>
      <c r="H275">
        <v>-2.5669048967424004</v>
      </c>
    </row>
    <row r="276" spans="1:8" x14ac:dyDescent="0.3">
      <c r="A276">
        <f t="shared" si="5"/>
        <v>1.6666666666666667</v>
      </c>
      <c r="B276">
        <v>30</v>
      </c>
      <c r="C276" s="8">
        <v>1.15167E-3</v>
      </c>
      <c r="D276" s="9">
        <f t="shared" si="6"/>
        <v>0.97152418997592926</v>
      </c>
      <c r="E276">
        <v>0</v>
      </c>
      <c r="F276">
        <v>0</v>
      </c>
      <c r="H276">
        <v>42.179963682739846</v>
      </c>
    </row>
    <row r="277" spans="1:8" x14ac:dyDescent="0.3">
      <c r="A277">
        <f t="shared" si="5"/>
        <v>1.6666666666666667</v>
      </c>
      <c r="B277">
        <v>30</v>
      </c>
      <c r="C277" s="8">
        <v>1.15167E-3</v>
      </c>
      <c r="D277" s="9">
        <f t="shared" si="6"/>
        <v>0.97152418997592926</v>
      </c>
      <c r="E277">
        <v>0.51913636363636373</v>
      </c>
      <c r="F277">
        <v>0.54219248211812476</v>
      </c>
      <c r="H277">
        <v>10.086836561800665</v>
      </c>
    </row>
    <row r="278" spans="1:8" x14ac:dyDescent="0.3">
      <c r="A278">
        <f t="shared" si="5"/>
        <v>1.6666666666666667</v>
      </c>
      <c r="B278">
        <v>30</v>
      </c>
      <c r="C278" s="8">
        <v>1.15167E-3</v>
      </c>
      <c r="D278" s="9">
        <f t="shared" si="6"/>
        <v>0.97152418997592926</v>
      </c>
      <c r="E278">
        <v>0.71217818181818182</v>
      </c>
      <c r="F278">
        <v>0.74380776065390153</v>
      </c>
      <c r="H278">
        <v>3.8244264348971901</v>
      </c>
    </row>
    <row r="279" spans="1:8" x14ac:dyDescent="0.3">
      <c r="A279">
        <f t="shared" si="5"/>
        <v>1.6666666666666667</v>
      </c>
      <c r="B279">
        <v>30</v>
      </c>
      <c r="C279" s="8">
        <v>1.15167E-3</v>
      </c>
      <c r="D279" s="9">
        <f t="shared" si="6"/>
        <v>0.97152418997592926</v>
      </c>
      <c r="E279">
        <v>0.94021363636363653</v>
      </c>
      <c r="F279">
        <v>0.98197082872504837</v>
      </c>
      <c r="H279">
        <v>1.1334448707642151</v>
      </c>
    </row>
    <row r="280" spans="1:8" x14ac:dyDescent="0.3">
      <c r="A280">
        <f t="shared" si="5"/>
        <v>1.6666666666666667</v>
      </c>
      <c r="B280">
        <v>30</v>
      </c>
      <c r="C280" s="8">
        <v>1.15167E-3</v>
      </c>
      <c r="D280" s="9">
        <f t="shared" si="6"/>
        <v>0.97152418997592926</v>
      </c>
      <c r="E280">
        <v>0.76140000000000008</v>
      </c>
      <c r="F280">
        <v>0.79521564043991644</v>
      </c>
      <c r="H280">
        <v>0.70165761530959359</v>
      </c>
    </row>
    <row r="281" spans="1:8" x14ac:dyDescent="0.3">
      <c r="A281">
        <f t="shared" si="5"/>
        <v>1.6666666666666667</v>
      </c>
      <c r="B281">
        <v>30</v>
      </c>
      <c r="C281" s="8">
        <v>1.15167E-3</v>
      </c>
      <c r="D281" s="9">
        <f t="shared" si="6"/>
        <v>0.97152418997592926</v>
      </c>
      <c r="E281">
        <v>0.98443636363636366</v>
      </c>
      <c r="F281">
        <v>1.028157595720296</v>
      </c>
      <c r="H281">
        <v>-0.47582976403041327</v>
      </c>
    </row>
    <row r="282" spans="1:8" x14ac:dyDescent="0.3">
      <c r="A282">
        <f t="shared" si="5"/>
        <v>1.6666666666666667</v>
      </c>
      <c r="B282">
        <v>30</v>
      </c>
      <c r="C282" s="8">
        <v>1.15167E-3</v>
      </c>
      <c r="D282" s="9">
        <f t="shared" si="6"/>
        <v>0.97152418997592926</v>
      </c>
      <c r="E282">
        <v>0.98236800000000002</v>
      </c>
      <c r="F282">
        <v>1.0259973709846071</v>
      </c>
      <c r="H282">
        <v>-0.8088190848000002</v>
      </c>
    </row>
    <row r="283" spans="1:8" x14ac:dyDescent="0.3">
      <c r="A283">
        <f t="shared" si="5"/>
        <v>1.6666666666666667</v>
      </c>
      <c r="B283">
        <v>40</v>
      </c>
      <c r="C283" s="8">
        <v>8.7799999999999996E-3</v>
      </c>
      <c r="D283" s="9">
        <f t="shared" si="6"/>
        <v>0.84136462891025365</v>
      </c>
      <c r="E283">
        <v>0</v>
      </c>
      <c r="F283">
        <v>0</v>
      </c>
      <c r="H283">
        <v>53.688632274677403</v>
      </c>
    </row>
    <row r="284" spans="1:8" x14ac:dyDescent="0.3">
      <c r="A284">
        <f t="shared" si="5"/>
        <v>1.6666666666666667</v>
      </c>
      <c r="B284">
        <v>40</v>
      </c>
      <c r="C284" s="8">
        <v>8.7799999999999996E-3</v>
      </c>
      <c r="D284" s="9">
        <f t="shared" si="6"/>
        <v>0.84136462891025365</v>
      </c>
      <c r="E284">
        <v>0.35141538461538463</v>
      </c>
      <c r="F284">
        <v>0.27526695245997107</v>
      </c>
      <c r="H284">
        <v>13.212220355343906</v>
      </c>
    </row>
    <row r="285" spans="1:8" x14ac:dyDescent="0.3">
      <c r="A285">
        <f t="shared" si="5"/>
        <v>1.6666666666666667</v>
      </c>
      <c r="B285">
        <v>40</v>
      </c>
      <c r="C285" s="8">
        <v>8.7799999999999996E-3</v>
      </c>
      <c r="D285" s="9">
        <f t="shared" si="6"/>
        <v>0.84136462891025365</v>
      </c>
      <c r="E285">
        <v>0.49805538461538457</v>
      </c>
      <c r="F285">
        <v>0.3901314338568479</v>
      </c>
      <c r="H285">
        <v>5.5437030036298225</v>
      </c>
    </row>
    <row r="286" spans="1:8" x14ac:dyDescent="0.3">
      <c r="A286">
        <f t="shared" si="5"/>
        <v>1.6666666666666667</v>
      </c>
      <c r="B286">
        <v>40</v>
      </c>
      <c r="C286" s="8">
        <v>8.7799999999999996E-3</v>
      </c>
      <c r="D286" s="9">
        <f t="shared" si="6"/>
        <v>0.84136462891025365</v>
      </c>
      <c r="E286">
        <v>0.66508615384615388</v>
      </c>
      <c r="F286">
        <v>0.52096819521127857</v>
      </c>
      <c r="H286">
        <v>2.6035622107029588</v>
      </c>
    </row>
    <row r="287" spans="1:8" x14ac:dyDescent="0.3">
      <c r="A287">
        <f t="shared" si="5"/>
        <v>1.6666666666666667</v>
      </c>
      <c r="B287">
        <v>40</v>
      </c>
      <c r="C287" s="8">
        <v>8.7799999999999996E-3</v>
      </c>
      <c r="D287" s="9">
        <f t="shared" si="6"/>
        <v>0.84136462891025365</v>
      </c>
      <c r="E287">
        <v>0.90795323076923085</v>
      </c>
      <c r="F287">
        <v>0.71120824457805853</v>
      </c>
      <c r="H287">
        <v>0.74610087323781304</v>
      </c>
    </row>
    <row r="288" spans="1:8" x14ac:dyDescent="0.3">
      <c r="A288">
        <f t="shared" si="5"/>
        <v>1.6666666666666667</v>
      </c>
      <c r="B288">
        <v>40</v>
      </c>
      <c r="C288" s="8">
        <v>8.7799999999999996E-3</v>
      </c>
      <c r="D288" s="9">
        <f t="shared" si="6"/>
        <v>0.84136462891025365</v>
      </c>
      <c r="E288">
        <v>1.077673846153846</v>
      </c>
      <c r="F288">
        <v>0.84415198754391141</v>
      </c>
      <c r="H288">
        <v>-0.48299666524402307</v>
      </c>
    </row>
    <row r="289" spans="1:8" x14ac:dyDescent="0.3">
      <c r="A289">
        <f t="shared" si="5"/>
        <v>1.6666666666666667</v>
      </c>
      <c r="B289">
        <v>40</v>
      </c>
      <c r="C289" s="8">
        <v>8.7799999999999996E-3</v>
      </c>
      <c r="D289" s="9">
        <f t="shared" si="6"/>
        <v>0.84136462891025365</v>
      </c>
      <c r="E289">
        <v>1.1341450746268655</v>
      </c>
      <c r="F289">
        <v>0.88838642816310054</v>
      </c>
      <c r="H289">
        <v>-1.0497330137549028</v>
      </c>
    </row>
    <row r="290" spans="1:8" x14ac:dyDescent="0.3">
      <c r="A290">
        <f t="shared" si="5"/>
        <v>1.6666666666666667</v>
      </c>
      <c r="B290">
        <v>40</v>
      </c>
      <c r="C290" s="8">
        <v>4.3899999999999998E-3</v>
      </c>
      <c r="D290" s="9">
        <f t="shared" si="6"/>
        <v>0.84136462891025365</v>
      </c>
      <c r="E290">
        <v>0.33840000000000003</v>
      </c>
      <c r="F290">
        <v>0.26507188014663879</v>
      </c>
      <c r="H290">
        <v>53.493957522677398</v>
      </c>
    </row>
    <row r="291" spans="1:8" x14ac:dyDescent="0.3">
      <c r="A291">
        <f t="shared" si="5"/>
        <v>1.6666666666666667</v>
      </c>
      <c r="B291">
        <v>40</v>
      </c>
      <c r="C291" s="8">
        <v>4.3899999999999998E-3</v>
      </c>
      <c r="D291" s="9">
        <f t="shared" si="6"/>
        <v>0.84136462891025365</v>
      </c>
      <c r="E291">
        <v>0.56226461538461547</v>
      </c>
      <c r="F291">
        <v>0.44042712393595368</v>
      </c>
      <c r="H291">
        <v>12.884717522556215</v>
      </c>
    </row>
    <row r="292" spans="1:8" x14ac:dyDescent="0.3">
      <c r="A292">
        <f t="shared" si="5"/>
        <v>1.6666666666666667</v>
      </c>
      <c r="B292">
        <v>40</v>
      </c>
      <c r="C292" s="8">
        <v>4.3899999999999998E-3</v>
      </c>
      <c r="D292" s="9">
        <f t="shared" si="6"/>
        <v>0.84136462891025365</v>
      </c>
      <c r="E292">
        <v>0.83819076923076918</v>
      </c>
      <c r="F292">
        <v>0.65656265697859773</v>
      </c>
      <c r="H292">
        <v>4.771045184515029</v>
      </c>
    </row>
    <row r="293" spans="1:8" x14ac:dyDescent="0.3">
      <c r="A293">
        <f t="shared" si="5"/>
        <v>1.6666666666666667</v>
      </c>
      <c r="B293">
        <v>40</v>
      </c>
      <c r="C293" s="8">
        <v>4.3899999999999998E-3</v>
      </c>
      <c r="D293" s="9">
        <f t="shared" si="6"/>
        <v>0.84136462891025365</v>
      </c>
      <c r="E293">
        <v>1.1557661538461539</v>
      </c>
      <c r="F293">
        <v>0.90532242142390484</v>
      </c>
      <c r="H293">
        <v>1.0846873331275737</v>
      </c>
    </row>
    <row r="294" spans="1:8" x14ac:dyDescent="0.3">
      <c r="A294">
        <f t="shared" si="5"/>
        <v>1.6666666666666667</v>
      </c>
      <c r="B294">
        <v>40</v>
      </c>
      <c r="C294" s="8">
        <v>4.3899999999999998E-3</v>
      </c>
      <c r="D294" s="9">
        <f t="shared" si="6"/>
        <v>0.84136462891025365</v>
      </c>
      <c r="E294">
        <v>1.3213218461538461</v>
      </c>
      <c r="F294">
        <v>1.0350037412494912</v>
      </c>
      <c r="H294">
        <v>-0.82047012492269777</v>
      </c>
    </row>
    <row r="295" spans="1:8" x14ac:dyDescent="0.3">
      <c r="A295">
        <f t="shared" si="5"/>
        <v>1.6666666666666667</v>
      </c>
      <c r="B295">
        <v>40</v>
      </c>
      <c r="C295" s="8">
        <v>4.3899999999999998E-3</v>
      </c>
      <c r="D295" s="9">
        <f t="shared" si="6"/>
        <v>0.84136462891025365</v>
      </c>
      <c r="E295">
        <v>1.3831015384615382</v>
      </c>
      <c r="F295">
        <v>1.0833963511634417</v>
      </c>
      <c r="H295">
        <v>-1.7606978751621296</v>
      </c>
    </row>
    <row r="296" spans="1:8" x14ac:dyDescent="0.3">
      <c r="A296">
        <f t="shared" si="5"/>
        <v>1.6666666666666667</v>
      </c>
      <c r="B296">
        <v>40</v>
      </c>
      <c r="C296" s="8">
        <v>4.3899999999999998E-3</v>
      </c>
      <c r="D296" s="9">
        <f t="shared" si="6"/>
        <v>0.84136462891025365</v>
      </c>
      <c r="E296">
        <v>1.4349170149253732</v>
      </c>
      <c r="F296">
        <v>1.1239838977561207</v>
      </c>
      <c r="H296">
        <v>-2.3633260557722426</v>
      </c>
    </row>
    <row r="297" spans="1:8" x14ac:dyDescent="0.3">
      <c r="A297">
        <f t="shared" si="5"/>
        <v>1.6666666666666667</v>
      </c>
      <c r="B297">
        <v>40</v>
      </c>
      <c r="C297" s="8">
        <v>2.1949999999999999E-3</v>
      </c>
      <c r="D297" s="9">
        <f t="shared" si="6"/>
        <v>0.84136462891025365</v>
      </c>
      <c r="E297">
        <v>0.31236923076923079</v>
      </c>
      <c r="F297">
        <v>0.2446817355199743</v>
      </c>
      <c r="H297">
        <v>53.522755562914085</v>
      </c>
    </row>
    <row r="298" spans="1:8" x14ac:dyDescent="0.3">
      <c r="A298">
        <f t="shared" si="5"/>
        <v>1.6666666666666667</v>
      </c>
      <c r="B298">
        <v>40</v>
      </c>
      <c r="C298" s="8">
        <v>2.1949999999999999E-3</v>
      </c>
      <c r="D298" s="9">
        <f t="shared" si="6"/>
        <v>0.84136462891025365</v>
      </c>
      <c r="E298">
        <v>0.61432615384615386</v>
      </c>
      <c r="F298">
        <v>0.48120741318928278</v>
      </c>
      <c r="H298">
        <v>12.780583809060355</v>
      </c>
    </row>
    <row r="299" spans="1:8" x14ac:dyDescent="0.3">
      <c r="A299">
        <f t="shared" si="5"/>
        <v>1.6666666666666667</v>
      </c>
      <c r="B299">
        <v>40</v>
      </c>
      <c r="C299" s="8">
        <v>2.1949999999999999E-3</v>
      </c>
      <c r="D299" s="9">
        <f t="shared" si="6"/>
        <v>0.84136462891025365</v>
      </c>
      <c r="E299">
        <v>0.8746338461538461</v>
      </c>
      <c r="F299">
        <v>0.68510885945592803</v>
      </c>
      <c r="H299">
        <v>4.6649301658508868</v>
      </c>
    </row>
    <row r="300" spans="1:8" x14ac:dyDescent="0.3">
      <c r="A300">
        <f t="shared" ref="A300:A338" si="7">100/60</f>
        <v>1.6666666666666667</v>
      </c>
      <c r="B300">
        <v>40</v>
      </c>
      <c r="C300" s="8">
        <v>2.1949999999999999E-3</v>
      </c>
      <c r="D300" s="9">
        <f t="shared" si="6"/>
        <v>0.84136462891025365</v>
      </c>
      <c r="E300">
        <v>0.99177230769230773</v>
      </c>
      <c r="F300">
        <v>0.77686451027591841</v>
      </c>
      <c r="H300">
        <v>1.6833985896482841</v>
      </c>
    </row>
    <row r="301" spans="1:8" x14ac:dyDescent="0.3">
      <c r="A301">
        <f t="shared" si="7"/>
        <v>1.6666666666666667</v>
      </c>
      <c r="B301">
        <v>40</v>
      </c>
      <c r="C301" s="8">
        <v>2.1949999999999999E-3</v>
      </c>
      <c r="D301" s="9">
        <f t="shared" si="6"/>
        <v>0.84136462891025365</v>
      </c>
      <c r="E301">
        <v>0.93606646153846162</v>
      </c>
      <c r="F301">
        <v>0.73322960077485622</v>
      </c>
      <c r="H301">
        <v>0.65797057627796462</v>
      </c>
    </row>
    <row r="302" spans="1:8" x14ac:dyDescent="0.3">
      <c r="A302">
        <f t="shared" si="7"/>
        <v>1.6666666666666667</v>
      </c>
      <c r="B302">
        <v>40</v>
      </c>
      <c r="C302" s="8">
        <v>2.1949999999999999E-3</v>
      </c>
      <c r="D302" s="9">
        <f t="shared" si="6"/>
        <v>0.84136462891025365</v>
      </c>
      <c r="E302">
        <v>1.0256123076923076</v>
      </c>
      <c r="F302">
        <v>0.8033716982905823</v>
      </c>
      <c r="H302">
        <v>-0.29684613315408259</v>
      </c>
    </row>
    <row r="303" spans="1:8" x14ac:dyDescent="0.3">
      <c r="A303">
        <f t="shared" si="7"/>
        <v>1.6666666666666667</v>
      </c>
      <c r="B303">
        <v>40</v>
      </c>
      <c r="C303" s="8">
        <v>2.1949999999999999E-3</v>
      </c>
      <c r="D303" s="9">
        <f t="shared" si="6"/>
        <v>0.84136462891025365</v>
      </c>
      <c r="E303">
        <v>1.101246691449814</v>
      </c>
      <c r="F303">
        <v>0.86261681739913609</v>
      </c>
      <c r="H303">
        <v>-0.93315115579629893</v>
      </c>
    </row>
    <row r="304" spans="1:8" x14ac:dyDescent="0.3">
      <c r="A304">
        <f t="shared" si="7"/>
        <v>1.6666666666666667</v>
      </c>
      <c r="B304">
        <v>40</v>
      </c>
      <c r="C304" s="8">
        <v>1.4633300000000001E-3</v>
      </c>
      <c r="D304" s="9">
        <f t="shared" si="6"/>
        <v>0.84136462891025365</v>
      </c>
      <c r="E304">
        <v>0.30195692307692307</v>
      </c>
      <c r="F304">
        <v>0.23652567766930846</v>
      </c>
      <c r="H304">
        <v>53.533629702907461</v>
      </c>
    </row>
    <row r="305" spans="1:8" x14ac:dyDescent="0.3">
      <c r="A305">
        <f t="shared" si="7"/>
        <v>1.6666666666666667</v>
      </c>
      <c r="B305">
        <v>40</v>
      </c>
      <c r="C305" s="8">
        <v>1.4633300000000001E-3</v>
      </c>
      <c r="D305" s="9">
        <f t="shared" si="6"/>
        <v>0.84136462891025365</v>
      </c>
      <c r="E305">
        <v>0.58569230769230773</v>
      </c>
      <c r="F305">
        <v>0.45877825409995171</v>
      </c>
      <c r="H305">
        <v>12.838997753876452</v>
      </c>
    </row>
    <row r="306" spans="1:8" x14ac:dyDescent="0.3">
      <c r="A306">
        <f t="shared" si="7"/>
        <v>1.6666666666666667</v>
      </c>
      <c r="B306">
        <v>40</v>
      </c>
      <c r="C306" s="8">
        <v>1.4633300000000001E-3</v>
      </c>
      <c r="D306" s="9">
        <f t="shared" si="6"/>
        <v>0.84136462891025365</v>
      </c>
      <c r="E306">
        <v>0.73059692307692303</v>
      </c>
      <c r="F306">
        <v>0.57228339252171767</v>
      </c>
      <c r="H306">
        <v>5.0579914172591716</v>
      </c>
    </row>
    <row r="307" spans="1:8" x14ac:dyDescent="0.3">
      <c r="A307">
        <f t="shared" si="7"/>
        <v>1.6666666666666667</v>
      </c>
      <c r="B307">
        <v>40</v>
      </c>
      <c r="C307" s="8">
        <v>1.4633300000000001E-3</v>
      </c>
      <c r="D307" s="9">
        <f t="shared" si="6"/>
        <v>0.84136462891025365</v>
      </c>
      <c r="E307">
        <v>0.73016307692307703</v>
      </c>
      <c r="F307">
        <v>0.57194355677793984</v>
      </c>
      <c r="H307">
        <v>2.4492047150343197</v>
      </c>
    </row>
    <row r="308" spans="1:8" x14ac:dyDescent="0.3">
      <c r="A308">
        <f t="shared" si="7"/>
        <v>1.6666666666666667</v>
      </c>
      <c r="B308">
        <v>40</v>
      </c>
      <c r="C308" s="8">
        <v>1.4633300000000001E-3</v>
      </c>
      <c r="D308" s="9">
        <f t="shared" si="6"/>
        <v>0.84136462891025365</v>
      </c>
      <c r="E308">
        <v>0.64972800000000008</v>
      </c>
      <c r="F308">
        <v>0.50893800988154647</v>
      </c>
      <c r="H308">
        <v>1.4298962852142962</v>
      </c>
    </row>
    <row r="309" spans="1:8" x14ac:dyDescent="0.3">
      <c r="A309">
        <f t="shared" si="7"/>
        <v>1.6666666666666667</v>
      </c>
      <c r="B309">
        <v>40</v>
      </c>
      <c r="C309" s="8">
        <v>1.4633300000000001E-3</v>
      </c>
      <c r="D309" s="9">
        <f t="shared" si="6"/>
        <v>0.84136462891025365</v>
      </c>
      <c r="E309">
        <v>0.77571692307692297</v>
      </c>
      <c r="F309">
        <v>0.60762630987460287</v>
      </c>
      <c r="H309">
        <v>0.46839843044733737</v>
      </c>
    </row>
    <row r="310" spans="1:8" x14ac:dyDescent="0.3">
      <c r="A310">
        <f t="shared" si="7"/>
        <v>1.6666666666666667</v>
      </c>
      <c r="B310">
        <v>40</v>
      </c>
      <c r="C310" s="8">
        <v>1.4633300000000001E-3</v>
      </c>
      <c r="D310" s="9">
        <f t="shared" si="6"/>
        <v>0.84136462891025365</v>
      </c>
      <c r="E310">
        <v>0.8068368539325842</v>
      </c>
      <c r="F310">
        <v>0.63200284232715442</v>
      </c>
      <c r="H310">
        <v>3.880830634677454E-2</v>
      </c>
    </row>
    <row r="311" spans="1:8" x14ac:dyDescent="0.3">
      <c r="A311">
        <f t="shared" si="7"/>
        <v>1.6666666666666667</v>
      </c>
      <c r="B311">
        <v>60</v>
      </c>
      <c r="C311" s="8">
        <v>1.205E-2</v>
      </c>
      <c r="D311" s="9">
        <f t="shared" si="6"/>
        <v>0.68697134281874717</v>
      </c>
      <c r="E311">
        <v>0</v>
      </c>
      <c r="F311">
        <v>0</v>
      </c>
      <c r="H311">
        <v>86.83172107845688</v>
      </c>
    </row>
    <row r="312" spans="1:8" x14ac:dyDescent="0.3">
      <c r="A312">
        <f t="shared" si="7"/>
        <v>1.6666666666666667</v>
      </c>
      <c r="B312">
        <v>60</v>
      </c>
      <c r="C312" s="8">
        <v>1.205E-2</v>
      </c>
      <c r="D312" s="9">
        <f t="shared" si="6"/>
        <v>0.68697134281874717</v>
      </c>
      <c r="E312">
        <v>0.21517826086956524</v>
      </c>
      <c r="F312">
        <v>0.11236742745346645</v>
      </c>
      <c r="H312">
        <v>21.629217406897773</v>
      </c>
    </row>
    <row r="313" spans="1:8" x14ac:dyDescent="0.3">
      <c r="A313">
        <f t="shared" si="7"/>
        <v>1.6666666666666667</v>
      </c>
      <c r="B313">
        <v>60</v>
      </c>
      <c r="C313" s="8">
        <v>1.205E-2</v>
      </c>
      <c r="D313" s="9">
        <f t="shared" si="6"/>
        <v>0.68697134281874717</v>
      </c>
      <c r="E313">
        <v>0.46125391304347829</v>
      </c>
      <c r="F313">
        <v>0.2408696650028152</v>
      </c>
      <c r="H313">
        <v>9.2862852158109668</v>
      </c>
    </row>
    <row r="314" spans="1:8" x14ac:dyDescent="0.3">
      <c r="A314">
        <f t="shared" si="7"/>
        <v>1.6666666666666667</v>
      </c>
      <c r="B314">
        <v>60</v>
      </c>
      <c r="C314" s="8">
        <v>1.205E-2</v>
      </c>
      <c r="D314" s="9">
        <f t="shared" si="6"/>
        <v>0.68697134281874717</v>
      </c>
      <c r="E314">
        <v>0.68525999999999998</v>
      </c>
      <c r="F314">
        <v>0.35784703819796232</v>
      </c>
      <c r="H314">
        <v>4.6286944124835552</v>
      </c>
    </row>
    <row r="315" spans="1:8" x14ac:dyDescent="0.3">
      <c r="A315">
        <f t="shared" si="7"/>
        <v>1.6666666666666667</v>
      </c>
      <c r="B315">
        <v>60</v>
      </c>
      <c r="C315" s="8">
        <v>1.205E-2</v>
      </c>
      <c r="D315" s="9">
        <f t="shared" si="6"/>
        <v>0.68697134281874717</v>
      </c>
      <c r="E315">
        <v>0.87263060869565223</v>
      </c>
      <c r="F315">
        <v>0.45569313656513466</v>
      </c>
      <c r="H315">
        <v>2.1787457384429496</v>
      </c>
    </row>
    <row r="316" spans="1:8" x14ac:dyDescent="0.3">
      <c r="A316">
        <f t="shared" si="7"/>
        <v>1.6666666666666667</v>
      </c>
      <c r="B316">
        <v>60</v>
      </c>
      <c r="C316" s="8">
        <v>1.205E-2</v>
      </c>
      <c r="D316" s="9">
        <f t="shared" si="6"/>
        <v>0.68697134281874717</v>
      </c>
      <c r="E316">
        <v>1.0262347826086957</v>
      </c>
      <c r="F316">
        <v>0.53590619247037852</v>
      </c>
      <c r="H316">
        <v>0.62162394281829869</v>
      </c>
    </row>
    <row r="317" spans="1:8" x14ac:dyDescent="0.3">
      <c r="A317">
        <f t="shared" si="7"/>
        <v>1.6666666666666667</v>
      </c>
      <c r="B317">
        <v>60</v>
      </c>
      <c r="C317" s="8">
        <v>1.205E-2</v>
      </c>
      <c r="D317" s="9">
        <f t="shared" si="6"/>
        <v>0.68697134281874717</v>
      </c>
      <c r="E317">
        <v>1.1033293251533742</v>
      </c>
      <c r="F317">
        <v>0.57616544255186575</v>
      </c>
      <c r="H317">
        <v>-0.34061431682736992</v>
      </c>
    </row>
    <row r="318" spans="1:8" x14ac:dyDescent="0.3">
      <c r="A318">
        <f t="shared" si="7"/>
        <v>1.6666666666666667</v>
      </c>
      <c r="B318">
        <v>60</v>
      </c>
      <c r="C318" s="8">
        <v>6.025E-3</v>
      </c>
      <c r="D318" s="9">
        <f t="shared" si="6"/>
        <v>0.68697134281874717</v>
      </c>
      <c r="E318">
        <v>0</v>
      </c>
      <c r="F318">
        <v>0</v>
      </c>
      <c r="H318">
        <v>86.83172107845688</v>
      </c>
    </row>
    <row r="319" spans="1:8" x14ac:dyDescent="0.3">
      <c r="A319">
        <f t="shared" si="7"/>
        <v>1.6666666666666667</v>
      </c>
      <c r="B319">
        <v>60</v>
      </c>
      <c r="C319" s="8">
        <v>6.025E-3</v>
      </c>
      <c r="D319" s="9">
        <f t="shared" si="6"/>
        <v>0.68697134281874717</v>
      </c>
      <c r="E319">
        <v>0.45684000000000002</v>
      </c>
      <c r="F319">
        <v>0.2385646921319749</v>
      </c>
      <c r="H319">
        <v>21.353135534094221</v>
      </c>
    </row>
    <row r="320" spans="1:8" x14ac:dyDescent="0.3">
      <c r="A320">
        <f t="shared" si="7"/>
        <v>1.6666666666666667</v>
      </c>
      <c r="B320">
        <v>60</v>
      </c>
      <c r="C320" s="8">
        <v>6.025E-3</v>
      </c>
      <c r="D320" s="9">
        <f t="shared" si="6"/>
        <v>0.68697134281874717</v>
      </c>
      <c r="E320">
        <v>0.59146434782608703</v>
      </c>
      <c r="F320">
        <v>0.3088663646926052</v>
      </c>
      <c r="H320">
        <v>9.0532578816435567</v>
      </c>
    </row>
    <row r="321" spans="1:8" x14ac:dyDescent="0.3">
      <c r="A321">
        <f t="shared" si="7"/>
        <v>1.6666666666666667</v>
      </c>
      <c r="B321">
        <v>60</v>
      </c>
      <c r="C321" s="8">
        <v>6.025E-3</v>
      </c>
      <c r="D321" s="9">
        <f t="shared" si="6"/>
        <v>0.68697134281874717</v>
      </c>
      <c r="E321">
        <v>0.73160608695652174</v>
      </c>
      <c r="F321">
        <v>0.38204925334178591</v>
      </c>
      <c r="H321">
        <v>4.5170618744014375</v>
      </c>
    </row>
    <row r="322" spans="1:8" x14ac:dyDescent="0.3">
      <c r="A322">
        <f t="shared" si="7"/>
        <v>1.6666666666666667</v>
      </c>
      <c r="B322">
        <v>60</v>
      </c>
      <c r="C322" s="8">
        <v>6.025E-3</v>
      </c>
      <c r="D322" s="9">
        <f t="shared" si="6"/>
        <v>0.68697134281874717</v>
      </c>
      <c r="E322">
        <v>0.7388890434782609</v>
      </c>
      <c r="F322">
        <v>0.38585245857867251</v>
      </c>
      <c r="H322">
        <v>2.5451419115655023</v>
      </c>
    </row>
    <row r="323" spans="1:8" x14ac:dyDescent="0.3">
      <c r="A323">
        <f t="shared" si="7"/>
        <v>1.6666666666666667</v>
      </c>
      <c r="B323">
        <v>60</v>
      </c>
      <c r="C323" s="8">
        <v>6.025E-3</v>
      </c>
      <c r="D323" s="9">
        <f t="shared" ref="D323:D386" si="8">(A323)/((9.81*B323*10^-2))^(1/2)</f>
        <v>0.68697134281874717</v>
      </c>
      <c r="E323">
        <v>0.8386434782608696</v>
      </c>
      <c r="F323">
        <v>0.43794484545966411</v>
      </c>
      <c r="H323">
        <v>1.2163433500092256</v>
      </c>
    </row>
    <row r="324" spans="1:8" x14ac:dyDescent="0.3">
      <c r="A324">
        <f t="shared" si="7"/>
        <v>1.6666666666666667</v>
      </c>
      <c r="B324">
        <v>60</v>
      </c>
      <c r="C324" s="8">
        <v>6.025E-3</v>
      </c>
      <c r="D324" s="9">
        <f t="shared" si="8"/>
        <v>0.68697134281874717</v>
      </c>
      <c r="E324">
        <v>0.82278055384615378</v>
      </c>
      <c r="F324">
        <v>0.42966112757307484</v>
      </c>
      <c r="H324">
        <v>0.58866635806099565</v>
      </c>
    </row>
    <row r="325" spans="1:8" x14ac:dyDescent="0.3">
      <c r="A325">
        <f t="shared" si="7"/>
        <v>1.6666666666666667</v>
      </c>
      <c r="B325">
        <v>60</v>
      </c>
      <c r="C325" s="8">
        <v>3.0125E-3</v>
      </c>
      <c r="D325" s="9">
        <f t="shared" si="8"/>
        <v>0.68697134281874717</v>
      </c>
      <c r="E325">
        <v>0</v>
      </c>
      <c r="F325">
        <v>0</v>
      </c>
      <c r="H325">
        <v>86.83172107845688</v>
      </c>
    </row>
    <row r="326" spans="1:8" x14ac:dyDescent="0.3">
      <c r="A326">
        <f t="shared" si="7"/>
        <v>1.6666666666666667</v>
      </c>
      <c r="B326">
        <v>60</v>
      </c>
      <c r="C326" s="8">
        <v>3.0125E-3</v>
      </c>
      <c r="D326" s="9">
        <f t="shared" si="8"/>
        <v>0.68697134281874717</v>
      </c>
      <c r="E326">
        <v>0.35752695652173916</v>
      </c>
      <c r="F326">
        <v>0.18670280253806734</v>
      </c>
      <c r="H326">
        <v>21.490626877726733</v>
      </c>
    </row>
    <row r="327" spans="1:8" x14ac:dyDescent="0.3">
      <c r="A327">
        <f t="shared" si="7"/>
        <v>1.6666666666666667</v>
      </c>
      <c r="B327">
        <v>60</v>
      </c>
      <c r="C327" s="8">
        <v>3.0125E-3</v>
      </c>
      <c r="D327" s="9">
        <f t="shared" si="8"/>
        <v>0.68697134281874717</v>
      </c>
      <c r="E327">
        <v>0.43477043478260874</v>
      </c>
      <c r="F327">
        <v>0.22703982777777321</v>
      </c>
      <c r="H327">
        <v>9.3266259460836327</v>
      </c>
    </row>
    <row r="328" spans="1:8" x14ac:dyDescent="0.3">
      <c r="A328">
        <f t="shared" si="7"/>
        <v>1.6666666666666667</v>
      </c>
      <c r="B328">
        <v>60</v>
      </c>
      <c r="C328" s="8">
        <v>3.0125E-3</v>
      </c>
      <c r="D328" s="9">
        <f t="shared" si="8"/>
        <v>0.68697134281874717</v>
      </c>
      <c r="E328">
        <v>0.34262999999999999</v>
      </c>
      <c r="F328">
        <v>0.17892351909898116</v>
      </c>
      <c r="H328">
        <v>5.2274105286735555</v>
      </c>
    </row>
    <row r="329" spans="1:8" x14ac:dyDescent="0.3">
      <c r="A329">
        <f t="shared" si="7"/>
        <v>1.6666666666666667</v>
      </c>
      <c r="B329">
        <v>60</v>
      </c>
      <c r="C329" s="8">
        <v>3.0125E-3</v>
      </c>
      <c r="D329" s="9">
        <f t="shared" si="8"/>
        <v>0.68697134281874717</v>
      </c>
      <c r="E329">
        <v>0.30985669565217394</v>
      </c>
      <c r="F329">
        <v>0.16180909553299166</v>
      </c>
      <c r="H329">
        <v>3.3100498510094525</v>
      </c>
    </row>
    <row r="330" spans="1:8" x14ac:dyDescent="0.3">
      <c r="A330">
        <f t="shared" si="7"/>
        <v>1.6666666666666667</v>
      </c>
      <c r="B330">
        <v>60</v>
      </c>
      <c r="C330" s="8">
        <v>3.0125E-3</v>
      </c>
      <c r="D330" s="9">
        <f t="shared" si="8"/>
        <v>0.68697134281874717</v>
      </c>
      <c r="E330">
        <v>0.32994000000000007</v>
      </c>
      <c r="F330">
        <v>0.17229672209531519</v>
      </c>
      <c r="H330">
        <v>2.2269295660593578</v>
      </c>
    </row>
    <row r="331" spans="1:8" x14ac:dyDescent="0.3">
      <c r="A331">
        <f t="shared" si="7"/>
        <v>1.6666666666666667</v>
      </c>
      <c r="B331">
        <v>60</v>
      </c>
      <c r="C331" s="8">
        <v>3.0125E-3</v>
      </c>
      <c r="D331" s="9">
        <f t="shared" si="8"/>
        <v>0.68697134281874717</v>
      </c>
      <c r="E331">
        <v>0.35516381538461539</v>
      </c>
      <c r="F331">
        <v>0.18546875552414049</v>
      </c>
      <c r="H331">
        <v>1.5250714149100004</v>
      </c>
    </row>
    <row r="332" spans="1:8" x14ac:dyDescent="0.3">
      <c r="A332">
        <f t="shared" si="7"/>
        <v>1.6666666666666667</v>
      </c>
      <c r="B332">
        <v>60</v>
      </c>
      <c r="C332" s="8">
        <v>2.00833E-3</v>
      </c>
      <c r="D332" s="9">
        <f t="shared" si="8"/>
        <v>0.68697134281874717</v>
      </c>
      <c r="E332">
        <v>0</v>
      </c>
      <c r="F332">
        <v>0</v>
      </c>
      <c r="H332">
        <v>86.83172107845688</v>
      </c>
    </row>
    <row r="333" spans="1:8" x14ac:dyDescent="0.3">
      <c r="A333">
        <f t="shared" si="7"/>
        <v>1.6666666666666667</v>
      </c>
      <c r="B333">
        <v>60</v>
      </c>
      <c r="C333" s="8">
        <v>2.00833E-3</v>
      </c>
      <c r="D333" s="9">
        <f t="shared" si="8"/>
        <v>0.68697134281874717</v>
      </c>
      <c r="E333">
        <v>0</v>
      </c>
      <c r="F333">
        <v>0</v>
      </c>
      <c r="H333">
        <v>21.70793026961422</v>
      </c>
    </row>
    <row r="334" spans="1:8" x14ac:dyDescent="0.3">
      <c r="A334">
        <f t="shared" si="7"/>
        <v>1.6666666666666667</v>
      </c>
      <c r="B334">
        <v>60</v>
      </c>
      <c r="C334" s="8">
        <v>2.00833E-3</v>
      </c>
      <c r="D334" s="9">
        <f t="shared" si="8"/>
        <v>0.68697134281874717</v>
      </c>
      <c r="E334">
        <v>0.10372695652173913</v>
      </c>
      <c r="F334">
        <v>2.4074161095443521E-2</v>
      </c>
      <c r="H334">
        <v>9.6296782301516863</v>
      </c>
    </row>
    <row r="335" spans="1:8" x14ac:dyDescent="0.3">
      <c r="A335">
        <f t="shared" si="7"/>
        <v>1.6666666666666667</v>
      </c>
      <c r="B335">
        <v>60</v>
      </c>
      <c r="C335" s="8">
        <v>2.00833E-3</v>
      </c>
      <c r="D335" s="9">
        <f t="shared" si="8"/>
        <v>0.68697134281874717</v>
      </c>
      <c r="E335">
        <v>0.1688321739130435</v>
      </c>
      <c r="F335">
        <v>3.918453880428574E-2</v>
      </c>
      <c r="H335">
        <v>5.3785252523916078</v>
      </c>
    </row>
    <row r="336" spans="1:8" x14ac:dyDescent="0.3">
      <c r="A336">
        <f t="shared" si="7"/>
        <v>1.6666666666666667</v>
      </c>
      <c r="B336">
        <v>60</v>
      </c>
      <c r="C336" s="8">
        <v>2.00833E-3</v>
      </c>
      <c r="D336" s="9">
        <f t="shared" si="8"/>
        <v>0.68697134281874717</v>
      </c>
      <c r="E336">
        <v>7.2829565217391312E-2</v>
      </c>
      <c r="F336">
        <v>3.8032052368865574E-2</v>
      </c>
      <c r="H336">
        <v>3.4642517956696928</v>
      </c>
    </row>
    <row r="337" spans="1:8" x14ac:dyDescent="0.3">
      <c r="A337">
        <f t="shared" si="7"/>
        <v>1.6666666666666667</v>
      </c>
      <c r="B337">
        <v>60</v>
      </c>
      <c r="C337" s="8">
        <v>2.00833E-3</v>
      </c>
      <c r="D337" s="9">
        <f t="shared" si="8"/>
        <v>0.68697134281874717</v>
      </c>
      <c r="E337">
        <v>0.1048304347826087</v>
      </c>
      <c r="F337">
        <v>5.4743105682458014E-2</v>
      </c>
      <c r="H337">
        <v>2.3933102380829494</v>
      </c>
    </row>
    <row r="338" spans="1:8" x14ac:dyDescent="0.3">
      <c r="A338">
        <f t="shared" si="7"/>
        <v>1.6666666666666667</v>
      </c>
      <c r="B338">
        <v>60</v>
      </c>
      <c r="C338" s="8">
        <v>2.00833E-3</v>
      </c>
      <c r="D338" s="9">
        <f t="shared" si="8"/>
        <v>0.68697134281874717</v>
      </c>
      <c r="E338">
        <v>9.517500000000001E-2</v>
      </c>
      <c r="F338">
        <v>4.970097752749477E-2</v>
      </c>
      <c r="H338">
        <v>1.7788970342853008</v>
      </c>
    </row>
    <row r="339" spans="1:8" x14ac:dyDescent="0.3">
      <c r="A339">
        <v>1</v>
      </c>
      <c r="B339">
        <v>10</v>
      </c>
      <c r="C339" s="8">
        <v>5.5425099999999996E-3</v>
      </c>
      <c r="D339" s="9">
        <f t="shared" si="8"/>
        <v>1.0096375546923044</v>
      </c>
      <c r="E339">
        <v>0</v>
      </c>
      <c r="F339">
        <v>0</v>
      </c>
      <c r="H339">
        <v>16.153892333298177</v>
      </c>
    </row>
    <row r="340" spans="1:8" x14ac:dyDescent="0.3">
      <c r="A340">
        <v>1</v>
      </c>
      <c r="B340">
        <v>10</v>
      </c>
      <c r="C340" s="8">
        <v>5.5425099999999996E-3</v>
      </c>
      <c r="D340" s="9">
        <f t="shared" si="8"/>
        <v>1.0096375546923044</v>
      </c>
      <c r="E340">
        <v>0.23131267892999999</v>
      </c>
      <c r="F340">
        <v>0.71569407639592486</v>
      </c>
      <c r="H340">
        <v>3.9475136390871297</v>
      </c>
    </row>
    <row r="341" spans="1:8" x14ac:dyDescent="0.3">
      <c r="A341">
        <v>1</v>
      </c>
      <c r="B341">
        <v>10</v>
      </c>
      <c r="C341" s="8">
        <v>5.5425099999999996E-3</v>
      </c>
      <c r="D341" s="9">
        <f t="shared" si="8"/>
        <v>1.0096375546923044</v>
      </c>
      <c r="E341">
        <v>0.31888784955370375</v>
      </c>
      <c r="F341">
        <v>0.98665644276804432</v>
      </c>
      <c r="H341">
        <v>1.6220048429139446</v>
      </c>
    </row>
    <row r="342" spans="1:8" x14ac:dyDescent="0.3">
      <c r="A342">
        <v>1</v>
      </c>
      <c r="B342">
        <v>10</v>
      </c>
      <c r="C342" s="8">
        <v>5.5425099999999996E-3</v>
      </c>
      <c r="D342" s="9">
        <f t="shared" si="8"/>
        <v>1.0096375546923044</v>
      </c>
      <c r="E342">
        <v>0.48190141443749995</v>
      </c>
      <c r="F342">
        <v>1.491029325824843</v>
      </c>
      <c r="H342">
        <v>0.61482901632846887</v>
      </c>
    </row>
    <row r="343" spans="1:8" x14ac:dyDescent="0.3">
      <c r="A343">
        <v>1</v>
      </c>
      <c r="B343">
        <v>10</v>
      </c>
      <c r="C343" s="8">
        <v>5.5425099999999996E-3</v>
      </c>
      <c r="D343" s="9">
        <f t="shared" si="8"/>
        <v>1.0096375546923044</v>
      </c>
      <c r="E343">
        <v>0.93096213989111098</v>
      </c>
      <c r="F343">
        <v>2.8804477642601416</v>
      </c>
      <c r="H343">
        <v>-0.82721816671615511</v>
      </c>
    </row>
    <row r="344" spans="1:8" x14ac:dyDescent="0.3">
      <c r="A344">
        <v>1</v>
      </c>
      <c r="B344">
        <v>10</v>
      </c>
      <c r="C344" s="8">
        <v>5.5425099999999996E-3</v>
      </c>
      <c r="D344" s="9">
        <f t="shared" si="8"/>
        <v>1.0096375546923044</v>
      </c>
      <c r="E344">
        <v>1.0090182702296295</v>
      </c>
      <c r="F344">
        <v>3.1219576995048559</v>
      </c>
      <c r="H344">
        <v>-1.282081146936725</v>
      </c>
    </row>
    <row r="345" spans="1:8" x14ac:dyDescent="0.3">
      <c r="A345">
        <v>1</v>
      </c>
      <c r="B345">
        <v>10</v>
      </c>
      <c r="C345" s="8">
        <v>5.5425099999999996E-3</v>
      </c>
      <c r="D345" s="9">
        <f t="shared" si="8"/>
        <v>1.0096375546923044</v>
      </c>
      <c r="E345">
        <v>1.0362808016064</v>
      </c>
      <c r="F345">
        <v>3.2063094622537425</v>
      </c>
      <c r="H345">
        <v>-1.4906253181993339</v>
      </c>
    </row>
    <row r="346" spans="1:8" x14ac:dyDescent="0.3">
      <c r="A346">
        <v>1</v>
      </c>
      <c r="B346">
        <v>10</v>
      </c>
      <c r="C346" s="8">
        <v>2.7712499999999998E-3</v>
      </c>
      <c r="D346" s="9">
        <f t="shared" si="8"/>
        <v>1.0096375546923044</v>
      </c>
      <c r="E346">
        <v>0.13992989219222221</v>
      </c>
      <c r="F346">
        <v>0.4329507375728433</v>
      </c>
      <c r="H346">
        <v>16.120605696259002</v>
      </c>
    </row>
    <row r="347" spans="1:8" x14ac:dyDescent="0.3">
      <c r="A347">
        <v>1</v>
      </c>
      <c r="B347">
        <v>10</v>
      </c>
      <c r="C347" s="8">
        <v>2.7712499999999998E-3</v>
      </c>
      <c r="D347" s="9">
        <f t="shared" si="8"/>
        <v>1.0096375546923044</v>
      </c>
      <c r="E347">
        <v>0.37267042716499993</v>
      </c>
      <c r="F347">
        <v>1.1530626786378788</v>
      </c>
      <c r="H347">
        <v>3.8023715629428603</v>
      </c>
    </row>
    <row r="348" spans="1:8" x14ac:dyDescent="0.3">
      <c r="A348">
        <v>1</v>
      </c>
      <c r="B348">
        <v>10</v>
      </c>
      <c r="C348" s="8">
        <v>2.7712499999999998E-3</v>
      </c>
      <c r="D348" s="9">
        <f t="shared" si="8"/>
        <v>1.0096375546923044</v>
      </c>
      <c r="E348">
        <v>0.58542097753888889</v>
      </c>
      <c r="F348">
        <v>1.8113245143353651</v>
      </c>
      <c r="H348">
        <v>1.2122568003196199</v>
      </c>
    </row>
    <row r="349" spans="1:8" x14ac:dyDescent="0.3">
      <c r="A349">
        <v>1</v>
      </c>
      <c r="B349">
        <v>10</v>
      </c>
      <c r="C349" s="8">
        <v>2.7712499999999998E-3</v>
      </c>
      <c r="D349" s="9">
        <f t="shared" si="8"/>
        <v>1.0096375546923044</v>
      </c>
      <c r="E349">
        <v>0.82173115261861096</v>
      </c>
      <c r="F349">
        <v>2.5424811170731774</v>
      </c>
      <c r="H349">
        <v>-0.13829327738151251</v>
      </c>
    </row>
    <row r="350" spans="1:8" x14ac:dyDescent="0.3">
      <c r="A350">
        <v>1</v>
      </c>
      <c r="B350">
        <v>10</v>
      </c>
      <c r="C350" s="8">
        <v>2.7712499999999998E-3</v>
      </c>
      <c r="D350" s="9">
        <f t="shared" si="8"/>
        <v>1.0096375546923044</v>
      </c>
      <c r="E350">
        <v>1.3079161351844442</v>
      </c>
      <c r="F350">
        <v>4.0467640369053521</v>
      </c>
      <c r="H350">
        <v>-2.2619401550169562</v>
      </c>
    </row>
    <row r="351" spans="1:8" x14ac:dyDescent="0.3">
      <c r="A351">
        <v>1</v>
      </c>
      <c r="B351">
        <v>10</v>
      </c>
      <c r="C351" s="8">
        <v>2.7712499999999998E-3</v>
      </c>
      <c r="D351" s="9">
        <f t="shared" si="8"/>
        <v>1.0096375546923044</v>
      </c>
      <c r="E351">
        <v>1.5040083650592593</v>
      </c>
      <c r="F351">
        <v>4.6534841181298807</v>
      </c>
      <c r="H351">
        <v>-3.3967507442054798</v>
      </c>
    </row>
    <row r="352" spans="1:8" x14ac:dyDescent="0.3">
      <c r="A352">
        <v>1</v>
      </c>
      <c r="B352">
        <v>10</v>
      </c>
      <c r="C352" s="8">
        <v>2.7712499999999998E-3</v>
      </c>
      <c r="D352" s="9">
        <f t="shared" si="8"/>
        <v>1.0096375546923044</v>
      </c>
      <c r="E352">
        <v>1.5235795118855999</v>
      </c>
      <c r="F352">
        <v>4.7140383165278248</v>
      </c>
      <c r="H352">
        <v>-3.611233587940585</v>
      </c>
    </row>
    <row r="353" spans="1:8" x14ac:dyDescent="0.3">
      <c r="A353">
        <v>1</v>
      </c>
      <c r="B353">
        <v>10</v>
      </c>
      <c r="C353" s="8">
        <v>1.3856300000000001E-3</v>
      </c>
      <c r="D353" s="9">
        <f t="shared" si="8"/>
        <v>1.0096375546923044</v>
      </c>
      <c r="E353">
        <v>0.17134272513333329</v>
      </c>
      <c r="F353">
        <v>0.53014376029327759</v>
      </c>
      <c r="H353">
        <v>16.103983173222776</v>
      </c>
    </row>
    <row r="354" spans="1:8" x14ac:dyDescent="0.3">
      <c r="A354">
        <v>1</v>
      </c>
      <c r="B354">
        <v>10</v>
      </c>
      <c r="C354" s="8">
        <v>1.3856300000000001E-3</v>
      </c>
      <c r="D354" s="9">
        <f t="shared" si="8"/>
        <v>1.0096375546923044</v>
      </c>
      <c r="E354">
        <v>0.38980469967833326</v>
      </c>
      <c r="F354">
        <v>1.2060770546672062</v>
      </c>
      <c r="H354">
        <v>3.7801619867093073</v>
      </c>
    </row>
    <row r="355" spans="1:8" x14ac:dyDescent="0.3">
      <c r="A355">
        <v>1</v>
      </c>
      <c r="B355">
        <v>10</v>
      </c>
      <c r="C355" s="8">
        <v>1.3856300000000001E-3</v>
      </c>
      <c r="D355" s="9">
        <f t="shared" si="8"/>
        <v>1.0096375546923044</v>
      </c>
      <c r="E355">
        <v>0.77009035907148149</v>
      </c>
      <c r="F355">
        <v>2.3827016782070087</v>
      </c>
      <c r="H355">
        <v>0.78671035199278661</v>
      </c>
    </row>
    <row r="356" spans="1:8" x14ac:dyDescent="0.3">
      <c r="A356">
        <v>1</v>
      </c>
      <c r="B356">
        <v>10</v>
      </c>
      <c r="C356" s="8">
        <v>1.3856300000000001E-3</v>
      </c>
      <c r="D356" s="9">
        <f t="shared" si="8"/>
        <v>1.0096375546923044</v>
      </c>
      <c r="E356">
        <v>1.0930238007463888</v>
      </c>
      <c r="F356">
        <v>3.3818754042041999</v>
      </c>
      <c r="H356">
        <v>-1.0213734784656026</v>
      </c>
    </row>
    <row r="357" spans="1:8" x14ac:dyDescent="0.3">
      <c r="A357">
        <v>1</v>
      </c>
      <c r="B357">
        <v>10</v>
      </c>
      <c r="C357" s="8">
        <v>1.3856300000000001E-3</v>
      </c>
      <c r="D357" s="9">
        <f t="shared" si="8"/>
        <v>1.0096375546923044</v>
      </c>
      <c r="E357">
        <v>1.2896395778368885</v>
      </c>
      <c r="F357">
        <v>3.9902153691407358</v>
      </c>
      <c r="H357">
        <v>-2.1812337158976978</v>
      </c>
    </row>
    <row r="358" spans="1:8" x14ac:dyDescent="0.3">
      <c r="A358">
        <v>1</v>
      </c>
      <c r="B358">
        <v>10</v>
      </c>
      <c r="C358" s="8">
        <v>1.3856300000000001E-3</v>
      </c>
      <c r="D358" s="9">
        <f t="shared" si="8"/>
        <v>1.0096375546923044</v>
      </c>
      <c r="E358">
        <v>1.4554612596048149</v>
      </c>
      <c r="F358">
        <v>4.5032767193801186</v>
      </c>
      <c r="H358">
        <v>-3.1525054814772329</v>
      </c>
    </row>
    <row r="359" spans="1:8" x14ac:dyDescent="0.3">
      <c r="A359">
        <v>1</v>
      </c>
      <c r="B359">
        <v>10</v>
      </c>
      <c r="C359" s="8">
        <v>1.3856300000000001E-3</v>
      </c>
      <c r="D359" s="9">
        <f t="shared" si="8"/>
        <v>1.0096375546923044</v>
      </c>
      <c r="E359">
        <v>1.4993870245337095</v>
      </c>
      <c r="F359">
        <v>4.6391854378567379</v>
      </c>
      <c r="H359">
        <v>-3.481482872047402</v>
      </c>
    </row>
    <row r="360" spans="1:8" x14ac:dyDescent="0.3">
      <c r="A360">
        <v>1</v>
      </c>
      <c r="B360">
        <v>10</v>
      </c>
      <c r="C360" s="8">
        <v>9.2374999999999998E-4</v>
      </c>
      <c r="D360" s="9">
        <f t="shared" si="8"/>
        <v>1.0096375546923044</v>
      </c>
      <c r="E360">
        <v>0.21132269433111109</v>
      </c>
      <c r="F360">
        <v>0.65384397102837577</v>
      </c>
      <c r="H360">
        <v>16.077974955361263</v>
      </c>
    </row>
    <row r="361" spans="1:8" x14ac:dyDescent="0.3">
      <c r="A361">
        <v>1</v>
      </c>
      <c r="B361">
        <v>10</v>
      </c>
      <c r="C361" s="8">
        <v>9.2374999999999998E-4</v>
      </c>
      <c r="D361" s="9">
        <f t="shared" si="8"/>
        <v>1.0096375546923044</v>
      </c>
      <c r="E361">
        <v>0.4397796611755555</v>
      </c>
      <c r="F361">
        <v>1.3607023180860793</v>
      </c>
      <c r="H361">
        <v>3.7096826276722776</v>
      </c>
    </row>
    <row r="362" spans="1:8" x14ac:dyDescent="0.3">
      <c r="A362">
        <v>1</v>
      </c>
      <c r="B362">
        <v>10</v>
      </c>
      <c r="C362" s="8">
        <v>9.2374999999999998E-4</v>
      </c>
      <c r="D362" s="9">
        <f t="shared" si="8"/>
        <v>1.0096375546923044</v>
      </c>
      <c r="E362">
        <v>0.76342703087185182</v>
      </c>
      <c r="F362">
        <v>2.3620849764178256</v>
      </c>
      <c r="H362">
        <v>0.80408151243014081</v>
      </c>
    </row>
    <row r="363" spans="1:8" x14ac:dyDescent="0.3">
      <c r="A363">
        <v>1</v>
      </c>
      <c r="B363">
        <v>10</v>
      </c>
      <c r="C363" s="8">
        <v>9.2374999999999998E-4</v>
      </c>
      <c r="D363" s="9">
        <f t="shared" si="8"/>
        <v>1.0096375546923044</v>
      </c>
      <c r="E363">
        <v>1.1258644897302776</v>
      </c>
      <c r="F363">
        <v>3.4834862915937448</v>
      </c>
      <c r="H363">
        <v>-1.1452521728694152</v>
      </c>
    </row>
    <row r="364" spans="1:8" x14ac:dyDescent="0.3">
      <c r="A364">
        <v>1</v>
      </c>
      <c r="B364">
        <v>10</v>
      </c>
      <c r="C364" s="8">
        <v>9.2374999999999998E-4</v>
      </c>
      <c r="D364" s="9">
        <f t="shared" si="8"/>
        <v>1.0096375546923044</v>
      </c>
      <c r="E364">
        <v>1.3301906894517777</v>
      </c>
      <c r="F364">
        <v>4.1156827257434783</v>
      </c>
      <c r="H364">
        <v>-2.3618366661852055</v>
      </c>
    </row>
    <row r="365" spans="1:8" x14ac:dyDescent="0.3">
      <c r="A365">
        <v>1</v>
      </c>
      <c r="B365">
        <v>10</v>
      </c>
      <c r="C365" s="8">
        <v>9.2374999999999998E-4</v>
      </c>
      <c r="D365" s="9">
        <f t="shared" si="8"/>
        <v>1.0096375546923044</v>
      </c>
      <c r="E365">
        <v>1.4530814995335186</v>
      </c>
      <c r="F365">
        <v>4.4959136115982679</v>
      </c>
      <c r="H365">
        <v>-3.1407387038066794</v>
      </c>
    </row>
    <row r="366" spans="1:8" x14ac:dyDescent="0.3">
      <c r="A366">
        <v>1</v>
      </c>
      <c r="B366">
        <v>10</v>
      </c>
      <c r="C366" s="8">
        <v>9.2374999999999998E-4</v>
      </c>
      <c r="D366" s="9">
        <f t="shared" si="8"/>
        <v>1.0096375546923044</v>
      </c>
      <c r="E366">
        <v>1.3464221884670966</v>
      </c>
      <c r="F366">
        <v>4.1659038712078189</v>
      </c>
      <c r="H366">
        <v>-2.7414580144834084</v>
      </c>
    </row>
    <row r="367" spans="1:8" x14ac:dyDescent="0.3">
      <c r="A367">
        <v>1</v>
      </c>
      <c r="B367">
        <v>15</v>
      </c>
      <c r="C367" s="8">
        <v>6.6530699999999996E-3</v>
      </c>
      <c r="D367" s="9">
        <f t="shared" si="8"/>
        <v>0.82436561138249664</v>
      </c>
      <c r="E367">
        <v>0</v>
      </c>
      <c r="F367">
        <v>0</v>
      </c>
      <c r="H367">
        <v>18.841900017558999</v>
      </c>
    </row>
    <row r="368" spans="1:8" x14ac:dyDescent="0.3">
      <c r="A368">
        <v>1</v>
      </c>
      <c r="B368">
        <v>15</v>
      </c>
      <c r="C368" s="8">
        <v>6.6530699999999996E-3</v>
      </c>
      <c r="D368" s="9">
        <f t="shared" si="8"/>
        <v>0.82436561138249664</v>
      </c>
      <c r="E368">
        <v>0.24210727061340001</v>
      </c>
      <c r="F368">
        <v>0.49939542219626754</v>
      </c>
      <c r="H368">
        <v>4.6108279225671698</v>
      </c>
    </row>
    <row r="369" spans="1:8" x14ac:dyDescent="0.3">
      <c r="A369">
        <v>1</v>
      </c>
      <c r="B369">
        <v>15</v>
      </c>
      <c r="C369" s="8">
        <v>6.6530699999999996E-3</v>
      </c>
      <c r="D369" s="9">
        <f t="shared" si="8"/>
        <v>0.82436561138249664</v>
      </c>
      <c r="E369">
        <v>0.35981972278000002</v>
      </c>
      <c r="F369">
        <v>0.74220126441058865</v>
      </c>
      <c r="H369">
        <v>1.873445050462935</v>
      </c>
    </row>
    <row r="370" spans="1:8" x14ac:dyDescent="0.3">
      <c r="A370">
        <v>1</v>
      </c>
      <c r="B370">
        <v>15</v>
      </c>
      <c r="C370" s="8">
        <v>6.6530699999999996E-3</v>
      </c>
      <c r="D370" s="9">
        <f t="shared" si="8"/>
        <v>0.82436561138249664</v>
      </c>
      <c r="E370">
        <v>0.5605477252737</v>
      </c>
      <c r="F370">
        <v>1.1562435411996383</v>
      </c>
      <c r="H370">
        <v>0.64345537217125437</v>
      </c>
    </row>
    <row r="371" spans="1:8" x14ac:dyDescent="0.3">
      <c r="A371">
        <v>1</v>
      </c>
      <c r="B371">
        <v>15</v>
      </c>
      <c r="C371" s="8">
        <v>6.6530699999999996E-3</v>
      </c>
      <c r="D371" s="9">
        <f t="shared" si="8"/>
        <v>0.82436561138249664</v>
      </c>
      <c r="E371">
        <v>0.61374964142759991</v>
      </c>
      <c r="F371">
        <v>1.2659832995803466</v>
      </c>
      <c r="H371">
        <v>0.11330534270309718</v>
      </c>
    </row>
    <row r="372" spans="1:8" x14ac:dyDescent="0.3">
      <c r="A372">
        <v>1</v>
      </c>
      <c r="B372">
        <v>15</v>
      </c>
      <c r="C372" s="8">
        <v>6.6530699999999996E-3</v>
      </c>
      <c r="D372" s="9">
        <f t="shared" si="8"/>
        <v>0.82436561138249664</v>
      </c>
      <c r="E372">
        <v>0.76076169959200002</v>
      </c>
      <c r="F372">
        <v>1.5692255304681018</v>
      </c>
      <c r="H372">
        <v>-0.46050310646352338</v>
      </c>
    </row>
    <row r="373" spans="1:8" x14ac:dyDescent="0.3">
      <c r="A373">
        <v>1</v>
      </c>
      <c r="B373">
        <v>15</v>
      </c>
      <c r="C373" s="8">
        <v>6.6530699999999996E-3</v>
      </c>
      <c r="D373" s="9">
        <f t="shared" si="8"/>
        <v>0.82436561138249664</v>
      </c>
      <c r="E373">
        <v>0.88038215464694913</v>
      </c>
      <c r="F373">
        <v>1.8159670161910408</v>
      </c>
      <c r="H373">
        <v>-0.94173589887161868</v>
      </c>
    </row>
    <row r="374" spans="1:8" x14ac:dyDescent="0.3">
      <c r="A374">
        <v>1</v>
      </c>
      <c r="B374">
        <v>15</v>
      </c>
      <c r="C374" s="8">
        <v>3.3265399999999998E-3</v>
      </c>
      <c r="D374" s="9">
        <f t="shared" si="8"/>
        <v>0.82436561138249664</v>
      </c>
      <c r="E374">
        <v>0.1326192692532</v>
      </c>
      <c r="F374">
        <v>0.27355418031133122</v>
      </c>
      <c r="H374">
        <v>18.812000637577668</v>
      </c>
    </row>
    <row r="375" spans="1:8" x14ac:dyDescent="0.3">
      <c r="A375">
        <v>1</v>
      </c>
      <c r="B375">
        <v>15</v>
      </c>
      <c r="C375" s="8">
        <v>3.3265399999999998E-3</v>
      </c>
      <c r="D375" s="9">
        <f t="shared" si="8"/>
        <v>0.82436561138249664</v>
      </c>
      <c r="E375">
        <v>0.6399650783730001</v>
      </c>
      <c r="F375">
        <v>1.3200579631302614</v>
      </c>
      <c r="H375">
        <v>4.014230991776917</v>
      </c>
    </row>
    <row r="376" spans="1:8" x14ac:dyDescent="0.3">
      <c r="A376">
        <v>1</v>
      </c>
      <c r="B376">
        <v>15</v>
      </c>
      <c r="C376" s="8">
        <v>3.3265399999999998E-3</v>
      </c>
      <c r="D376" s="9">
        <f t="shared" si="8"/>
        <v>0.82436561138249664</v>
      </c>
      <c r="E376">
        <v>1.1575914510008001</v>
      </c>
      <c r="F376">
        <v>2.3877674963609223</v>
      </c>
      <c r="H376">
        <v>-0.1844860982357896</v>
      </c>
    </row>
    <row r="377" spans="1:8" x14ac:dyDescent="0.3">
      <c r="A377">
        <v>1</v>
      </c>
      <c r="B377">
        <v>15</v>
      </c>
      <c r="C377" s="8">
        <v>3.3265399999999998E-3</v>
      </c>
      <c r="D377" s="9">
        <f t="shared" si="8"/>
        <v>0.82436561138249664</v>
      </c>
      <c r="E377">
        <v>1.3670579324763001</v>
      </c>
      <c r="F377">
        <v>2.8198346609999438</v>
      </c>
      <c r="H377">
        <v>-1.9994218131714023</v>
      </c>
    </row>
    <row r="378" spans="1:8" x14ac:dyDescent="0.3">
      <c r="A378">
        <v>1</v>
      </c>
      <c r="B378">
        <v>15</v>
      </c>
      <c r="C378" s="8">
        <v>3.3265399999999998E-3</v>
      </c>
      <c r="D378" s="9">
        <f t="shared" si="8"/>
        <v>0.82436561138249664</v>
      </c>
      <c r="E378">
        <v>1.3422303716044801</v>
      </c>
      <c r="F378">
        <v>2.7686227737556135</v>
      </c>
      <c r="H378">
        <v>-2.3090140290753913</v>
      </c>
    </row>
    <row r="379" spans="1:8" x14ac:dyDescent="0.3">
      <c r="A379">
        <v>1</v>
      </c>
      <c r="B379">
        <v>15</v>
      </c>
      <c r="C379" s="8">
        <v>3.3265399999999998E-3</v>
      </c>
      <c r="D379" s="9">
        <f t="shared" si="8"/>
        <v>0.82436561138249664</v>
      </c>
      <c r="E379">
        <v>1.3549782703544</v>
      </c>
      <c r="F379">
        <v>2.7949179042661592</v>
      </c>
      <c r="H379">
        <v>-2.597756280726562</v>
      </c>
    </row>
    <row r="380" spans="1:8" x14ac:dyDescent="0.3">
      <c r="A380">
        <v>1</v>
      </c>
      <c r="B380">
        <v>15</v>
      </c>
      <c r="C380" s="8">
        <v>3.3265399999999998E-3</v>
      </c>
      <c r="D380" s="9">
        <f t="shared" si="8"/>
        <v>0.82436561138249664</v>
      </c>
      <c r="E380">
        <v>1.4475556159781355</v>
      </c>
      <c r="F380">
        <v>2.98587748382129</v>
      </c>
      <c r="H380">
        <v>-3.1863215881909763</v>
      </c>
    </row>
    <row r="381" spans="1:8" x14ac:dyDescent="0.3">
      <c r="A381">
        <v>1</v>
      </c>
      <c r="B381">
        <v>15</v>
      </c>
      <c r="C381" s="8">
        <v>1.6632699999999999E-3</v>
      </c>
      <c r="D381" s="9">
        <f t="shared" si="8"/>
        <v>0.82436561138249664</v>
      </c>
      <c r="E381">
        <v>0.21897600272039999</v>
      </c>
      <c r="F381">
        <v>0.45168248376987252</v>
      </c>
      <c r="H381">
        <v>18.760384184954408</v>
      </c>
    </row>
    <row r="382" spans="1:8" x14ac:dyDescent="0.3">
      <c r="A382">
        <v>1</v>
      </c>
      <c r="B382">
        <v>15</v>
      </c>
      <c r="C382" s="8">
        <v>1.6632699999999999E-3</v>
      </c>
      <c r="D382" s="9">
        <f t="shared" si="8"/>
        <v>0.82436561138249664</v>
      </c>
      <c r="E382">
        <v>0.67080676889699997</v>
      </c>
      <c r="F382">
        <v>1.3836752143654545</v>
      </c>
      <c r="H382">
        <v>3.9455060783530933</v>
      </c>
    </row>
    <row r="383" spans="1:8" x14ac:dyDescent="0.3">
      <c r="A383">
        <v>1</v>
      </c>
      <c r="B383">
        <v>15</v>
      </c>
      <c r="C383" s="8">
        <v>1.6632699999999999E-3</v>
      </c>
      <c r="D383" s="9">
        <f t="shared" si="8"/>
        <v>0.82436561138249664</v>
      </c>
      <c r="E383">
        <v>1.1843209161216</v>
      </c>
      <c r="F383">
        <v>2.4429024474314232</v>
      </c>
      <c r="H383">
        <v>-0.29090280862183587</v>
      </c>
    </row>
    <row r="384" spans="1:8" x14ac:dyDescent="0.3">
      <c r="A384">
        <v>1</v>
      </c>
      <c r="B384">
        <v>15</v>
      </c>
      <c r="C384" s="8">
        <v>1.6632699999999999E-3</v>
      </c>
      <c r="D384" s="9">
        <f t="shared" si="8"/>
        <v>0.82436561138249664</v>
      </c>
      <c r="E384">
        <v>1.2567988888530002</v>
      </c>
      <c r="F384">
        <v>2.5924029878341277</v>
      </c>
      <c r="H384">
        <v>-1.5076051088401929</v>
      </c>
    </row>
    <row r="385" spans="1:8" x14ac:dyDescent="0.3">
      <c r="A385">
        <v>1</v>
      </c>
      <c r="B385">
        <v>15</v>
      </c>
      <c r="C385" s="8">
        <v>1.6632699999999999E-3</v>
      </c>
      <c r="D385" s="9">
        <f t="shared" si="8"/>
        <v>0.82436561138249664</v>
      </c>
      <c r="E385">
        <v>1.372455228318</v>
      </c>
      <c r="F385">
        <v>2.8309676799661023</v>
      </c>
      <c r="H385">
        <v>-2.4485007006512429</v>
      </c>
    </row>
    <row r="386" spans="1:8" x14ac:dyDescent="0.3">
      <c r="A386">
        <v>1</v>
      </c>
      <c r="B386">
        <v>15</v>
      </c>
      <c r="C386" s="8">
        <v>1.6632699999999999E-3</v>
      </c>
      <c r="D386" s="9">
        <f t="shared" si="8"/>
        <v>0.82436561138249664</v>
      </c>
      <c r="E386">
        <v>1.3806796791244</v>
      </c>
      <c r="F386">
        <v>2.8479322802954874</v>
      </c>
      <c r="H386">
        <v>-2.7172837281911346</v>
      </c>
    </row>
    <row r="387" spans="1:8" x14ac:dyDescent="0.3">
      <c r="A387">
        <v>1</v>
      </c>
      <c r="B387">
        <v>15</v>
      </c>
      <c r="C387" s="8">
        <v>1.6632699999999999E-3</v>
      </c>
      <c r="D387" s="9">
        <f t="shared" ref="D387:D450" si="9">(A387)/((9.81*B387*10^-2))^(1/2)</f>
        <v>0.82436561138249664</v>
      </c>
      <c r="E387">
        <v>1.4427638279023727</v>
      </c>
      <c r="F387">
        <v>2.9759934476124323</v>
      </c>
      <c r="H387">
        <v>-3.1627769311722136</v>
      </c>
    </row>
    <row r="388" spans="1:8" x14ac:dyDescent="0.3">
      <c r="A388">
        <v>1</v>
      </c>
      <c r="B388">
        <v>15</v>
      </c>
      <c r="C388" s="8">
        <v>1.10885E-3</v>
      </c>
      <c r="D388" s="9">
        <f t="shared" si="9"/>
        <v>0.82436561138249664</v>
      </c>
      <c r="E388">
        <v>0.24673352419200004</v>
      </c>
      <c r="F388">
        <v>0.50893800988154658</v>
      </c>
      <c r="H388">
        <v>18.738408383226652</v>
      </c>
    </row>
    <row r="389" spans="1:8" x14ac:dyDescent="0.3">
      <c r="A389">
        <v>1</v>
      </c>
      <c r="B389">
        <v>15</v>
      </c>
      <c r="C389" s="8">
        <v>1.10885E-3</v>
      </c>
      <c r="D389" s="9">
        <f t="shared" si="9"/>
        <v>0.82436561138249664</v>
      </c>
      <c r="E389">
        <v>0.5674871056416001</v>
      </c>
      <c r="F389">
        <v>1.170557422727557</v>
      </c>
      <c r="H389">
        <v>4.1630042587716325</v>
      </c>
    </row>
    <row r="390" spans="1:8" x14ac:dyDescent="0.3">
      <c r="A390">
        <v>1</v>
      </c>
      <c r="B390">
        <v>15</v>
      </c>
      <c r="C390" s="8">
        <v>1.10885E-3</v>
      </c>
      <c r="D390" s="9">
        <f t="shared" si="9"/>
        <v>0.82436561138249664</v>
      </c>
      <c r="E390">
        <v>1.0959080699528001</v>
      </c>
      <c r="F390">
        <v>2.2605329938905356</v>
      </c>
      <c r="H390">
        <v>5.1819800156402966E-2</v>
      </c>
    </row>
    <row r="391" spans="1:8" x14ac:dyDescent="0.3">
      <c r="A391">
        <v>1</v>
      </c>
      <c r="B391">
        <v>15</v>
      </c>
      <c r="C391" s="8">
        <v>1.10885E-3</v>
      </c>
      <c r="D391" s="9">
        <f t="shared" si="9"/>
        <v>0.82436561138249664</v>
      </c>
      <c r="E391">
        <v>1.1480819297559002</v>
      </c>
      <c r="F391">
        <v>2.3681521772300709</v>
      </c>
      <c r="H391">
        <v>-1.0631378485370158</v>
      </c>
    </row>
    <row r="392" spans="1:8" x14ac:dyDescent="0.3">
      <c r="A392">
        <v>1</v>
      </c>
      <c r="B392">
        <v>15</v>
      </c>
      <c r="C392" s="8">
        <v>1.10885E-3</v>
      </c>
      <c r="D392" s="9">
        <f t="shared" si="9"/>
        <v>0.82436561138249664</v>
      </c>
      <c r="E392">
        <v>1.2552568043268</v>
      </c>
      <c r="F392">
        <v>2.5892221252723679</v>
      </c>
      <c r="H392">
        <v>-1.9249623954724819</v>
      </c>
    </row>
    <row r="393" spans="1:8" x14ac:dyDescent="0.3">
      <c r="A393">
        <v>1</v>
      </c>
      <c r="B393">
        <v>15</v>
      </c>
      <c r="C393" s="8">
        <v>1.10885E-3</v>
      </c>
      <c r="D393" s="9">
        <f t="shared" si="9"/>
        <v>0.82436561138249664</v>
      </c>
      <c r="E393">
        <v>1.2398359590648</v>
      </c>
      <c r="F393">
        <v>2.5574134996547713</v>
      </c>
      <c r="H393">
        <v>-2.0898423375643644</v>
      </c>
    </row>
    <row r="394" spans="1:8" x14ac:dyDescent="0.3">
      <c r="A394">
        <v>1</v>
      </c>
      <c r="B394">
        <v>15</v>
      </c>
      <c r="C394" s="8">
        <v>1.10885E-3</v>
      </c>
      <c r="D394" s="9">
        <f t="shared" si="9"/>
        <v>0.82436561138249664</v>
      </c>
      <c r="E394">
        <v>1.2564484150970454</v>
      </c>
      <c r="F394">
        <v>2.5916800645246361</v>
      </c>
      <c r="H394">
        <v>-2.3035551109759598</v>
      </c>
    </row>
    <row r="395" spans="1:8" x14ac:dyDescent="0.3">
      <c r="A395">
        <v>1</v>
      </c>
      <c r="B395">
        <v>20</v>
      </c>
      <c r="C395" s="8">
        <v>7.5770400000000002E-3</v>
      </c>
      <c r="D395" s="9">
        <f t="shared" si="9"/>
        <v>0.71392156146353214</v>
      </c>
      <c r="E395">
        <v>0</v>
      </c>
      <c r="F395">
        <v>0</v>
      </c>
      <c r="H395">
        <v>26.70337305114807</v>
      </c>
    </row>
    <row r="396" spans="1:8" x14ac:dyDescent="0.3">
      <c r="A396">
        <v>1</v>
      </c>
      <c r="B396">
        <v>20</v>
      </c>
      <c r="C396" s="8">
        <v>7.5770400000000002E-3</v>
      </c>
      <c r="D396" s="9">
        <f t="shared" si="9"/>
        <v>0.71392156146353214</v>
      </c>
      <c r="E396">
        <v>0.25150664301250003</v>
      </c>
      <c r="F396">
        <v>0.38908765264381634</v>
      </c>
      <c r="H396">
        <v>6.5683087572720078</v>
      </c>
    </row>
    <row r="397" spans="1:8" x14ac:dyDescent="0.3">
      <c r="A397">
        <v>1</v>
      </c>
      <c r="B397">
        <v>20</v>
      </c>
      <c r="C397" s="8">
        <v>7.5770400000000002E-3</v>
      </c>
      <c r="D397" s="9">
        <f t="shared" si="9"/>
        <v>0.71392156146353214</v>
      </c>
      <c r="E397">
        <v>0.40265540414166667</v>
      </c>
      <c r="F397">
        <v>0.62291891834460111</v>
      </c>
      <c r="H397">
        <v>2.6914181135039312</v>
      </c>
    </row>
    <row r="398" spans="1:8" x14ac:dyDescent="0.3">
      <c r="A398">
        <v>1</v>
      </c>
      <c r="B398">
        <v>20</v>
      </c>
      <c r="C398" s="8">
        <v>7.5770400000000002E-3</v>
      </c>
      <c r="D398" s="9">
        <f t="shared" si="9"/>
        <v>0.71392156146353214</v>
      </c>
      <c r="E398">
        <v>0.58746077200000013</v>
      </c>
      <c r="F398">
        <v>0.90881787478847598</v>
      </c>
      <c r="H398">
        <v>1.0822735460107329</v>
      </c>
    </row>
    <row r="399" spans="1:8" x14ac:dyDescent="0.3">
      <c r="A399">
        <v>1</v>
      </c>
      <c r="B399">
        <v>20</v>
      </c>
      <c r="C399" s="8">
        <v>7.5770400000000002E-3</v>
      </c>
      <c r="D399" s="9">
        <f t="shared" si="9"/>
        <v>0.71392156146353214</v>
      </c>
      <c r="E399">
        <v>0.76590198149500011</v>
      </c>
      <c r="F399">
        <v>1.1848713042554753</v>
      </c>
      <c r="H399">
        <v>7.0904985107378152E-2</v>
      </c>
    </row>
    <row r="400" spans="1:8" x14ac:dyDescent="0.3">
      <c r="A400">
        <v>1</v>
      </c>
      <c r="B400">
        <v>20</v>
      </c>
      <c r="C400" s="8">
        <v>7.5770400000000002E-3</v>
      </c>
      <c r="D400" s="9">
        <f t="shared" si="9"/>
        <v>0.71392156146353214</v>
      </c>
      <c r="E400">
        <v>0.92586265420416669</v>
      </c>
      <c r="F400">
        <v>1.4323348380780876</v>
      </c>
      <c r="H400">
        <v>-0.71551645003308284</v>
      </c>
    </row>
    <row r="401" spans="1:8" x14ac:dyDescent="0.3">
      <c r="A401">
        <v>1</v>
      </c>
      <c r="B401">
        <v>20</v>
      </c>
      <c r="C401" s="8">
        <v>7.5770400000000002E-3</v>
      </c>
      <c r="D401" s="9">
        <f t="shared" si="9"/>
        <v>0.71392156146353214</v>
      </c>
      <c r="E401">
        <v>1.0843181413532339</v>
      </c>
      <c r="F401">
        <v>1.6774698086891764</v>
      </c>
      <c r="H401">
        <v>-1.480576669259513</v>
      </c>
    </row>
    <row r="402" spans="1:8" x14ac:dyDescent="0.3">
      <c r="A402">
        <v>1</v>
      </c>
      <c r="B402">
        <v>20</v>
      </c>
      <c r="C402" s="8">
        <v>3.7885200000000001E-3</v>
      </c>
      <c r="D402" s="9">
        <f t="shared" si="9"/>
        <v>0.71392156146353214</v>
      </c>
      <c r="E402">
        <v>0.209282900025</v>
      </c>
      <c r="F402">
        <v>0.32376636789339452</v>
      </c>
      <c r="H402">
        <v>26.628914186335184</v>
      </c>
    </row>
    <row r="403" spans="1:8" x14ac:dyDescent="0.3">
      <c r="A403">
        <v>1</v>
      </c>
      <c r="B403">
        <v>20</v>
      </c>
      <c r="C403" s="8">
        <v>3.7885200000000001E-3</v>
      </c>
      <c r="D403" s="9">
        <f t="shared" si="9"/>
        <v>0.71392156146353214</v>
      </c>
      <c r="E403">
        <v>0.46446117286249999</v>
      </c>
      <c r="F403">
        <v>0.7185341322546388</v>
      </c>
      <c r="H403">
        <v>6.3091121549224418</v>
      </c>
    </row>
    <row r="404" spans="1:8" x14ac:dyDescent="0.3">
      <c r="A404">
        <v>1</v>
      </c>
      <c r="B404">
        <v>20</v>
      </c>
      <c r="C404" s="8">
        <v>3.7885200000000001E-3</v>
      </c>
      <c r="D404" s="9">
        <f t="shared" si="9"/>
        <v>0.71392156146353214</v>
      </c>
      <c r="E404">
        <v>0.67313213458333332</v>
      </c>
      <c r="F404">
        <v>1.0413538148617951</v>
      </c>
      <c r="H404">
        <v>2.1967597700927475</v>
      </c>
    </row>
    <row r="405" spans="1:8" x14ac:dyDescent="0.3">
      <c r="A405">
        <v>1</v>
      </c>
      <c r="B405">
        <v>20</v>
      </c>
      <c r="C405" s="8">
        <v>3.7885200000000001E-3</v>
      </c>
      <c r="D405" s="9">
        <f t="shared" si="9"/>
        <v>0.71392156146353214</v>
      </c>
      <c r="E405">
        <v>0.86558673124375007</v>
      </c>
      <c r="F405">
        <v>1.3390863373836448</v>
      </c>
      <c r="H405">
        <v>0.3952521538778464</v>
      </c>
    </row>
    <row r="406" spans="1:8" x14ac:dyDescent="0.3">
      <c r="A406">
        <v>1</v>
      </c>
      <c r="B406">
        <v>20</v>
      </c>
      <c r="C406" s="8">
        <v>3.7885200000000001E-3</v>
      </c>
      <c r="D406" s="9">
        <f t="shared" si="9"/>
        <v>0.71392156146353214</v>
      </c>
      <c r="E406">
        <v>1.1595006987350001</v>
      </c>
      <c r="F406">
        <v>1.7937792803637542</v>
      </c>
      <c r="H406">
        <v>-1.2174162575778982</v>
      </c>
    </row>
    <row r="407" spans="1:8" x14ac:dyDescent="0.3">
      <c r="A407">
        <v>1</v>
      </c>
      <c r="B407">
        <v>20</v>
      </c>
      <c r="C407" s="8">
        <v>3.7885200000000001E-3</v>
      </c>
      <c r="D407" s="9">
        <f t="shared" si="9"/>
        <v>0.71392156146353214</v>
      </c>
      <c r="E407">
        <v>1.4453982744416667</v>
      </c>
      <c r="F407">
        <v>2.2360706460941455</v>
      </c>
      <c r="H407">
        <v>-2.8098391294583198</v>
      </c>
    </row>
    <row r="408" spans="1:8" x14ac:dyDescent="0.3">
      <c r="A408">
        <v>1</v>
      </c>
      <c r="B408">
        <v>20</v>
      </c>
      <c r="C408" s="8">
        <v>3.7885200000000001E-3</v>
      </c>
      <c r="D408" s="9">
        <f t="shared" si="9"/>
        <v>0.71392156146353214</v>
      </c>
      <c r="E408">
        <v>1.5559632872385001</v>
      </c>
      <c r="F408">
        <v>2.4071177436116264</v>
      </c>
      <c r="H408">
        <v>-3.5923508652953644</v>
      </c>
    </row>
    <row r="409" spans="1:8" x14ac:dyDescent="0.3">
      <c r="A409">
        <v>1</v>
      </c>
      <c r="B409">
        <v>20</v>
      </c>
      <c r="C409" s="8">
        <v>1.89426E-3</v>
      </c>
      <c r="D409" s="9">
        <f t="shared" si="9"/>
        <v>0.71392156146353214</v>
      </c>
      <c r="E409">
        <v>0.23865593862500004</v>
      </c>
      <c r="F409">
        <v>0.36920726163281836</v>
      </c>
      <c r="H409">
        <v>26.606546734178405</v>
      </c>
    </row>
    <row r="410" spans="1:8" x14ac:dyDescent="0.3">
      <c r="A410">
        <v>1</v>
      </c>
      <c r="B410">
        <v>20</v>
      </c>
      <c r="C410" s="8">
        <v>1.89426E-3</v>
      </c>
      <c r="D410" s="9">
        <f t="shared" si="9"/>
        <v>0.71392156146353214</v>
      </c>
      <c r="E410">
        <v>0.48832676672500008</v>
      </c>
      <c r="F410">
        <v>0.75545485841792082</v>
      </c>
      <c r="H410">
        <v>6.2704561099168599</v>
      </c>
    </row>
    <row r="411" spans="1:8" x14ac:dyDescent="0.3">
      <c r="A411">
        <v>1</v>
      </c>
      <c r="B411">
        <v>20</v>
      </c>
      <c r="C411" s="8">
        <v>1.89426E-3</v>
      </c>
      <c r="D411" s="9">
        <f t="shared" si="9"/>
        <v>0.71392156146353214</v>
      </c>
      <c r="E411">
        <v>0.67925151762500002</v>
      </c>
      <c r="F411">
        <v>1.0508206677241752</v>
      </c>
      <c r="H411">
        <v>2.1826909889945907</v>
      </c>
    </row>
    <row r="412" spans="1:8" x14ac:dyDescent="0.3">
      <c r="A412">
        <v>1</v>
      </c>
      <c r="B412">
        <v>20</v>
      </c>
      <c r="C412" s="8">
        <v>1.89426E-3</v>
      </c>
      <c r="D412" s="9">
        <f t="shared" si="9"/>
        <v>0.71392156146353214</v>
      </c>
      <c r="E412">
        <v>0.94636258739375012</v>
      </c>
      <c r="F412">
        <v>1.4640487951670607</v>
      </c>
      <c r="H412">
        <v>0.14643716610514562</v>
      </c>
    </row>
    <row r="413" spans="1:8" x14ac:dyDescent="0.3">
      <c r="A413">
        <v>1</v>
      </c>
      <c r="B413">
        <v>20</v>
      </c>
      <c r="C413" s="8">
        <v>1.89426E-3</v>
      </c>
      <c r="D413" s="9">
        <f t="shared" si="9"/>
        <v>0.71392156146353214</v>
      </c>
      <c r="E413">
        <v>1.1741872180350001</v>
      </c>
      <c r="F413">
        <v>1.8164997272334662</v>
      </c>
      <c r="H413">
        <v>-1.2756816370485917</v>
      </c>
    </row>
    <row r="414" spans="1:8" x14ac:dyDescent="0.3">
      <c r="A414">
        <v>1</v>
      </c>
      <c r="B414">
        <v>20</v>
      </c>
      <c r="C414" s="8">
        <v>1.89426E-3</v>
      </c>
      <c r="D414" s="9">
        <f t="shared" si="9"/>
        <v>0.71392156146353214</v>
      </c>
      <c r="E414">
        <v>1.2098020273375001</v>
      </c>
      <c r="F414">
        <v>1.8715968108925174</v>
      </c>
      <c r="H414">
        <v>-1.7463952445629822</v>
      </c>
    </row>
    <row r="415" spans="1:8" x14ac:dyDescent="0.3">
      <c r="A415">
        <v>1</v>
      </c>
      <c r="B415">
        <v>20</v>
      </c>
      <c r="C415" s="8">
        <v>1.89426E-3</v>
      </c>
      <c r="D415" s="9">
        <f t="shared" si="9"/>
        <v>0.71392156146353214</v>
      </c>
      <c r="E415">
        <v>1.4711486382810002</v>
      </c>
      <c r="F415">
        <v>2.2759071629390411</v>
      </c>
      <c r="H415">
        <v>-3.1558870252547679</v>
      </c>
    </row>
    <row r="416" spans="1:8" x14ac:dyDescent="0.3">
      <c r="A416">
        <v>1</v>
      </c>
      <c r="B416">
        <v>20</v>
      </c>
      <c r="C416" s="8">
        <v>1.2628400000000001E-3</v>
      </c>
      <c r="D416" s="9">
        <f t="shared" si="9"/>
        <v>0.71392156146353214</v>
      </c>
      <c r="E416">
        <v>0.2643573474</v>
      </c>
      <c r="F416">
        <v>0.40896804365481421</v>
      </c>
      <c r="H416">
        <v>26.584568879036652</v>
      </c>
    </row>
    <row r="417" spans="1:8" x14ac:dyDescent="0.3">
      <c r="A417">
        <v>1</v>
      </c>
      <c r="B417">
        <v>20</v>
      </c>
      <c r="C417" s="8">
        <v>1.2628400000000001E-3</v>
      </c>
      <c r="D417" s="9">
        <f t="shared" si="9"/>
        <v>0.71392156146353214</v>
      </c>
      <c r="E417">
        <v>0.44977465356250007</v>
      </c>
      <c r="F417">
        <v>0.69581368538492705</v>
      </c>
      <c r="H417">
        <v>6.3319379565086633</v>
      </c>
    </row>
    <row r="418" spans="1:8" x14ac:dyDescent="0.3">
      <c r="A418">
        <v>1</v>
      </c>
      <c r="B418">
        <v>20</v>
      </c>
      <c r="C418" s="8">
        <v>1.2628400000000001E-3</v>
      </c>
      <c r="D418" s="9">
        <f t="shared" si="9"/>
        <v>0.71392156146353214</v>
      </c>
      <c r="E418">
        <v>0.72086332230833328</v>
      </c>
      <c r="F418">
        <v>1.1151952671883589</v>
      </c>
      <c r="H418">
        <v>2.0836467700635688</v>
      </c>
    </row>
    <row r="419" spans="1:8" x14ac:dyDescent="0.3">
      <c r="A419">
        <v>1</v>
      </c>
      <c r="B419">
        <v>20</v>
      </c>
      <c r="C419" s="8">
        <v>1.2628400000000001E-3</v>
      </c>
      <c r="D419" s="9">
        <f t="shared" si="9"/>
        <v>0.71392156146353214</v>
      </c>
      <c r="E419">
        <v>0.92525071590000008</v>
      </c>
      <c r="F419">
        <v>1.4313881527918495</v>
      </c>
      <c r="H419">
        <v>0.21360970733186765</v>
      </c>
    </row>
    <row r="420" spans="1:8" x14ac:dyDescent="0.3">
      <c r="A420">
        <v>1</v>
      </c>
      <c r="B420">
        <v>20</v>
      </c>
      <c r="C420" s="8">
        <v>1.2628400000000001E-3</v>
      </c>
      <c r="D420" s="9">
        <f t="shared" si="9"/>
        <v>0.71392156146353214</v>
      </c>
      <c r="E420">
        <v>0.88780009168500018</v>
      </c>
      <c r="F420">
        <v>1.373451013274084</v>
      </c>
      <c r="H420">
        <v>-0.27178638270709798</v>
      </c>
    </row>
    <row r="421" spans="1:8" x14ac:dyDescent="0.3">
      <c r="A421">
        <v>1</v>
      </c>
      <c r="B421">
        <v>20</v>
      </c>
      <c r="C421" s="8">
        <v>1.2628400000000001E-3</v>
      </c>
      <c r="D421" s="9">
        <f t="shared" si="9"/>
        <v>0.71392156146353214</v>
      </c>
      <c r="E421">
        <v>1.0072504486583334</v>
      </c>
      <c r="F421">
        <v>1.5582439811477409</v>
      </c>
      <c r="H421">
        <v>-0.98298053021621268</v>
      </c>
    </row>
    <row r="422" spans="1:8" x14ac:dyDescent="0.3">
      <c r="A422">
        <v>1</v>
      </c>
      <c r="B422">
        <v>20</v>
      </c>
      <c r="C422" s="8">
        <v>1.2628400000000001E-3</v>
      </c>
      <c r="D422" s="9">
        <f t="shared" si="9"/>
        <v>0.71392156146353214</v>
      </c>
      <c r="E422">
        <v>1.1513208189557216</v>
      </c>
      <c r="F422">
        <v>1.7811247827166683</v>
      </c>
      <c r="H422">
        <v>-1.7352261232978536</v>
      </c>
    </row>
    <row r="423" spans="1:8" x14ac:dyDescent="0.3">
      <c r="A423">
        <v>1</v>
      </c>
      <c r="B423">
        <v>30</v>
      </c>
      <c r="C423" s="8">
        <v>9.1083599999999994E-3</v>
      </c>
      <c r="D423" s="9">
        <f t="shared" si="9"/>
        <v>0.58291451398555749</v>
      </c>
      <c r="E423">
        <v>0</v>
      </c>
      <c r="F423">
        <v>0</v>
      </c>
      <c r="H423">
        <v>36.346257740493073</v>
      </c>
    </row>
    <row r="424" spans="1:8" x14ac:dyDescent="0.3">
      <c r="A424">
        <v>1</v>
      </c>
      <c r="B424">
        <v>30</v>
      </c>
      <c r="C424" s="8">
        <v>9.1083599999999994E-3</v>
      </c>
      <c r="D424" s="9">
        <f t="shared" si="9"/>
        <v>0.58291451398555749</v>
      </c>
      <c r="E424">
        <v>0.2977079848805555</v>
      </c>
      <c r="F424">
        <v>0.30704159450318985</v>
      </c>
      <c r="H424">
        <v>8.9358933598784773</v>
      </c>
    </row>
    <row r="425" spans="1:8" x14ac:dyDescent="0.3">
      <c r="A425">
        <v>1</v>
      </c>
      <c r="B425">
        <v>30</v>
      </c>
      <c r="C425" s="8">
        <v>9.1083599999999994E-3</v>
      </c>
      <c r="D425" s="9">
        <f t="shared" si="9"/>
        <v>0.58291451398555749</v>
      </c>
      <c r="E425">
        <v>0.47690391822592587</v>
      </c>
      <c r="F425">
        <v>0.49185559982765192</v>
      </c>
      <c r="H425">
        <v>3.6518295920042991</v>
      </c>
    </row>
    <row r="426" spans="1:8" x14ac:dyDescent="0.3">
      <c r="A426">
        <v>1</v>
      </c>
      <c r="B426">
        <v>30</v>
      </c>
      <c r="C426" s="8">
        <v>9.1083599999999994E-3</v>
      </c>
      <c r="D426" s="9">
        <f t="shared" si="9"/>
        <v>0.58291451398555749</v>
      </c>
      <c r="E426">
        <v>0.6660948438694444</v>
      </c>
      <c r="F426">
        <v>0.68697795604670542</v>
      </c>
      <c r="H426">
        <v>1.517381129030736</v>
      </c>
    </row>
    <row r="427" spans="1:8" x14ac:dyDescent="0.3">
      <c r="A427">
        <v>1</v>
      </c>
      <c r="B427">
        <v>30</v>
      </c>
      <c r="C427" s="8">
        <v>9.1083599999999994E-3</v>
      </c>
      <c r="D427" s="9">
        <f t="shared" si="9"/>
        <v>0.58291451398555749</v>
      </c>
      <c r="E427">
        <v>0.86014048005777766</v>
      </c>
      <c r="F427">
        <v>0.88710722555741772</v>
      </c>
      <c r="H427">
        <v>0.19611951238188197</v>
      </c>
    </row>
    <row r="428" spans="1:8" x14ac:dyDescent="0.3">
      <c r="A428">
        <v>1</v>
      </c>
      <c r="B428">
        <v>30</v>
      </c>
      <c r="C428" s="8">
        <v>9.1083599999999994E-3</v>
      </c>
      <c r="D428" s="9">
        <f t="shared" si="9"/>
        <v>0.58291451398555749</v>
      </c>
      <c r="E428">
        <v>1.0466184792203703</v>
      </c>
      <c r="F428">
        <v>1.0794316008193678</v>
      </c>
      <c r="H428">
        <v>-0.85257913920820116</v>
      </c>
    </row>
    <row r="429" spans="1:8" x14ac:dyDescent="0.3">
      <c r="A429">
        <v>1</v>
      </c>
      <c r="B429">
        <v>30</v>
      </c>
      <c r="C429" s="8">
        <v>9.1083599999999994E-3</v>
      </c>
      <c r="D429" s="9">
        <f t="shared" si="9"/>
        <v>0.58291451398555749</v>
      </c>
      <c r="E429">
        <v>1.2372818814078126</v>
      </c>
      <c r="F429">
        <v>1.2760725980184284</v>
      </c>
      <c r="H429">
        <v>-1.8837115273269152</v>
      </c>
    </row>
    <row r="430" spans="1:8" x14ac:dyDescent="0.3">
      <c r="A430">
        <v>1</v>
      </c>
      <c r="B430">
        <v>30</v>
      </c>
      <c r="C430" s="8">
        <v>4.5541799999999997E-3</v>
      </c>
      <c r="D430" s="9">
        <f t="shared" si="9"/>
        <v>0.58291451398555749</v>
      </c>
      <c r="E430">
        <v>0.23131267889999998</v>
      </c>
      <c r="F430">
        <v>0.2385646921319749</v>
      </c>
      <c r="H430">
        <v>36.25529829627925</v>
      </c>
    </row>
    <row r="431" spans="1:8" x14ac:dyDescent="0.3">
      <c r="A431">
        <v>1</v>
      </c>
      <c r="B431">
        <v>30</v>
      </c>
      <c r="C431" s="8">
        <v>4.5541799999999997E-3</v>
      </c>
      <c r="D431" s="9">
        <f t="shared" si="9"/>
        <v>0.58291451398555749</v>
      </c>
      <c r="E431">
        <v>0.43264038090555551</v>
      </c>
      <c r="F431">
        <v>0.44620433158017525</v>
      </c>
      <c r="H431">
        <v>8.7683623465000906</v>
      </c>
    </row>
    <row r="432" spans="1:8" x14ac:dyDescent="0.3">
      <c r="A432">
        <v>1</v>
      </c>
      <c r="B432">
        <v>30</v>
      </c>
      <c r="C432" s="8">
        <v>4.5541799999999997E-3</v>
      </c>
      <c r="D432" s="9">
        <f t="shared" si="9"/>
        <v>0.58291451398555749</v>
      </c>
      <c r="E432">
        <v>0.69679374878518519</v>
      </c>
      <c r="F432">
        <v>0.71863931950866522</v>
      </c>
      <c r="H432">
        <v>3.2130864840886186</v>
      </c>
    </row>
    <row r="433" spans="1:8" x14ac:dyDescent="0.3">
      <c r="A433">
        <v>1</v>
      </c>
      <c r="B433">
        <v>30</v>
      </c>
      <c r="C433" s="8">
        <v>4.5541799999999997E-3</v>
      </c>
      <c r="D433" s="9">
        <f t="shared" si="9"/>
        <v>0.58291451398555749</v>
      </c>
      <c r="E433">
        <v>0.80638170005416665</v>
      </c>
      <c r="F433">
        <v>0.83166302396007907</v>
      </c>
      <c r="H433">
        <v>1.1662136502709954</v>
      </c>
    </row>
    <row r="434" spans="1:8" x14ac:dyDescent="0.3">
      <c r="A434">
        <v>1</v>
      </c>
      <c r="B434">
        <v>30</v>
      </c>
      <c r="C434" s="8">
        <v>4.5541799999999997E-3</v>
      </c>
      <c r="D434" s="9">
        <f t="shared" si="9"/>
        <v>0.58291451398555749</v>
      </c>
      <c r="E434">
        <v>1.0494741913055554</v>
      </c>
      <c r="F434">
        <v>1.0823768439321084</v>
      </c>
      <c r="H434">
        <v>-0.41852302334824143</v>
      </c>
    </row>
    <row r="435" spans="1:8" x14ac:dyDescent="0.3">
      <c r="A435">
        <v>1</v>
      </c>
      <c r="B435">
        <v>30</v>
      </c>
      <c r="C435" s="8">
        <v>4.5541799999999997E-3</v>
      </c>
      <c r="D435" s="9">
        <f t="shared" si="9"/>
        <v>0.58291451398555749</v>
      </c>
      <c r="E435">
        <v>1.1786951631601852</v>
      </c>
      <c r="F435">
        <v>1.2156490947836129</v>
      </c>
      <c r="H435">
        <v>-1.3522296184480147</v>
      </c>
    </row>
    <row r="436" spans="1:8" x14ac:dyDescent="0.3">
      <c r="A436">
        <v>1</v>
      </c>
      <c r="B436">
        <v>30</v>
      </c>
      <c r="C436" s="8">
        <v>4.5541799999999997E-3</v>
      </c>
      <c r="D436" s="9">
        <f t="shared" si="9"/>
        <v>0.58291451398555749</v>
      </c>
      <c r="E436">
        <v>1.3704751196046694</v>
      </c>
      <c r="F436">
        <v>1.4134416519570188</v>
      </c>
      <c r="H436">
        <v>-2.4797646383302299</v>
      </c>
    </row>
    <row r="437" spans="1:8" x14ac:dyDescent="0.3">
      <c r="A437">
        <v>1</v>
      </c>
      <c r="B437">
        <v>30</v>
      </c>
      <c r="C437" s="8">
        <v>2.2770899999999998E-3</v>
      </c>
      <c r="D437" s="9">
        <f t="shared" si="9"/>
        <v>0.58291451398555749</v>
      </c>
      <c r="E437">
        <v>0.26558122392222222</v>
      </c>
      <c r="F437">
        <v>0.27390760948486009</v>
      </c>
      <c r="H437">
        <v>36.226350983443027</v>
      </c>
    </row>
    <row r="438" spans="1:8" x14ac:dyDescent="0.3">
      <c r="A438">
        <v>1</v>
      </c>
      <c r="B438">
        <v>30</v>
      </c>
      <c r="C438" s="8">
        <v>2.2770899999999998E-3</v>
      </c>
      <c r="D438" s="9">
        <f t="shared" si="9"/>
        <v>0.58291451398555749</v>
      </c>
      <c r="E438">
        <v>0.53758780003611106</v>
      </c>
      <c r="F438">
        <v>0.55444201597338605</v>
      </c>
      <c r="H438">
        <v>8.5952633424522347</v>
      </c>
    </row>
    <row r="439" spans="1:8" x14ac:dyDescent="0.3">
      <c r="A439">
        <v>1</v>
      </c>
      <c r="B439">
        <v>30</v>
      </c>
      <c r="C439" s="8">
        <v>2.2770899999999998E-3</v>
      </c>
      <c r="D439" s="9">
        <f t="shared" si="9"/>
        <v>0.58291451398555749</v>
      </c>
      <c r="E439">
        <v>0.84529077721481483</v>
      </c>
      <c r="F439">
        <v>0.87179196137116755</v>
      </c>
      <c r="H439">
        <v>2.8237950356014849</v>
      </c>
    </row>
    <row r="440" spans="1:8" x14ac:dyDescent="0.3">
      <c r="A440">
        <v>1</v>
      </c>
      <c r="B440">
        <v>30</v>
      </c>
      <c r="C440" s="8">
        <v>2.2770899999999998E-3</v>
      </c>
      <c r="D440" s="9">
        <f t="shared" si="9"/>
        <v>0.58291451398555749</v>
      </c>
      <c r="E440">
        <v>1.048403299273611</v>
      </c>
      <c r="F440">
        <v>1.0812723777648305</v>
      </c>
      <c r="H440">
        <v>0.40308699630356981</v>
      </c>
    </row>
    <row r="441" spans="1:8" x14ac:dyDescent="0.3">
      <c r="A441">
        <v>1</v>
      </c>
      <c r="B441">
        <v>30</v>
      </c>
      <c r="C441" s="8">
        <v>2.2770899999999998E-3</v>
      </c>
      <c r="D441" s="9">
        <f t="shared" si="9"/>
        <v>0.58291451398555749</v>
      </c>
      <c r="E441">
        <v>1.0948800134599999</v>
      </c>
      <c r="F441">
        <v>1.1292062094246811</v>
      </c>
      <c r="H441">
        <v>-0.5840455049663652</v>
      </c>
    </row>
    <row r="442" spans="1:8" x14ac:dyDescent="0.3">
      <c r="A442">
        <v>1</v>
      </c>
      <c r="B442">
        <v>30</v>
      </c>
      <c r="C442" s="8">
        <v>2.2770899999999998E-3</v>
      </c>
      <c r="D442" s="9">
        <f t="shared" si="9"/>
        <v>0.58291451398555749</v>
      </c>
      <c r="E442">
        <v>1.0694641759018519</v>
      </c>
      <c r="F442">
        <v>1.1029935457212914</v>
      </c>
      <c r="H442">
        <v>-0.9347628894443738</v>
      </c>
    </row>
    <row r="443" spans="1:8" x14ac:dyDescent="0.3">
      <c r="A443">
        <v>1</v>
      </c>
      <c r="B443">
        <v>30</v>
      </c>
      <c r="C443" s="8">
        <v>2.2770899999999998E-3</v>
      </c>
      <c r="D443" s="9">
        <f t="shared" si="9"/>
        <v>0.58291451398555749</v>
      </c>
      <c r="E443">
        <v>1.1725889787898038</v>
      </c>
      <c r="F443">
        <v>1.2093514720101946</v>
      </c>
      <c r="H443">
        <v>-1.6130305095493331</v>
      </c>
    </row>
    <row r="444" spans="1:8" x14ac:dyDescent="0.3">
      <c r="A444">
        <v>1</v>
      </c>
      <c r="B444">
        <v>30</v>
      </c>
      <c r="C444" s="8">
        <v>1.5180599999999999E-3</v>
      </c>
      <c r="D444" s="9">
        <f t="shared" si="9"/>
        <v>0.58291451398555749</v>
      </c>
      <c r="E444">
        <v>0.17134272511111109</v>
      </c>
      <c r="F444">
        <v>0.17671458676442589</v>
      </c>
      <c r="H444">
        <v>36.296348580430617</v>
      </c>
    </row>
    <row r="445" spans="1:8" x14ac:dyDescent="0.3">
      <c r="A445">
        <v>1</v>
      </c>
      <c r="B445">
        <v>30</v>
      </c>
      <c r="C445" s="8">
        <v>1.5180599999999999E-3</v>
      </c>
      <c r="D445" s="9">
        <f t="shared" si="9"/>
        <v>0.58291451398555749</v>
      </c>
      <c r="E445">
        <v>0.5611474247388889</v>
      </c>
      <c r="F445">
        <v>0.57874027165349473</v>
      </c>
      <c r="H445">
        <v>8.5512575002284201</v>
      </c>
    </row>
    <row r="446" spans="1:8" x14ac:dyDescent="0.3">
      <c r="A446">
        <v>1</v>
      </c>
      <c r="B446">
        <v>30</v>
      </c>
      <c r="C446" s="8">
        <v>1.5180599999999999E-3</v>
      </c>
      <c r="D446" s="9">
        <f t="shared" si="9"/>
        <v>0.58291451398555749</v>
      </c>
      <c r="E446">
        <v>0.71250016525370374</v>
      </c>
      <c r="F446">
        <v>0.73483815662873753</v>
      </c>
      <c r="H446">
        <v>3.175457056949865</v>
      </c>
    </row>
    <row r="447" spans="1:8" x14ac:dyDescent="0.3">
      <c r="A447">
        <v>1</v>
      </c>
      <c r="B447">
        <v>30</v>
      </c>
      <c r="C447" s="8">
        <v>1.5180599999999999E-3</v>
      </c>
      <c r="D447" s="9">
        <f t="shared" si="9"/>
        <v>0.58291451398555749</v>
      </c>
      <c r="E447">
        <v>0.69286714466805543</v>
      </c>
      <c r="F447">
        <v>0.7145896102286472</v>
      </c>
      <c r="H447">
        <v>1.455530812508028</v>
      </c>
    </row>
    <row r="448" spans="1:8" x14ac:dyDescent="0.3">
      <c r="A448">
        <v>1</v>
      </c>
      <c r="B448">
        <v>30</v>
      </c>
      <c r="C448" s="8">
        <v>1.5180599999999999E-3</v>
      </c>
      <c r="D448" s="9">
        <f t="shared" si="9"/>
        <v>0.58291451398555749</v>
      </c>
      <c r="E448">
        <v>0.65709935080111104</v>
      </c>
      <c r="F448">
        <v>0.67770044024157317</v>
      </c>
      <c r="H448">
        <v>0.71982506302021221</v>
      </c>
    </row>
    <row r="449" spans="1:8" x14ac:dyDescent="0.3">
      <c r="A449">
        <v>1</v>
      </c>
      <c r="B449">
        <v>30</v>
      </c>
      <c r="C449" s="8">
        <v>1.5180599999999999E-3</v>
      </c>
      <c r="D449" s="9">
        <f t="shared" si="9"/>
        <v>0.58291451398555749</v>
      </c>
      <c r="E449">
        <v>0.73962943006296289</v>
      </c>
      <c r="F449">
        <v>0.7628179661997716</v>
      </c>
      <c r="H449">
        <v>7.9630391083304636E-2</v>
      </c>
    </row>
    <row r="450" spans="1:8" x14ac:dyDescent="0.3">
      <c r="A450">
        <v>1</v>
      </c>
      <c r="B450">
        <v>30</v>
      </c>
      <c r="C450" s="8">
        <v>1.5180599999999999E-3</v>
      </c>
      <c r="D450" s="9">
        <f t="shared" si="9"/>
        <v>0.58291451398555749</v>
      </c>
      <c r="E450">
        <v>0.80490764866901954</v>
      </c>
      <c r="F450">
        <v>0.83014275876512056</v>
      </c>
      <c r="H450">
        <v>-0.37697990605051046</v>
      </c>
    </row>
    <row r="451" spans="1:8" x14ac:dyDescent="0.3">
      <c r="A451">
        <v>1</v>
      </c>
      <c r="B451">
        <v>40</v>
      </c>
      <c r="C451" s="8">
        <v>1.0389860000000001E-2</v>
      </c>
      <c r="D451" s="9">
        <f t="shared" ref="D451:D506" si="10">(A451)/((9.81*B451*10^-2))^(1/2)</f>
        <v>0.50481877734615221</v>
      </c>
      <c r="E451">
        <v>0</v>
      </c>
      <c r="F451">
        <v>0</v>
      </c>
      <c r="H451">
        <v>49.81664359809659</v>
      </c>
    </row>
    <row r="452" spans="1:8" x14ac:dyDescent="0.3">
      <c r="A452">
        <v>1</v>
      </c>
      <c r="B452">
        <v>40</v>
      </c>
      <c r="C452" s="8">
        <v>1.0389860000000001E-2</v>
      </c>
      <c r="D452" s="9">
        <f t="shared" si="10"/>
        <v>0.50481877734615221</v>
      </c>
      <c r="E452">
        <v>0.36107345010731717</v>
      </c>
      <c r="F452">
        <v>0.27929524932523897</v>
      </c>
      <c r="H452">
        <v>12.232525037691065</v>
      </c>
    </row>
    <row r="453" spans="1:8" x14ac:dyDescent="0.3">
      <c r="A453">
        <v>1</v>
      </c>
      <c r="B453">
        <v>40</v>
      </c>
      <c r="C453" s="8">
        <v>1.0389860000000001E-2</v>
      </c>
      <c r="D453" s="9">
        <f t="shared" si="10"/>
        <v>0.50481877734615221</v>
      </c>
      <c r="E453">
        <v>0.55498326590569114</v>
      </c>
      <c r="F453">
        <v>0.42928714248138572</v>
      </c>
      <c r="H453">
        <v>5.0115716987706422</v>
      </c>
    </row>
    <row r="454" spans="1:8" x14ac:dyDescent="0.3">
      <c r="A454">
        <v>1</v>
      </c>
      <c r="B454">
        <v>40</v>
      </c>
      <c r="C454" s="8">
        <v>1.0389860000000001E-2</v>
      </c>
      <c r="D454" s="9">
        <f t="shared" si="10"/>
        <v>0.50481877734615221</v>
      </c>
      <c r="E454">
        <v>0.95032526104634174</v>
      </c>
      <c r="F454">
        <v>0.73508957982128864</v>
      </c>
      <c r="H454">
        <v>1.5782394518502811</v>
      </c>
    </row>
    <row r="455" spans="1:8" x14ac:dyDescent="0.3">
      <c r="A455">
        <v>1</v>
      </c>
      <c r="B455">
        <v>40</v>
      </c>
      <c r="C455" s="8">
        <v>1.0389860000000001E-2</v>
      </c>
      <c r="D455" s="9">
        <f t="shared" si="10"/>
        <v>0.50481877734615221</v>
      </c>
      <c r="E455">
        <v>1.2035781670243904</v>
      </c>
      <c r="F455">
        <v>0.93098416441746312</v>
      </c>
      <c r="H455">
        <v>-0.46995494311038188</v>
      </c>
    </row>
    <row r="456" spans="1:8" x14ac:dyDescent="0.3">
      <c r="A456">
        <v>1</v>
      </c>
      <c r="B456">
        <v>40</v>
      </c>
      <c r="C456" s="8">
        <v>1.0389860000000001E-2</v>
      </c>
      <c r="D456" s="9">
        <f t="shared" si="10"/>
        <v>0.50481877734615221</v>
      </c>
      <c r="E456">
        <v>1.5011294360943093</v>
      </c>
      <c r="F456">
        <v>1.1611441383984471</v>
      </c>
      <c r="H456">
        <v>-2.4469666371423102</v>
      </c>
    </row>
    <row r="457" spans="1:8" x14ac:dyDescent="0.3">
      <c r="A457">
        <v>1</v>
      </c>
      <c r="B457">
        <v>40</v>
      </c>
      <c r="C457" s="8">
        <v>1.0389860000000001E-2</v>
      </c>
      <c r="D457" s="9">
        <f t="shared" si="10"/>
        <v>0.50481877734615221</v>
      </c>
      <c r="E457">
        <v>1.6238378131153588</v>
      </c>
      <c r="F457">
        <v>1.2560607453774515</v>
      </c>
      <c r="H457">
        <v>-3.5071893939566201</v>
      </c>
    </row>
    <row r="458" spans="1:8" x14ac:dyDescent="0.3">
      <c r="A458">
        <v>1</v>
      </c>
      <c r="B458">
        <v>40</v>
      </c>
      <c r="C458" s="8">
        <v>5.1949300000000004E-3</v>
      </c>
      <c r="D458" s="9">
        <f t="shared" si="10"/>
        <v>0.50481877734615221</v>
      </c>
      <c r="E458">
        <v>0.20059636117073176</v>
      </c>
      <c r="F458">
        <v>0.15516402740291055</v>
      </c>
      <c r="H458">
        <v>49.748237467901191</v>
      </c>
    </row>
    <row r="459" spans="1:8" x14ac:dyDescent="0.3">
      <c r="A459">
        <v>1</v>
      </c>
      <c r="B459">
        <v>40</v>
      </c>
      <c r="C459" s="8">
        <v>5.1949300000000004E-3</v>
      </c>
      <c r="D459" s="9">
        <f t="shared" si="10"/>
        <v>0.50481877734615221</v>
      </c>
      <c r="E459">
        <v>0.49647599389756109</v>
      </c>
      <c r="F459">
        <v>0.38403096782220358</v>
      </c>
      <c r="H459">
        <v>12.035130598245978</v>
      </c>
    </row>
    <row r="460" spans="1:8" x14ac:dyDescent="0.3">
      <c r="A460">
        <v>1</v>
      </c>
      <c r="B460">
        <v>40</v>
      </c>
      <c r="C460" s="8">
        <v>5.1949300000000004E-3</v>
      </c>
      <c r="D460" s="9">
        <f t="shared" si="10"/>
        <v>0.50481877734615221</v>
      </c>
      <c r="E460">
        <v>0.68202762798048799</v>
      </c>
      <c r="F460">
        <v>0.52755769316989565</v>
      </c>
      <c r="H460">
        <v>4.7444077569519569</v>
      </c>
    </row>
    <row r="461" spans="1:8" x14ac:dyDescent="0.3">
      <c r="A461">
        <v>1</v>
      </c>
      <c r="B461">
        <v>40</v>
      </c>
      <c r="C461" s="8">
        <v>5.1949300000000004E-3</v>
      </c>
      <c r="D461" s="9">
        <f t="shared" si="10"/>
        <v>0.50481877734615221</v>
      </c>
      <c r="E461">
        <v>0.96411626087682956</v>
      </c>
      <c r="F461">
        <v>0.74575710670523865</v>
      </c>
      <c r="H461">
        <v>1.5333559452529348</v>
      </c>
    </row>
    <row r="462" spans="1:8" x14ac:dyDescent="0.3">
      <c r="A462">
        <v>1</v>
      </c>
      <c r="B462">
        <v>40</v>
      </c>
      <c r="C462" s="8">
        <v>5.1949300000000004E-3</v>
      </c>
      <c r="D462" s="9">
        <f t="shared" si="10"/>
        <v>0.50481877734615221</v>
      </c>
      <c r="E462">
        <v>1.2527242755112196</v>
      </c>
      <c r="F462">
        <v>0.96899935113117619</v>
      </c>
      <c r="H462">
        <v>-0.6751750438498243</v>
      </c>
    </row>
    <row r="463" spans="1:8" x14ac:dyDescent="0.3">
      <c r="A463">
        <v>1</v>
      </c>
      <c r="B463">
        <v>40</v>
      </c>
      <c r="C463" s="8">
        <v>5.1949300000000004E-3</v>
      </c>
      <c r="D463" s="9">
        <f t="shared" si="10"/>
        <v>0.50481877734615221</v>
      </c>
      <c r="E463">
        <v>1.2846525296642277</v>
      </c>
      <c r="F463">
        <v>0.99369629215947264</v>
      </c>
      <c r="H463">
        <v>-1.4217689518509065</v>
      </c>
    </row>
    <row r="464" spans="1:8" x14ac:dyDescent="0.3">
      <c r="A464">
        <v>1</v>
      </c>
      <c r="B464">
        <v>40</v>
      </c>
      <c r="C464" s="8">
        <v>5.1949300000000004E-3</v>
      </c>
      <c r="D464" s="9">
        <f t="shared" si="10"/>
        <v>0.50481877734615221</v>
      </c>
      <c r="E464">
        <v>1.3008059951428574</v>
      </c>
      <c r="F464">
        <v>1.0061912185158128</v>
      </c>
      <c r="H464">
        <v>-1.9077337416331761</v>
      </c>
    </row>
    <row r="465" spans="1:8" x14ac:dyDescent="0.3">
      <c r="A465">
        <v>1</v>
      </c>
      <c r="B465">
        <v>40</v>
      </c>
      <c r="C465" s="8">
        <v>2.5974700000000002E-3</v>
      </c>
      <c r="D465" s="9">
        <f t="shared" si="10"/>
        <v>0.50481877734615221</v>
      </c>
      <c r="E465">
        <v>0.20059636117073176</v>
      </c>
      <c r="F465">
        <v>0.15516402740291055</v>
      </c>
      <c r="H465">
        <v>49.748237467901191</v>
      </c>
    </row>
    <row r="466" spans="1:8" x14ac:dyDescent="0.3">
      <c r="A466">
        <v>1</v>
      </c>
      <c r="B466">
        <v>40</v>
      </c>
      <c r="C466" s="8">
        <v>2.5974700000000002E-3</v>
      </c>
      <c r="D466" s="9">
        <f t="shared" si="10"/>
        <v>0.50481877734615221</v>
      </c>
      <c r="E466">
        <v>0.49146108486829282</v>
      </c>
      <c r="F466">
        <v>0.38015186713713078</v>
      </c>
      <c r="H466">
        <v>12.043553103026285</v>
      </c>
    </row>
    <row r="467" spans="1:8" x14ac:dyDescent="0.3">
      <c r="A467">
        <v>1</v>
      </c>
      <c r="B467">
        <v>40</v>
      </c>
      <c r="C467" s="8">
        <v>2.5974700000000002E-3</v>
      </c>
      <c r="D467" s="9">
        <f t="shared" si="10"/>
        <v>0.50481877734615221</v>
      </c>
      <c r="E467">
        <v>0.67701271895121962</v>
      </c>
      <c r="F467">
        <v>0.52367859248482296</v>
      </c>
      <c r="H467">
        <v>4.7559940452538028</v>
      </c>
    </row>
    <row r="468" spans="1:8" x14ac:dyDescent="0.3">
      <c r="A468">
        <v>1</v>
      </c>
      <c r="B468">
        <v>40</v>
      </c>
      <c r="C468" s="8">
        <v>2.5974700000000002E-3</v>
      </c>
      <c r="D468" s="9">
        <f t="shared" si="10"/>
        <v>0.50481877734615221</v>
      </c>
      <c r="E468">
        <v>0.86256435303414658</v>
      </c>
      <c r="F468">
        <v>0.66720531783251524</v>
      </c>
      <c r="H468">
        <v>1.8487108775681704</v>
      </c>
    </row>
    <row r="469" spans="1:8" x14ac:dyDescent="0.3">
      <c r="A469">
        <v>1</v>
      </c>
      <c r="B469">
        <v>40</v>
      </c>
      <c r="C469" s="8">
        <v>2.5974700000000002E-3</v>
      </c>
      <c r="D469" s="9">
        <f t="shared" si="10"/>
        <v>0.50481877734615221</v>
      </c>
      <c r="E469">
        <v>0.74120355452585363</v>
      </c>
      <c r="F469">
        <v>0.57333108125375432</v>
      </c>
      <c r="H469">
        <v>1.0587151382128708</v>
      </c>
    </row>
    <row r="470" spans="1:8" x14ac:dyDescent="0.3">
      <c r="A470">
        <v>1</v>
      </c>
      <c r="B470">
        <v>40</v>
      </c>
      <c r="C470" s="8">
        <v>2.5974700000000002E-3</v>
      </c>
      <c r="D470" s="9">
        <f t="shared" si="10"/>
        <v>0.50481877734615221</v>
      </c>
      <c r="E470">
        <v>0.71713199118536597</v>
      </c>
      <c r="F470">
        <v>0.55471139796540514</v>
      </c>
      <c r="H470">
        <v>0.50952255777415367</v>
      </c>
    </row>
    <row r="471" spans="1:8" x14ac:dyDescent="0.3">
      <c r="A471">
        <v>1</v>
      </c>
      <c r="B471">
        <v>40</v>
      </c>
      <c r="C471" s="8">
        <v>2.5974700000000002E-3</v>
      </c>
      <c r="D471" s="9">
        <f t="shared" si="10"/>
        <v>0.50481877734615221</v>
      </c>
      <c r="E471">
        <v>0.85241553713423746</v>
      </c>
      <c r="F471">
        <v>0.65935507000543592</v>
      </c>
      <c r="H471">
        <v>-0.27296816551134173</v>
      </c>
    </row>
    <row r="472" spans="1:8" x14ac:dyDescent="0.3">
      <c r="A472">
        <v>1</v>
      </c>
      <c r="B472">
        <v>40</v>
      </c>
      <c r="C472" s="8">
        <v>1.73164E-3</v>
      </c>
      <c r="D472" s="9">
        <f t="shared" si="10"/>
        <v>0.50481877734615221</v>
      </c>
      <c r="E472">
        <v>0</v>
      </c>
      <c r="F472">
        <v>0</v>
      </c>
      <c r="H472">
        <v>49.81664359809659</v>
      </c>
    </row>
    <row r="473" spans="1:8" x14ac:dyDescent="0.3">
      <c r="A473">
        <v>1</v>
      </c>
      <c r="B473">
        <v>40</v>
      </c>
      <c r="C473" s="8">
        <v>1.73164E-3</v>
      </c>
      <c r="D473" s="9">
        <f t="shared" si="10"/>
        <v>0.50481877734615221</v>
      </c>
      <c r="E473">
        <v>0.3334914504463416</v>
      </c>
      <c r="F473">
        <v>0.25796019555733879</v>
      </c>
      <c r="H473">
        <v>12.26509276873878</v>
      </c>
    </row>
    <row r="474" spans="1:8" x14ac:dyDescent="0.3">
      <c r="A474">
        <v>1</v>
      </c>
      <c r="B474">
        <v>40</v>
      </c>
      <c r="C474" s="8">
        <v>1.73164E-3</v>
      </c>
      <c r="D474" s="9">
        <f t="shared" si="10"/>
        <v>0.50481877734615221</v>
      </c>
      <c r="E474">
        <v>0.35104363204878059</v>
      </c>
      <c r="F474">
        <v>0.27153704795509337</v>
      </c>
      <c r="H474">
        <v>5.3256888482873332</v>
      </c>
    </row>
    <row r="475" spans="1:8" x14ac:dyDescent="0.3">
      <c r="A475">
        <v>1</v>
      </c>
      <c r="B475">
        <v>40</v>
      </c>
      <c r="C475" s="8">
        <v>1.73164E-3</v>
      </c>
      <c r="D475" s="9">
        <f t="shared" si="10"/>
        <v>0.50481877734615221</v>
      </c>
      <c r="E475">
        <v>0.30590945078536591</v>
      </c>
      <c r="F475">
        <v>0.23662514178943855</v>
      </c>
      <c r="H475">
        <v>2.9544532183453698</v>
      </c>
    </row>
    <row r="476" spans="1:8" x14ac:dyDescent="0.3">
      <c r="A476">
        <v>1</v>
      </c>
      <c r="B476">
        <v>40</v>
      </c>
      <c r="C476" s="8">
        <v>1.73164E-3</v>
      </c>
      <c r="D476" s="9">
        <f t="shared" si="10"/>
        <v>0.50481877734615221</v>
      </c>
      <c r="E476">
        <v>0.45836268527512203</v>
      </c>
      <c r="F476">
        <v>0.35454980261565056</v>
      </c>
      <c r="H476">
        <v>1.6355019467944083</v>
      </c>
    </row>
    <row r="477" spans="1:8" x14ac:dyDescent="0.3">
      <c r="A477">
        <v>1</v>
      </c>
      <c r="B477">
        <v>40</v>
      </c>
      <c r="C477" s="8">
        <v>1.73164E-3</v>
      </c>
      <c r="D477" s="9">
        <f t="shared" si="10"/>
        <v>0.50481877734615221</v>
      </c>
      <c r="E477">
        <v>0.50232672109837406</v>
      </c>
      <c r="F477">
        <v>0.3885565852881217</v>
      </c>
      <c r="H477">
        <v>0.95483102646262874</v>
      </c>
    </row>
    <row r="478" spans="1:8" x14ac:dyDescent="0.3">
      <c r="A478">
        <v>1</v>
      </c>
      <c r="B478">
        <v>40</v>
      </c>
      <c r="C478" s="8">
        <v>1.73164E-3</v>
      </c>
      <c r="D478" s="9">
        <f t="shared" si="10"/>
        <v>0.50481877734615221</v>
      </c>
      <c r="E478">
        <v>0.58786452510790388</v>
      </c>
      <c r="F478">
        <v>0.45472124594227514</v>
      </c>
      <c r="H478">
        <v>0.40141471331746365</v>
      </c>
    </row>
    <row r="479" spans="1:8" x14ac:dyDescent="0.3">
      <c r="A479">
        <v>1</v>
      </c>
      <c r="B479">
        <v>60</v>
      </c>
      <c r="C479" s="8">
        <v>1.2535019999999999E-2</v>
      </c>
      <c r="D479" s="9">
        <f t="shared" si="10"/>
        <v>0.41218280569124832</v>
      </c>
      <c r="E479">
        <v>0</v>
      </c>
      <c r="F479">
        <v>0</v>
      </c>
      <c r="H479">
        <v>85.296061623683187</v>
      </c>
    </row>
    <row r="480" spans="1:8" x14ac:dyDescent="0.3">
      <c r="A480">
        <v>1</v>
      </c>
      <c r="B480">
        <v>60</v>
      </c>
      <c r="C480" s="8">
        <v>1.2535019999999999E-2</v>
      </c>
      <c r="D480" s="9">
        <f t="shared" si="10"/>
        <v>0.41218280569124832</v>
      </c>
      <c r="E480">
        <v>0.33466515245106387</v>
      </c>
      <c r="F480">
        <v>0.17257871345717332</v>
      </c>
      <c r="H480">
        <v>21.133614106670137</v>
      </c>
    </row>
    <row r="481" spans="1:8" x14ac:dyDescent="0.3">
      <c r="A481">
        <v>1</v>
      </c>
      <c r="B481">
        <v>60</v>
      </c>
      <c r="C481" s="8">
        <v>1.2535019999999999E-2</v>
      </c>
      <c r="D481" s="9">
        <f t="shared" si="10"/>
        <v>0.41218280569124832</v>
      </c>
      <c r="E481">
        <v>0.5927729170865248</v>
      </c>
      <c r="F481">
        <v>0.30567863625420899</v>
      </c>
      <c r="H481">
        <v>8.8799946373160843</v>
      </c>
    </row>
    <row r="482" spans="1:8" x14ac:dyDescent="0.3">
      <c r="A482">
        <v>1</v>
      </c>
      <c r="B482">
        <v>60</v>
      </c>
      <c r="C482" s="8">
        <v>1.2535019999999999E-2</v>
      </c>
      <c r="D482" s="9">
        <f t="shared" si="10"/>
        <v>0.41218280569124832</v>
      </c>
      <c r="E482">
        <v>0.75299659301489363</v>
      </c>
      <c r="F482">
        <v>0.38830210527864001</v>
      </c>
      <c r="H482">
        <v>4.3670972740237364</v>
      </c>
    </row>
    <row r="483" spans="1:8" x14ac:dyDescent="0.3">
      <c r="A483">
        <v>1</v>
      </c>
      <c r="B483">
        <v>60</v>
      </c>
      <c r="C483" s="8">
        <v>1.2535019999999999E-2</v>
      </c>
      <c r="D483" s="9">
        <f t="shared" si="10"/>
        <v>0.41218280569124832</v>
      </c>
      <c r="E483">
        <v>0.89375281889872338</v>
      </c>
      <c r="F483">
        <v>0.46088668182092168</v>
      </c>
      <c r="H483">
        <v>2.053892492755323</v>
      </c>
    </row>
    <row r="484" spans="1:8" x14ac:dyDescent="0.3">
      <c r="A484">
        <v>1</v>
      </c>
      <c r="B484">
        <v>60</v>
      </c>
      <c r="C484" s="8">
        <v>1.2535019999999999E-2</v>
      </c>
      <c r="D484" s="9">
        <f t="shared" si="10"/>
        <v>0.41218280569124832</v>
      </c>
      <c r="E484">
        <v>1.048836213073759</v>
      </c>
      <c r="F484">
        <v>0.54085943204388631</v>
      </c>
      <c r="H484">
        <v>0.49923746194897489</v>
      </c>
    </row>
    <row r="485" spans="1:8" x14ac:dyDescent="0.3">
      <c r="A485">
        <v>1</v>
      </c>
      <c r="B485">
        <v>60</v>
      </c>
      <c r="C485" s="8">
        <v>1.2535019999999999E-2</v>
      </c>
      <c r="D485" s="9">
        <f t="shared" si="10"/>
        <v>0.41218280569124832</v>
      </c>
      <c r="E485">
        <v>0.95488837615975997</v>
      </c>
      <c r="F485">
        <v>0.49241280798411646</v>
      </c>
      <c r="H485">
        <v>0.14908755867476359</v>
      </c>
    </row>
    <row r="486" spans="1:8" x14ac:dyDescent="0.3">
      <c r="A486">
        <v>1</v>
      </c>
      <c r="B486">
        <v>60</v>
      </c>
      <c r="C486" s="8">
        <v>6.2675099999999996E-3</v>
      </c>
      <c r="D486" s="9">
        <f t="shared" si="10"/>
        <v>0.41218280569124832</v>
      </c>
      <c r="E486">
        <v>0.26248247251063833</v>
      </c>
      <c r="F486">
        <v>0.13535585369190067</v>
      </c>
      <c r="H486">
        <v>85.178936641445162</v>
      </c>
    </row>
    <row r="487" spans="1:8" x14ac:dyDescent="0.3">
      <c r="A487">
        <v>1</v>
      </c>
      <c r="B487">
        <v>60</v>
      </c>
      <c r="C487" s="8">
        <v>6.2675099999999996E-3</v>
      </c>
      <c r="D487" s="9">
        <f t="shared" si="10"/>
        <v>0.41218280569124832</v>
      </c>
      <c r="E487">
        <v>0.35763236879574473</v>
      </c>
      <c r="F487">
        <v>0.18442235065521465</v>
      </c>
      <c r="H487">
        <v>21.106583856863022</v>
      </c>
    </row>
    <row r="488" spans="1:8" x14ac:dyDescent="0.3">
      <c r="A488">
        <v>1</v>
      </c>
      <c r="B488">
        <v>60</v>
      </c>
      <c r="C488" s="8">
        <v>6.2675099999999996E-3</v>
      </c>
      <c r="D488" s="9">
        <f t="shared" si="10"/>
        <v>0.41218280569124832</v>
      </c>
      <c r="E488">
        <v>0.62777058008794329</v>
      </c>
      <c r="F488">
        <v>0.32372608341312908</v>
      </c>
      <c r="H488">
        <v>8.8073771483285217</v>
      </c>
    </row>
    <row r="489" spans="1:8" x14ac:dyDescent="0.3">
      <c r="A489">
        <v>1</v>
      </c>
      <c r="B489">
        <v>60</v>
      </c>
      <c r="C489" s="8">
        <v>6.2675099999999996E-3</v>
      </c>
      <c r="D489" s="9">
        <f t="shared" si="10"/>
        <v>0.41218280569124832</v>
      </c>
      <c r="E489">
        <v>0.69721906760638297</v>
      </c>
      <c r="F489">
        <v>0.35953898636911114</v>
      </c>
      <c r="H489">
        <v>4.5046093234825451</v>
      </c>
    </row>
    <row r="490" spans="1:8" x14ac:dyDescent="0.3">
      <c r="A490">
        <v>1</v>
      </c>
      <c r="B490">
        <v>60</v>
      </c>
      <c r="C490" s="8">
        <v>6.2675099999999996E-3</v>
      </c>
      <c r="D490" s="9">
        <f t="shared" si="10"/>
        <v>0.41218280569124832</v>
      </c>
      <c r="E490">
        <v>0.68376684089021278</v>
      </c>
      <c r="F490">
        <v>0.35260199886740129</v>
      </c>
      <c r="H490">
        <v>2.6170294073556586</v>
      </c>
    </row>
    <row r="491" spans="1:8" x14ac:dyDescent="0.3">
      <c r="A491">
        <v>1</v>
      </c>
      <c r="B491">
        <v>60</v>
      </c>
      <c r="C491" s="8">
        <v>6.2675099999999996E-3</v>
      </c>
      <c r="D491" s="9">
        <f t="shared" si="10"/>
        <v>0.41218280569124832</v>
      </c>
      <c r="E491">
        <v>0.73713827696737599</v>
      </c>
      <c r="F491">
        <v>0.38012435578475434</v>
      </c>
      <c r="H491">
        <v>1.4456012181725761</v>
      </c>
    </row>
    <row r="492" spans="1:8" x14ac:dyDescent="0.3">
      <c r="A492">
        <v>1</v>
      </c>
      <c r="B492">
        <v>60</v>
      </c>
      <c r="C492" s="8">
        <v>6.2675099999999996E-3</v>
      </c>
      <c r="D492" s="9">
        <f t="shared" si="10"/>
        <v>0.41218280569124832</v>
      </c>
      <c r="E492">
        <v>0.71315620721921935</v>
      </c>
      <c r="F492">
        <v>0.36775738326650792</v>
      </c>
      <c r="H492">
        <v>0.83456161822528951</v>
      </c>
    </row>
    <row r="493" spans="1:8" x14ac:dyDescent="0.3">
      <c r="A493">
        <v>1</v>
      </c>
      <c r="B493">
        <v>60</v>
      </c>
      <c r="C493" s="8">
        <v>3.1337600000000002E-3</v>
      </c>
      <c r="D493" s="9">
        <f t="shared" si="10"/>
        <v>0.41218280569124832</v>
      </c>
      <c r="E493">
        <v>0</v>
      </c>
      <c r="F493">
        <v>0</v>
      </c>
      <c r="H493">
        <v>85.296061623683187</v>
      </c>
    </row>
    <row r="494" spans="1:8" x14ac:dyDescent="0.3">
      <c r="A494">
        <v>1</v>
      </c>
      <c r="B494">
        <v>60</v>
      </c>
      <c r="C494" s="8">
        <v>3.1337600000000002E-3</v>
      </c>
      <c r="D494" s="9">
        <f t="shared" si="10"/>
        <v>0.41218280569124832</v>
      </c>
      <c r="E494">
        <v>0</v>
      </c>
      <c r="F494">
        <v>0</v>
      </c>
      <c r="H494">
        <v>21.324015405920797</v>
      </c>
    </row>
    <row r="495" spans="1:8" x14ac:dyDescent="0.3">
      <c r="A495">
        <v>1</v>
      </c>
      <c r="B495">
        <v>60</v>
      </c>
      <c r="C495" s="8">
        <v>3.1337600000000002E-3</v>
      </c>
      <c r="D495" s="9">
        <f t="shared" si="10"/>
        <v>0.41218280569124832</v>
      </c>
      <c r="E495">
        <v>8.7494157503546111E-2</v>
      </c>
      <c r="F495">
        <v>4.5118617897300227E-2</v>
      </c>
      <c r="H495">
        <v>9.4643262934939063</v>
      </c>
    </row>
    <row r="496" spans="1:8" x14ac:dyDescent="0.3">
      <c r="A496">
        <v>1</v>
      </c>
      <c r="B496">
        <v>60</v>
      </c>
      <c r="C496" s="8">
        <v>3.1337600000000002E-3</v>
      </c>
      <c r="D496" s="9">
        <f t="shared" si="10"/>
        <v>0.41218280569124832</v>
      </c>
      <c r="E496">
        <v>0.17225412258510639</v>
      </c>
      <c r="F496">
        <v>8.8827278985309802E-2</v>
      </c>
      <c r="H496">
        <v>5.2805623308093379</v>
      </c>
    </row>
    <row r="497" spans="1:8" x14ac:dyDescent="0.3">
      <c r="A497">
        <v>1</v>
      </c>
      <c r="B497">
        <v>60</v>
      </c>
      <c r="C497" s="8">
        <v>3.1337600000000002E-3</v>
      </c>
      <c r="D497" s="9">
        <f t="shared" si="10"/>
        <v>0.41218280569124832</v>
      </c>
      <c r="E497">
        <v>0.18505014312000001</v>
      </c>
      <c r="F497">
        <v>9.542587685278997E-2</v>
      </c>
      <c r="H497">
        <v>3.3536284206504816</v>
      </c>
    </row>
    <row r="498" spans="1:8" x14ac:dyDescent="0.3">
      <c r="A498">
        <v>1</v>
      </c>
      <c r="B498">
        <v>60</v>
      </c>
      <c r="C498" s="8">
        <v>3.1337600000000002E-3</v>
      </c>
      <c r="D498" s="9">
        <f t="shared" si="10"/>
        <v>0.41218280569124832</v>
      </c>
      <c r="E498">
        <v>0.22529745557163122</v>
      </c>
      <c r="F498">
        <v>0.11618044108554806</v>
      </c>
      <c r="H498">
        <v>2.2830448411743234</v>
      </c>
    </row>
    <row r="499" spans="1:8" x14ac:dyDescent="0.3">
      <c r="A499">
        <v>1</v>
      </c>
      <c r="B499">
        <v>60</v>
      </c>
      <c r="C499" s="8">
        <v>3.1337600000000002E-3</v>
      </c>
      <c r="D499" s="9">
        <f t="shared" si="10"/>
        <v>0.41218280569124832</v>
      </c>
      <c r="E499">
        <v>0.20468509324084089</v>
      </c>
      <c r="F499">
        <v>0.10555114506740031</v>
      </c>
      <c r="H499">
        <v>1.6279444586757834</v>
      </c>
    </row>
    <row r="500" spans="1:8" x14ac:dyDescent="0.3">
      <c r="A500">
        <v>1</v>
      </c>
      <c r="B500">
        <v>60</v>
      </c>
      <c r="C500" s="8">
        <v>2.08917E-3</v>
      </c>
      <c r="D500" s="9">
        <f t="shared" si="10"/>
        <v>0.41218280569124832</v>
      </c>
      <c r="E500">
        <v>0</v>
      </c>
      <c r="F500">
        <v>0</v>
      </c>
      <c r="H500">
        <v>85.296061623683187</v>
      </c>
    </row>
    <row r="501" spans="1:8" x14ac:dyDescent="0.3">
      <c r="A501">
        <v>1</v>
      </c>
      <c r="B501">
        <v>60</v>
      </c>
      <c r="C501" s="8">
        <v>2.08917E-3</v>
      </c>
      <c r="D501" s="9">
        <f t="shared" si="10"/>
        <v>0.41218280569124832</v>
      </c>
      <c r="E501">
        <v>0</v>
      </c>
      <c r="F501">
        <v>0</v>
      </c>
      <c r="H501">
        <v>21.324015405920797</v>
      </c>
    </row>
    <row r="502" spans="1:8" x14ac:dyDescent="0.3">
      <c r="A502">
        <v>1</v>
      </c>
      <c r="B502">
        <v>60</v>
      </c>
      <c r="C502" s="8">
        <v>2.08917E-3</v>
      </c>
      <c r="D502" s="9">
        <f t="shared" si="10"/>
        <v>0.41218280569124832</v>
      </c>
      <c r="E502">
        <v>0</v>
      </c>
      <c r="F502">
        <v>0</v>
      </c>
      <c r="H502">
        <v>9.4773401804092412</v>
      </c>
    </row>
    <row r="503" spans="1:8" x14ac:dyDescent="0.3">
      <c r="A503">
        <v>1</v>
      </c>
      <c r="B503">
        <v>60</v>
      </c>
      <c r="C503" s="8">
        <v>2.08917E-3</v>
      </c>
      <c r="D503" s="9">
        <f t="shared" si="10"/>
        <v>0.41218280569124832</v>
      </c>
      <c r="E503">
        <v>0</v>
      </c>
      <c r="F503">
        <v>0</v>
      </c>
      <c r="H503">
        <v>5.3310038514801992</v>
      </c>
    </row>
    <row r="504" spans="1:8" x14ac:dyDescent="0.3">
      <c r="A504">
        <v>1</v>
      </c>
      <c r="B504">
        <v>60</v>
      </c>
      <c r="C504" s="8">
        <v>2.08917E-3</v>
      </c>
      <c r="D504" s="9">
        <f t="shared" si="10"/>
        <v>0.41218280569124832</v>
      </c>
      <c r="E504">
        <v>0</v>
      </c>
      <c r="F504">
        <v>0</v>
      </c>
      <c r="H504">
        <v>3.4118424649473273</v>
      </c>
    </row>
    <row r="505" spans="1:8" x14ac:dyDescent="0.3">
      <c r="A505">
        <v>1</v>
      </c>
      <c r="B505">
        <v>60</v>
      </c>
      <c r="C505" s="8">
        <v>2.08917E-3</v>
      </c>
      <c r="D505" s="9">
        <f t="shared" si="10"/>
        <v>0.41218280569124832</v>
      </c>
      <c r="E505">
        <v>0</v>
      </c>
      <c r="F505">
        <v>0</v>
      </c>
      <c r="H505">
        <v>2.3693350451023103</v>
      </c>
    </row>
    <row r="506" spans="1:8" x14ac:dyDescent="0.3">
      <c r="A506">
        <v>1</v>
      </c>
      <c r="B506">
        <v>60</v>
      </c>
      <c r="C506" s="8">
        <v>2.08917E-3</v>
      </c>
      <c r="D506" s="9">
        <f t="shared" si="10"/>
        <v>0.41218280569124832</v>
      </c>
      <c r="E506">
        <v>0</v>
      </c>
      <c r="F506">
        <v>0</v>
      </c>
      <c r="H506">
        <v>1.6991676372473032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70837-65F9-4068-9DA7-322CD722268D}">
  <dimension ref="A1:F505"/>
  <sheetViews>
    <sheetView tabSelected="1" topLeftCell="A453" workbookViewId="0">
      <selection activeCell="F2" sqref="F2"/>
    </sheetView>
  </sheetViews>
  <sheetFormatPr defaultColWidth="13.44140625" defaultRowHeight="14.4" x14ac:dyDescent="0.3"/>
  <sheetData>
    <row r="1" spans="1:6" x14ac:dyDescent="0.3">
      <c r="A1" t="s">
        <v>31</v>
      </c>
      <c r="B1" t="s">
        <v>32</v>
      </c>
      <c r="C1" s="3" t="s">
        <v>5</v>
      </c>
      <c r="D1" s="1" t="s">
        <v>6</v>
      </c>
      <c r="E1" t="s">
        <v>23</v>
      </c>
      <c r="F1" t="s">
        <v>34</v>
      </c>
    </row>
    <row r="2" spans="1:6" x14ac:dyDescent="0.3">
      <c r="A2">
        <v>0.6</v>
      </c>
      <c r="B2">
        <v>10</v>
      </c>
      <c r="C2" s="8">
        <v>4.0000000000000001E-3</v>
      </c>
      <c r="D2" s="9">
        <f t="shared" ref="D2:D65" si="0">(A2)/((9.81*B2*10^-2))^(1/2)</f>
        <v>0.60578253281538263</v>
      </c>
      <c r="E2">
        <v>0</v>
      </c>
      <c r="F2">
        <v>19.936623459420002</v>
      </c>
    </row>
    <row r="3" spans="1:6" x14ac:dyDescent="0.3">
      <c r="A3">
        <v>0.6</v>
      </c>
      <c r="B3">
        <v>10</v>
      </c>
      <c r="C3" s="8">
        <v>4.0000000000000001E-3</v>
      </c>
      <c r="D3" s="9">
        <f t="shared" si="0"/>
        <v>0.60578253281538263</v>
      </c>
      <c r="E3">
        <v>1.0834813100993861</v>
      </c>
      <c r="F3">
        <v>4.7808709375443756</v>
      </c>
    </row>
    <row r="4" spans="1:6" x14ac:dyDescent="0.3">
      <c r="A4">
        <v>0.6</v>
      </c>
      <c r="B4">
        <v>10</v>
      </c>
      <c r="C4" s="8">
        <v>4.0000000000000001E-3</v>
      </c>
      <c r="D4" s="9">
        <f t="shared" si="0"/>
        <v>0.60578253281538263</v>
      </c>
      <c r="E4">
        <v>2.2597377782500958</v>
      </c>
      <c r="F4">
        <v>1.3309235547975002</v>
      </c>
    </row>
    <row r="5" spans="1:6" x14ac:dyDescent="0.3">
      <c r="A5">
        <v>0.6</v>
      </c>
      <c r="B5">
        <v>10</v>
      </c>
      <c r="C5" s="8">
        <v>4.0000000000000001E-3</v>
      </c>
      <c r="D5" s="9">
        <f t="shared" si="0"/>
        <v>0.60578253281538263</v>
      </c>
      <c r="E5">
        <v>2.606816271317101</v>
      </c>
      <c r="F5">
        <v>6.9291757974023468E-2</v>
      </c>
    </row>
    <row r="6" spans="1:6" x14ac:dyDescent="0.3">
      <c r="A6">
        <v>0.6</v>
      </c>
      <c r="B6">
        <v>10</v>
      </c>
      <c r="C6" s="8">
        <v>4.0000000000000001E-3</v>
      </c>
      <c r="D6" s="9">
        <f t="shared" si="0"/>
        <v>0.60578253281538263</v>
      </c>
      <c r="E6">
        <v>2.9323576741221915</v>
      </c>
      <c r="F6">
        <v>-0.69154026313882477</v>
      </c>
    </row>
    <row r="7" spans="1:6" x14ac:dyDescent="0.3">
      <c r="A7">
        <v>0.6</v>
      </c>
      <c r="B7">
        <v>10</v>
      </c>
      <c r="C7" s="8">
        <v>4.0000000000000001E-3</v>
      </c>
      <c r="D7" s="9">
        <f t="shared" si="0"/>
        <v>0.60578253281538263</v>
      </c>
      <c r="E7">
        <v>3.0764905089519266</v>
      </c>
      <c r="F7">
        <v>-1.0851842834451564</v>
      </c>
    </row>
    <row r="8" spans="1:6" x14ac:dyDescent="0.3">
      <c r="A8">
        <v>0.6</v>
      </c>
      <c r="B8">
        <v>10</v>
      </c>
      <c r="C8" s="8">
        <v>4.0000000000000001E-3</v>
      </c>
      <c r="D8" s="9">
        <f t="shared" si="0"/>
        <v>0.60578253281538263</v>
      </c>
      <c r="E8">
        <v>3.1987635198994382</v>
      </c>
      <c r="F8">
        <v>-1.3892638529682848</v>
      </c>
    </row>
    <row r="9" spans="1:6" x14ac:dyDescent="0.3">
      <c r="A9">
        <v>0.6</v>
      </c>
      <c r="B9">
        <v>10</v>
      </c>
      <c r="C9" s="8">
        <v>2E-3</v>
      </c>
      <c r="D9" s="9">
        <f t="shared" si="0"/>
        <v>0.60578253281538263</v>
      </c>
      <c r="E9">
        <v>0.19438604544086843</v>
      </c>
      <c r="F9">
        <v>19.903498333649999</v>
      </c>
    </row>
    <row r="10" spans="1:6" x14ac:dyDescent="0.3">
      <c r="A10">
        <v>0.6</v>
      </c>
      <c r="B10">
        <v>10</v>
      </c>
      <c r="C10" s="8">
        <v>2E-3</v>
      </c>
      <c r="D10" s="9">
        <f t="shared" si="0"/>
        <v>0.60578253281538263</v>
      </c>
      <c r="E10">
        <v>1.2773151224566153</v>
      </c>
      <c r="F10">
        <v>4.7016298534935945</v>
      </c>
    </row>
    <row r="11" spans="1:6" x14ac:dyDescent="0.3">
      <c r="A11">
        <v>0.6</v>
      </c>
      <c r="B11">
        <v>10</v>
      </c>
      <c r="C11" s="8">
        <v>2E-3</v>
      </c>
      <c r="D11" s="9">
        <f t="shared" si="0"/>
        <v>0.60578253281538263</v>
      </c>
      <c r="E11">
        <v>2.263051176751929</v>
      </c>
      <c r="F11">
        <v>1.3283285251443753</v>
      </c>
    </row>
    <row r="12" spans="1:6" x14ac:dyDescent="0.3">
      <c r="A12">
        <v>0.6</v>
      </c>
      <c r="B12">
        <v>10</v>
      </c>
      <c r="C12" s="8">
        <v>2E-3</v>
      </c>
      <c r="D12" s="9">
        <f t="shared" si="0"/>
        <v>0.60578253281538263</v>
      </c>
      <c r="E12">
        <v>2.8031351325507052</v>
      </c>
      <c r="F12">
        <v>-0.11462348302874979</v>
      </c>
    </row>
    <row r="13" spans="1:6" x14ac:dyDescent="0.3">
      <c r="A13">
        <v>0.6</v>
      </c>
      <c r="B13">
        <v>10</v>
      </c>
      <c r="C13" s="8">
        <v>2E-3</v>
      </c>
      <c r="D13" s="9">
        <f t="shared" si="0"/>
        <v>0.60578253281538263</v>
      </c>
      <c r="E13">
        <v>3.3697262763641453</v>
      </c>
      <c r="F13">
        <v>-1.1688432117338243</v>
      </c>
    </row>
    <row r="14" spans="1:6" x14ac:dyDescent="0.3">
      <c r="A14">
        <v>0.6</v>
      </c>
      <c r="B14">
        <v>10</v>
      </c>
      <c r="C14" s="8">
        <v>2E-3</v>
      </c>
      <c r="D14" s="9">
        <f t="shared" si="0"/>
        <v>0.60578253281538263</v>
      </c>
      <c r="E14">
        <v>3.6430816527653662</v>
      </c>
      <c r="F14">
        <v>-1.7444701027476561</v>
      </c>
    </row>
    <row r="15" spans="1:6" x14ac:dyDescent="0.3">
      <c r="A15">
        <v>0.6</v>
      </c>
      <c r="B15">
        <v>10</v>
      </c>
      <c r="C15" s="8">
        <v>2E-3</v>
      </c>
      <c r="D15" s="9">
        <f t="shared" si="0"/>
        <v>0.60578253281538263</v>
      </c>
      <c r="E15">
        <v>3.7810774973264891</v>
      </c>
      <c r="F15">
        <v>-2.0897554239697542</v>
      </c>
    </row>
    <row r="16" spans="1:6" x14ac:dyDescent="0.3">
      <c r="A16">
        <v>0.6</v>
      </c>
      <c r="B16">
        <v>10</v>
      </c>
      <c r="C16" s="8">
        <v>1E-3</v>
      </c>
      <c r="D16" s="9">
        <f t="shared" si="0"/>
        <v>0.60578253281538263</v>
      </c>
      <c r="E16">
        <v>0</v>
      </c>
      <c r="F16">
        <v>19.936623459420002</v>
      </c>
    </row>
    <row r="17" spans="1:6" x14ac:dyDescent="0.3">
      <c r="A17">
        <v>0.6</v>
      </c>
      <c r="B17">
        <v>10</v>
      </c>
      <c r="C17" s="8">
        <v>1E-3</v>
      </c>
      <c r="D17" s="9">
        <f t="shared" si="0"/>
        <v>0.60578253281538263</v>
      </c>
      <c r="E17">
        <v>1.2524646336928682</v>
      </c>
      <c r="F17">
        <v>4.7125161454725006</v>
      </c>
    </row>
    <row r="18" spans="1:6" x14ac:dyDescent="0.3">
      <c r="A18">
        <v>0.6</v>
      </c>
      <c r="B18">
        <v>10</v>
      </c>
      <c r="C18" s="8">
        <v>1E-3</v>
      </c>
      <c r="D18" s="9">
        <f t="shared" si="0"/>
        <v>0.60578253281538263</v>
      </c>
      <c r="E18">
        <v>2.1735894172024377</v>
      </c>
      <c r="F18">
        <v>1.3970597391000006</v>
      </c>
    </row>
    <row r="19" spans="1:6" x14ac:dyDescent="0.3">
      <c r="A19">
        <v>0.6</v>
      </c>
      <c r="B19">
        <v>10</v>
      </c>
      <c r="C19" s="8">
        <v>1E-3</v>
      </c>
      <c r="D19" s="9">
        <f t="shared" si="0"/>
        <v>0.60578253281538263</v>
      </c>
      <c r="E19">
        <v>2.8801716477183219</v>
      </c>
      <c r="F19">
        <v>-0.19043934181347669</v>
      </c>
    </row>
    <row r="20" spans="1:6" x14ac:dyDescent="0.3">
      <c r="A20">
        <v>0.6</v>
      </c>
      <c r="B20">
        <v>10</v>
      </c>
      <c r="C20" s="8">
        <v>1E-3</v>
      </c>
      <c r="D20" s="9">
        <f t="shared" si="0"/>
        <v>0.60578253281538263</v>
      </c>
      <c r="E20">
        <v>3.2405037347926595</v>
      </c>
      <c r="F20">
        <v>-1.0209265215056997</v>
      </c>
    </row>
    <row r="21" spans="1:6" x14ac:dyDescent="0.3">
      <c r="A21">
        <v>0.6</v>
      </c>
      <c r="B21">
        <v>10</v>
      </c>
      <c r="C21" s="8">
        <v>1E-3</v>
      </c>
      <c r="D21" s="9">
        <f t="shared" si="0"/>
        <v>0.60578253281538263</v>
      </c>
      <c r="E21">
        <v>3.687812532540113</v>
      </c>
      <c r="F21">
        <v>-1.8012541994156259</v>
      </c>
    </row>
    <row r="22" spans="1:6" x14ac:dyDescent="0.3">
      <c r="A22">
        <v>0.6</v>
      </c>
      <c r="B22">
        <v>10</v>
      </c>
      <c r="C22" s="8">
        <v>1E-3</v>
      </c>
      <c r="D22" s="9">
        <f t="shared" si="0"/>
        <v>0.60578253281538263</v>
      </c>
      <c r="E22">
        <v>4.0378897235962219</v>
      </c>
      <c r="F22">
        <v>-2.4340957919532094</v>
      </c>
    </row>
    <row r="23" spans="1:6" x14ac:dyDescent="0.3">
      <c r="A23">
        <v>0.6</v>
      </c>
      <c r="B23">
        <v>10</v>
      </c>
      <c r="C23" s="8">
        <v>6.6666999999999996E-4</v>
      </c>
      <c r="D23" s="9">
        <f t="shared" si="0"/>
        <v>0.60578253281538263</v>
      </c>
      <c r="E23">
        <v>0</v>
      </c>
      <c r="F23">
        <v>19.936623459420002</v>
      </c>
    </row>
    <row r="24" spans="1:6" x14ac:dyDescent="0.3">
      <c r="A24">
        <v>0.6</v>
      </c>
      <c r="B24">
        <v>10</v>
      </c>
      <c r="C24" s="8">
        <v>6.6666999999999996E-4</v>
      </c>
      <c r="D24" s="9">
        <f t="shared" si="0"/>
        <v>0.60578253281538263</v>
      </c>
      <c r="E24">
        <v>1.1828832651543755</v>
      </c>
      <c r="F24">
        <v>4.7418599423193752</v>
      </c>
    </row>
    <row r="25" spans="1:6" x14ac:dyDescent="0.3">
      <c r="A25">
        <v>0.6</v>
      </c>
      <c r="B25">
        <v>10</v>
      </c>
      <c r="C25" s="8">
        <v>6.6666999999999996E-4</v>
      </c>
      <c r="D25" s="9">
        <f t="shared" si="0"/>
        <v>0.60578253281538263</v>
      </c>
      <c r="E25">
        <v>2.276304770759261</v>
      </c>
      <c r="F25">
        <v>1.3179103841193753</v>
      </c>
    </row>
    <row r="26" spans="1:6" x14ac:dyDescent="0.3">
      <c r="A26">
        <v>0.6</v>
      </c>
      <c r="B26">
        <v>10</v>
      </c>
      <c r="C26" s="8">
        <v>6.6666999999999996E-4</v>
      </c>
      <c r="D26" s="9">
        <f t="shared" si="0"/>
        <v>0.60578253281538263</v>
      </c>
      <c r="E26">
        <v>2.723613568506714</v>
      </c>
      <c r="F26">
        <v>-3.8517822168750035E-2</v>
      </c>
    </row>
    <row r="27" spans="1:6" x14ac:dyDescent="0.3">
      <c r="A27">
        <v>0.6</v>
      </c>
      <c r="B27">
        <v>10</v>
      </c>
      <c r="C27" s="8">
        <v>6.6666999999999996E-4</v>
      </c>
      <c r="D27" s="9">
        <f t="shared" si="0"/>
        <v>0.60578253281538263</v>
      </c>
      <c r="E27">
        <v>3.3955707846784429</v>
      </c>
      <c r="F27">
        <v>-1.1991205348523992</v>
      </c>
    </row>
    <row r="28" spans="1:6" x14ac:dyDescent="0.3">
      <c r="A28">
        <v>0.6</v>
      </c>
      <c r="B28">
        <v>10</v>
      </c>
      <c r="C28" s="8">
        <v>6.6666999999999996E-4</v>
      </c>
      <c r="D28" s="9">
        <f t="shared" si="0"/>
        <v>0.60578253281538263</v>
      </c>
      <c r="E28">
        <v>3.4376509456517219</v>
      </c>
      <c r="F28">
        <v>-1.4925830266589064</v>
      </c>
    </row>
    <row r="29" spans="1:6" x14ac:dyDescent="0.3">
      <c r="A29">
        <v>0.6</v>
      </c>
      <c r="B29">
        <v>10</v>
      </c>
      <c r="C29" s="8">
        <v>6.6666999999999996E-4</v>
      </c>
      <c r="D29" s="9">
        <f t="shared" si="0"/>
        <v>0.60578253281538263</v>
      </c>
      <c r="E29">
        <v>3.5364524376594364</v>
      </c>
      <c r="F29">
        <v>-1.776401800189257</v>
      </c>
    </row>
    <row r="30" spans="1:6" x14ac:dyDescent="0.3">
      <c r="A30">
        <v>0.6</v>
      </c>
      <c r="B30">
        <v>15</v>
      </c>
      <c r="C30" s="8">
        <v>5.7099999999999998E-3</v>
      </c>
      <c r="D30" s="9">
        <f t="shared" si="0"/>
        <v>0.49461936682949792</v>
      </c>
      <c r="E30">
        <v>0</v>
      </c>
      <c r="F30">
        <v>31.810235769046876</v>
      </c>
    </row>
    <row r="31" spans="1:6" x14ac:dyDescent="0.3">
      <c r="A31">
        <v>0.6</v>
      </c>
      <c r="B31">
        <v>15</v>
      </c>
      <c r="C31" s="8">
        <v>5.7099999999999998E-3</v>
      </c>
      <c r="D31" s="9">
        <f t="shared" si="0"/>
        <v>0.49461936682949792</v>
      </c>
      <c r="E31">
        <v>0.23251919311108668</v>
      </c>
      <c r="F31">
        <v>7.8459171343496692</v>
      </c>
    </row>
    <row r="32" spans="1:6" x14ac:dyDescent="0.3">
      <c r="A32">
        <v>0.6</v>
      </c>
      <c r="B32">
        <v>15</v>
      </c>
      <c r="C32" s="8">
        <v>5.7099999999999998E-3</v>
      </c>
      <c r="D32" s="9">
        <f t="shared" si="0"/>
        <v>0.49461936682949792</v>
      </c>
      <c r="E32">
        <v>0.57199721505327306</v>
      </c>
      <c r="F32">
        <v>3.4069933936450973</v>
      </c>
    </row>
    <row r="33" spans="1:6" x14ac:dyDescent="0.3">
      <c r="A33">
        <v>0.6</v>
      </c>
      <c r="B33">
        <v>15</v>
      </c>
      <c r="C33" s="8">
        <v>5.7099999999999998E-3</v>
      </c>
      <c r="D33" s="9">
        <f t="shared" si="0"/>
        <v>0.49461936682949792</v>
      </c>
      <c r="E33">
        <v>0.71150873091992517</v>
      </c>
      <c r="F33">
        <v>1.7908950476513024</v>
      </c>
    </row>
    <row r="34" spans="1:6" x14ac:dyDescent="0.3">
      <c r="A34">
        <v>0.6</v>
      </c>
      <c r="B34">
        <v>15</v>
      </c>
      <c r="C34" s="8">
        <v>5.7099999999999998E-3</v>
      </c>
      <c r="D34" s="9">
        <f t="shared" si="0"/>
        <v>0.49461936682949792</v>
      </c>
      <c r="E34">
        <v>0.82535012786711315</v>
      </c>
      <c r="F34">
        <v>1.0069969787046251</v>
      </c>
    </row>
    <row r="35" spans="1:6" x14ac:dyDescent="0.3">
      <c r="A35">
        <v>0.6</v>
      </c>
      <c r="B35">
        <v>15</v>
      </c>
      <c r="C35" s="8">
        <v>5.7099999999999998E-3</v>
      </c>
      <c r="D35" s="9">
        <f t="shared" si="0"/>
        <v>0.49461936682949792</v>
      </c>
      <c r="E35">
        <v>0.96262945947989875</v>
      </c>
      <c r="F35">
        <v>0.52257115538426602</v>
      </c>
    </row>
    <row r="36" spans="1:6" x14ac:dyDescent="0.3">
      <c r="A36">
        <v>0.6</v>
      </c>
      <c r="B36">
        <v>15</v>
      </c>
      <c r="C36" s="8">
        <v>5.7099999999999998E-3</v>
      </c>
      <c r="D36" s="9">
        <f t="shared" si="0"/>
        <v>0.49461936682949792</v>
      </c>
      <c r="E36">
        <v>1.0702526288627445</v>
      </c>
      <c r="F36">
        <v>0.20289817751557018</v>
      </c>
    </row>
    <row r="37" spans="1:6" x14ac:dyDescent="0.3">
      <c r="A37">
        <v>0.6</v>
      </c>
      <c r="B37">
        <v>15</v>
      </c>
      <c r="C37" s="8">
        <v>2.8549999999999999E-3</v>
      </c>
      <c r="D37" s="9">
        <f t="shared" si="0"/>
        <v>0.49461936682949792</v>
      </c>
      <c r="E37">
        <v>0</v>
      </c>
      <c r="F37">
        <v>31.810235769046876</v>
      </c>
    </row>
    <row r="38" spans="1:6" x14ac:dyDescent="0.3">
      <c r="A38">
        <v>0.6</v>
      </c>
      <c r="B38">
        <v>15</v>
      </c>
      <c r="C38" s="8">
        <v>2.8549999999999999E-3</v>
      </c>
      <c r="D38" s="9">
        <f t="shared" si="0"/>
        <v>0.49461936682949792</v>
      </c>
      <c r="E38">
        <v>0.79940098591591591</v>
      </c>
      <c r="F38">
        <v>7.7035733554175909</v>
      </c>
    </row>
    <row r="39" spans="1:6" x14ac:dyDescent="0.3">
      <c r="A39">
        <v>0.6</v>
      </c>
      <c r="B39">
        <v>15</v>
      </c>
      <c r="C39" s="8">
        <v>2.8549999999999999E-3</v>
      </c>
      <c r="D39" s="9">
        <f t="shared" si="0"/>
        <v>0.49461936682949792</v>
      </c>
      <c r="E39">
        <v>1.0295949870958918</v>
      </c>
      <c r="F39">
        <v>3.1214443595584491</v>
      </c>
    </row>
    <row r="40" spans="1:6" x14ac:dyDescent="0.3">
      <c r="A40">
        <v>0.6</v>
      </c>
      <c r="B40">
        <v>15</v>
      </c>
      <c r="C40" s="8">
        <v>2.8549999999999999E-3</v>
      </c>
      <c r="D40" s="9">
        <f t="shared" si="0"/>
        <v>0.49461936682949792</v>
      </c>
      <c r="E40">
        <v>1.52346575326384</v>
      </c>
      <c r="F40">
        <v>1.0838445047740723</v>
      </c>
    </row>
    <row r="41" spans="1:6" x14ac:dyDescent="0.3">
      <c r="A41">
        <v>0.6</v>
      </c>
      <c r="B41">
        <v>15</v>
      </c>
      <c r="C41" s="8">
        <v>2.8549999999999999E-3</v>
      </c>
      <c r="D41" s="9">
        <f t="shared" si="0"/>
        <v>0.49461936682949792</v>
      </c>
      <c r="E41">
        <v>1.8616416677246039</v>
      </c>
      <c r="F41">
        <v>-7.7911595519574259E-2</v>
      </c>
    </row>
    <row r="42" spans="1:6" x14ac:dyDescent="0.3">
      <c r="A42">
        <v>0.6</v>
      </c>
      <c r="B42">
        <v>15</v>
      </c>
      <c r="C42" s="8">
        <v>2.8549999999999999E-3</v>
      </c>
      <c r="D42" s="9">
        <f t="shared" si="0"/>
        <v>0.49461936682949792</v>
      </c>
      <c r="E42">
        <v>2.4037834183824138</v>
      </c>
      <c r="F42">
        <v>-1.3676934704931027</v>
      </c>
    </row>
    <row r="43" spans="1:6" x14ac:dyDescent="0.3">
      <c r="A43">
        <v>0.6</v>
      </c>
      <c r="B43">
        <v>15</v>
      </c>
      <c r="C43" s="8">
        <v>2.8549999999999999E-3</v>
      </c>
      <c r="D43" s="9">
        <f t="shared" si="0"/>
        <v>0.49461936682949792</v>
      </c>
      <c r="E43">
        <v>2.6451383408317217</v>
      </c>
      <c r="F43">
        <v>-2.0769105538590176</v>
      </c>
    </row>
    <row r="44" spans="1:6" x14ac:dyDescent="0.3">
      <c r="A44">
        <v>0.6</v>
      </c>
      <c r="B44">
        <v>15</v>
      </c>
      <c r="C44" s="8">
        <v>1.4274999999999999E-3</v>
      </c>
      <c r="D44" s="9">
        <f t="shared" si="0"/>
        <v>0.49461936682949792</v>
      </c>
      <c r="E44">
        <v>0</v>
      </c>
      <c r="F44">
        <v>31.810235769046876</v>
      </c>
    </row>
    <row r="45" spans="1:6" x14ac:dyDescent="0.3">
      <c r="A45">
        <v>0.6</v>
      </c>
      <c r="B45">
        <v>15</v>
      </c>
      <c r="C45" s="8">
        <v>1.4274999999999999E-3</v>
      </c>
      <c r="D45" s="9">
        <f t="shared" si="0"/>
        <v>0.49461936682949792</v>
      </c>
      <c r="E45">
        <v>0.83706909519991202</v>
      </c>
      <c r="F45">
        <v>7.6795559140068717</v>
      </c>
    </row>
    <row r="46" spans="1:6" x14ac:dyDescent="0.3">
      <c r="A46">
        <v>0.6</v>
      </c>
      <c r="B46">
        <v>15</v>
      </c>
      <c r="C46" s="8">
        <v>1.4274999999999999E-3</v>
      </c>
      <c r="D46" s="9">
        <f t="shared" si="0"/>
        <v>0.49461936682949792</v>
      </c>
      <c r="E46">
        <v>1.1300432785198813</v>
      </c>
      <c r="F46">
        <v>3.0369226220107484</v>
      </c>
    </row>
    <row r="47" spans="1:6" x14ac:dyDescent="0.3">
      <c r="A47">
        <v>0.6</v>
      </c>
      <c r="B47">
        <v>15</v>
      </c>
      <c r="C47" s="8">
        <v>1.4274999999999999E-3</v>
      </c>
      <c r="D47" s="9">
        <f t="shared" si="0"/>
        <v>0.49461936682949792</v>
      </c>
      <c r="E47">
        <v>1.5883386081418329</v>
      </c>
      <c r="F47">
        <v>1.0051906260649239</v>
      </c>
    </row>
    <row r="48" spans="1:6" x14ac:dyDescent="0.3">
      <c r="A48">
        <v>0.6</v>
      </c>
      <c r="B48">
        <v>15</v>
      </c>
      <c r="C48" s="8">
        <v>1.4274999999999999E-3</v>
      </c>
      <c r="D48" s="9">
        <f t="shared" si="0"/>
        <v>0.49461936682949792</v>
      </c>
      <c r="E48">
        <v>2.1814020620909709</v>
      </c>
      <c r="F48">
        <v>-0.58161856283146318</v>
      </c>
    </row>
    <row r="49" spans="1:6" x14ac:dyDescent="0.3">
      <c r="A49">
        <v>0.6</v>
      </c>
      <c r="B49">
        <v>15</v>
      </c>
      <c r="C49" s="8">
        <v>1.4274999999999999E-3</v>
      </c>
      <c r="D49" s="9">
        <f t="shared" si="0"/>
        <v>0.49461936682949792</v>
      </c>
      <c r="E49">
        <v>2.7302403655103795</v>
      </c>
      <c r="F49">
        <v>-2.020716714078699</v>
      </c>
    </row>
    <row r="50" spans="1:6" x14ac:dyDescent="0.3">
      <c r="A50">
        <v>0.6</v>
      </c>
      <c r="B50">
        <v>15</v>
      </c>
      <c r="C50" s="8">
        <v>1.4274999999999999E-3</v>
      </c>
      <c r="D50" s="9">
        <f t="shared" si="0"/>
        <v>0.49461936682949792</v>
      </c>
      <c r="E50">
        <v>3.0541063844865359</v>
      </c>
      <c r="F50">
        <v>-2.9850478844112827</v>
      </c>
    </row>
    <row r="51" spans="1:6" x14ac:dyDescent="0.3">
      <c r="A51">
        <v>0.6</v>
      </c>
      <c r="B51">
        <v>15</v>
      </c>
      <c r="C51" s="8">
        <v>9.5166999999999995E-4</v>
      </c>
      <c r="D51" s="9">
        <f t="shared" si="0"/>
        <v>0.49461936682949792</v>
      </c>
      <c r="E51">
        <v>0</v>
      </c>
      <c r="F51">
        <v>31.810235769046876</v>
      </c>
    </row>
    <row r="52" spans="1:6" x14ac:dyDescent="0.3">
      <c r="A52">
        <v>0.6</v>
      </c>
      <c r="B52">
        <v>15</v>
      </c>
      <c r="C52" s="8">
        <v>9.5166999999999995E-4</v>
      </c>
      <c r="D52" s="9">
        <f t="shared" si="0"/>
        <v>0.49461936682949792</v>
      </c>
      <c r="E52">
        <v>0.8956639318639058</v>
      </c>
      <c r="F52">
        <v>7.6399977752127439</v>
      </c>
    </row>
    <row r="53" spans="1:6" x14ac:dyDescent="0.3">
      <c r="A53">
        <v>0.6</v>
      </c>
      <c r="B53">
        <v>15</v>
      </c>
      <c r="C53" s="8">
        <v>9.5166999999999995E-4</v>
      </c>
      <c r="D53" s="9">
        <f t="shared" si="0"/>
        <v>0.49461936682949792</v>
      </c>
      <c r="E53">
        <v>1.1216725875678817</v>
      </c>
      <c r="F53">
        <v>3.0442664034708042</v>
      </c>
    </row>
    <row r="54" spans="1:6" x14ac:dyDescent="0.3">
      <c r="A54">
        <v>0.6</v>
      </c>
      <c r="B54">
        <v>15</v>
      </c>
      <c r="C54" s="8">
        <v>9.5166999999999995E-4</v>
      </c>
      <c r="D54" s="9">
        <f t="shared" si="0"/>
        <v>0.49461936682949792</v>
      </c>
      <c r="E54">
        <v>1.6804162086138232</v>
      </c>
      <c r="F54">
        <v>0.88792217527805439</v>
      </c>
    </row>
    <row r="55" spans="1:6" x14ac:dyDescent="0.3">
      <c r="A55">
        <v>0.6</v>
      </c>
      <c r="B55">
        <v>15</v>
      </c>
      <c r="C55" s="8">
        <v>9.5166999999999995E-4</v>
      </c>
      <c r="D55" s="9">
        <f t="shared" si="0"/>
        <v>0.49461936682949792</v>
      </c>
      <c r="E55">
        <v>2.3923434740813483</v>
      </c>
      <c r="F55">
        <v>-0.95752407652035432</v>
      </c>
    </row>
    <row r="56" spans="1:6" x14ac:dyDescent="0.3">
      <c r="A56">
        <v>0.6</v>
      </c>
      <c r="B56">
        <v>15</v>
      </c>
      <c r="C56" s="8">
        <v>9.5166999999999995E-4</v>
      </c>
      <c r="D56" s="9">
        <f t="shared" si="0"/>
        <v>0.49461936682949792</v>
      </c>
      <c r="E56">
        <v>2.7999961234437056</v>
      </c>
      <c r="F56">
        <v>-2.1710200479678954</v>
      </c>
    </row>
    <row r="57" spans="1:6" x14ac:dyDescent="0.3">
      <c r="A57">
        <v>0.6</v>
      </c>
      <c r="B57">
        <v>15</v>
      </c>
      <c r="C57" s="8">
        <v>9.5166999999999995E-4</v>
      </c>
      <c r="D57" s="9">
        <f t="shared" si="0"/>
        <v>0.49461936682949792</v>
      </c>
      <c r="E57">
        <v>3.0266026856442525</v>
      </c>
      <c r="F57">
        <v>-2.919886518759149</v>
      </c>
    </row>
    <row r="58" spans="1:6" x14ac:dyDescent="0.3">
      <c r="A58">
        <v>0.6</v>
      </c>
      <c r="B58">
        <v>20</v>
      </c>
      <c r="C58" s="8">
        <v>6.9699999999999996E-3</v>
      </c>
      <c r="D58" s="9">
        <f t="shared" si="0"/>
        <v>0.42835293687811932</v>
      </c>
      <c r="E58">
        <v>0</v>
      </c>
      <c r="F58">
        <v>38.591876034869706</v>
      </c>
    </row>
    <row r="59" spans="1:6" x14ac:dyDescent="0.3">
      <c r="A59">
        <v>0.6</v>
      </c>
      <c r="B59">
        <v>20</v>
      </c>
      <c r="C59" s="8">
        <v>6.9699999999999996E-3</v>
      </c>
      <c r="D59" s="9">
        <f t="shared" si="0"/>
        <v>0.42835293687811932</v>
      </c>
      <c r="E59">
        <v>0.33191609340100858</v>
      </c>
      <c r="F59">
        <v>9.5716594499750443</v>
      </c>
    </row>
    <row r="60" spans="1:6" x14ac:dyDescent="0.3">
      <c r="A60">
        <v>0.6</v>
      </c>
      <c r="B60">
        <v>20</v>
      </c>
      <c r="C60" s="8">
        <v>6.9699999999999996E-3</v>
      </c>
      <c r="D60" s="9">
        <f t="shared" si="0"/>
        <v>0.42835293687811932</v>
      </c>
      <c r="E60">
        <v>0.47251943852226902</v>
      </c>
      <c r="F60">
        <v>4.1333320398433262</v>
      </c>
    </row>
    <row r="61" spans="1:6" x14ac:dyDescent="0.3">
      <c r="A61">
        <v>0.6</v>
      </c>
      <c r="B61">
        <v>20</v>
      </c>
      <c r="C61" s="8">
        <v>6.9699999999999996E-3</v>
      </c>
      <c r="D61" s="9">
        <f t="shared" si="0"/>
        <v>0.42835293687811932</v>
      </c>
      <c r="E61">
        <v>0.51170397732655493</v>
      </c>
      <c r="F61">
        <v>2.2306245682933827</v>
      </c>
    </row>
    <row r="62" spans="1:6" x14ac:dyDescent="0.3">
      <c r="A62">
        <v>0.6</v>
      </c>
      <c r="B62">
        <v>20</v>
      </c>
      <c r="C62" s="8">
        <v>6.9699999999999996E-3</v>
      </c>
      <c r="D62" s="9">
        <f t="shared" si="0"/>
        <v>0.42835293687811932</v>
      </c>
      <c r="E62">
        <v>0.61957670768188289</v>
      </c>
      <c r="F62">
        <v>1.2777786233768893</v>
      </c>
    </row>
    <row r="63" spans="1:6" x14ac:dyDescent="0.3">
      <c r="A63">
        <v>0.6</v>
      </c>
      <c r="B63">
        <v>20</v>
      </c>
      <c r="C63" s="8">
        <v>6.9699999999999996E-3</v>
      </c>
      <c r="D63" s="9">
        <f t="shared" si="0"/>
        <v>0.42835293687811932</v>
      </c>
      <c r="E63">
        <v>0.68342445620415992</v>
      </c>
      <c r="F63">
        <v>0.74847490309292997</v>
      </c>
    </row>
    <row r="64" spans="1:6" x14ac:dyDescent="0.3">
      <c r="A64">
        <v>0.6</v>
      </c>
      <c r="B64">
        <v>20</v>
      </c>
      <c r="C64" s="8">
        <v>6.9699999999999996E-3</v>
      </c>
      <c r="D64" s="9">
        <f t="shared" si="0"/>
        <v>0.42835293687811932</v>
      </c>
      <c r="E64">
        <v>0.95229527311940598</v>
      </c>
      <c r="F64">
        <v>0.14974278876444455</v>
      </c>
    </row>
    <row r="65" spans="1:6" x14ac:dyDescent="0.3">
      <c r="A65">
        <v>0.6</v>
      </c>
      <c r="B65">
        <v>20</v>
      </c>
      <c r="C65" s="8">
        <v>3.4849999999999998E-3</v>
      </c>
      <c r="D65" s="9">
        <f t="shared" si="0"/>
        <v>0.42835293687811932</v>
      </c>
      <c r="E65">
        <v>0</v>
      </c>
      <c r="F65">
        <v>38.591876034869706</v>
      </c>
    </row>
    <row r="66" spans="1:6" x14ac:dyDescent="0.3">
      <c r="A66">
        <v>0.6</v>
      </c>
      <c r="B66">
        <v>20</v>
      </c>
      <c r="C66" s="8">
        <v>3.4849999999999998E-3</v>
      </c>
      <c r="D66" s="9">
        <f t="shared" ref="D66:D129" si="1">(A66)/((9.81*B66*10^-2))^(1/2)</f>
        <v>0.42835293687811932</v>
      </c>
      <c r="E66">
        <v>0.74335375084600874</v>
      </c>
      <c r="F66">
        <v>9.2652205980331157</v>
      </c>
    </row>
    <row r="67" spans="1:6" x14ac:dyDescent="0.3">
      <c r="A67">
        <v>0.6</v>
      </c>
      <c r="B67">
        <v>20</v>
      </c>
      <c r="C67" s="8">
        <v>3.4849999999999998E-3</v>
      </c>
      <c r="D67" s="9">
        <f t="shared" si="1"/>
        <v>0.42835293687811932</v>
      </c>
      <c r="E67">
        <v>1.0303228732656307</v>
      </c>
      <c r="F67">
        <v>3.5526787114961049</v>
      </c>
    </row>
    <row r="68" spans="1:6" x14ac:dyDescent="0.3">
      <c r="A68">
        <v>0.6</v>
      </c>
      <c r="B68">
        <v>20</v>
      </c>
      <c r="C68" s="8">
        <v>3.4849999999999998E-3</v>
      </c>
      <c r="D68" s="9">
        <f t="shared" si="1"/>
        <v>0.42835293687811932</v>
      </c>
      <c r="E68">
        <v>1.426201963832459</v>
      </c>
      <c r="F68">
        <v>1.0030785852133834</v>
      </c>
    </row>
    <row r="69" spans="1:6" x14ac:dyDescent="0.3">
      <c r="A69">
        <v>0.6</v>
      </c>
      <c r="B69">
        <v>20</v>
      </c>
      <c r="C69" s="8">
        <v>3.4849999999999998E-3</v>
      </c>
      <c r="D69" s="9">
        <f t="shared" si="1"/>
        <v>0.42835293687811932</v>
      </c>
      <c r="E69">
        <v>1.5116012086970931</v>
      </c>
      <c r="F69">
        <v>-3.9018327390415108E-2</v>
      </c>
    </row>
    <row r="70" spans="1:6" x14ac:dyDescent="0.3">
      <c r="A70">
        <v>0.6</v>
      </c>
      <c r="B70">
        <v>20</v>
      </c>
      <c r="C70" s="8">
        <v>3.4849999999999998E-3</v>
      </c>
      <c r="D70" s="9">
        <f t="shared" si="1"/>
        <v>0.42835293687811932</v>
      </c>
      <c r="E70">
        <v>1.8220810543992865</v>
      </c>
      <c r="F70">
        <v>-1.2276320719440452</v>
      </c>
    </row>
    <row r="71" spans="1:6" x14ac:dyDescent="0.3">
      <c r="A71">
        <v>0.6</v>
      </c>
      <c r="B71">
        <v>20</v>
      </c>
      <c r="C71" s="8">
        <v>3.4849999999999998E-3</v>
      </c>
      <c r="D71" s="9">
        <f t="shared" si="1"/>
        <v>0.42835293687811932</v>
      </c>
      <c r="E71">
        <v>2.1117393118348891</v>
      </c>
      <c r="F71">
        <v>-2.3109974824000008</v>
      </c>
    </row>
    <row r="72" spans="1:6" x14ac:dyDescent="0.3">
      <c r="A72">
        <v>0.6</v>
      </c>
      <c r="B72">
        <v>20</v>
      </c>
      <c r="C72" s="8">
        <v>1.7424999999999999E-3</v>
      </c>
      <c r="D72" s="9">
        <f t="shared" si="1"/>
        <v>0.42835293687811932</v>
      </c>
      <c r="E72">
        <v>0</v>
      </c>
      <c r="F72">
        <v>38.591876034869706</v>
      </c>
    </row>
    <row r="73" spans="1:6" x14ac:dyDescent="0.3">
      <c r="A73">
        <v>0.6</v>
      </c>
      <c r="B73">
        <v>20</v>
      </c>
      <c r="C73" s="8">
        <v>1.7424999999999999E-3</v>
      </c>
      <c r="D73" s="9">
        <f t="shared" si="1"/>
        <v>0.42835293687811932</v>
      </c>
      <c r="E73">
        <v>0.77101342529609296</v>
      </c>
      <c r="F73">
        <v>9.2362070678862747</v>
      </c>
    </row>
    <row r="74" spans="1:6" x14ac:dyDescent="0.3">
      <c r="A74">
        <v>0.6</v>
      </c>
      <c r="B74">
        <v>20</v>
      </c>
      <c r="C74" s="8">
        <v>1.7424999999999999E-3</v>
      </c>
      <c r="D74" s="9">
        <f t="shared" si="1"/>
        <v>0.42835293687811932</v>
      </c>
      <c r="E74">
        <v>1.0879471950366393</v>
      </c>
      <c r="F74">
        <v>3.4681295162749337</v>
      </c>
    </row>
    <row r="75" spans="1:6" x14ac:dyDescent="0.3">
      <c r="A75">
        <v>0.6</v>
      </c>
      <c r="B75">
        <v>20</v>
      </c>
      <c r="C75" s="8">
        <v>1.7424999999999999E-3</v>
      </c>
      <c r="D75" s="9">
        <f t="shared" si="1"/>
        <v>0.42835293687811932</v>
      </c>
      <c r="E75">
        <v>1.5022660685701898</v>
      </c>
      <c r="F75">
        <v>0.84878688408430991</v>
      </c>
    </row>
    <row r="76" spans="1:6" x14ac:dyDescent="0.3">
      <c r="A76">
        <v>0.6</v>
      </c>
      <c r="B76">
        <v>20</v>
      </c>
      <c r="C76" s="8">
        <v>1.7424999999999999E-3</v>
      </c>
      <c r="D76" s="9">
        <f t="shared" si="1"/>
        <v>0.42835293687811932</v>
      </c>
      <c r="E76">
        <v>1.8324534323180683</v>
      </c>
      <c r="F76">
        <v>-0.78220983824226231</v>
      </c>
    </row>
    <row r="77" spans="1:6" x14ac:dyDescent="0.3">
      <c r="A77">
        <v>0.6</v>
      </c>
      <c r="B77">
        <v>20</v>
      </c>
      <c r="C77" s="8">
        <v>1.7424999999999999E-3</v>
      </c>
      <c r="D77" s="9">
        <f t="shared" si="1"/>
        <v>0.42835293687811932</v>
      </c>
      <c r="E77">
        <v>2.3188027080653795</v>
      </c>
      <c r="F77">
        <v>-2.6523485723051792</v>
      </c>
    </row>
    <row r="78" spans="1:6" x14ac:dyDescent="0.3">
      <c r="A78">
        <v>0.6</v>
      </c>
      <c r="B78">
        <v>20</v>
      </c>
      <c r="C78" s="8">
        <v>1.7424999999999999E-3</v>
      </c>
      <c r="D78" s="9">
        <f t="shared" si="1"/>
        <v>0.42835293687811932</v>
      </c>
      <c r="E78">
        <v>2.4779312055189497</v>
      </c>
      <c r="F78">
        <v>-3.4751571726222212</v>
      </c>
    </row>
    <row r="79" spans="1:6" x14ac:dyDescent="0.3">
      <c r="A79">
        <v>0.6</v>
      </c>
      <c r="B79">
        <v>20</v>
      </c>
      <c r="C79" s="8">
        <v>1.1616700000000001E-3</v>
      </c>
      <c r="D79" s="9">
        <f t="shared" si="1"/>
        <v>0.42835293687811932</v>
      </c>
      <c r="E79">
        <v>0</v>
      </c>
      <c r="F79">
        <v>38.591876034869706</v>
      </c>
    </row>
    <row r="80" spans="1:6" x14ac:dyDescent="0.3">
      <c r="A80">
        <v>0.6</v>
      </c>
      <c r="B80">
        <v>20</v>
      </c>
      <c r="C80" s="8">
        <v>1.1616700000000001E-3</v>
      </c>
      <c r="D80" s="9">
        <f t="shared" si="1"/>
        <v>0.42835293687811932</v>
      </c>
      <c r="E80">
        <v>0.71223661708966424</v>
      </c>
      <c r="F80">
        <v>9.2965939615395055</v>
      </c>
    </row>
    <row r="81" spans="1:6" x14ac:dyDescent="0.3">
      <c r="A81">
        <v>0.6</v>
      </c>
      <c r="B81">
        <v>20</v>
      </c>
      <c r="C81" s="8">
        <v>1.1616700000000001E-3</v>
      </c>
      <c r="D81" s="9">
        <f t="shared" si="1"/>
        <v>0.42835293687811932</v>
      </c>
      <c r="E81">
        <v>0.95656374139874001</v>
      </c>
      <c r="F81">
        <v>3.654189266489829</v>
      </c>
    </row>
    <row r="82" spans="1:6" x14ac:dyDescent="0.3">
      <c r="A82">
        <v>0.6</v>
      </c>
      <c r="B82">
        <v>20</v>
      </c>
      <c r="C82" s="8">
        <v>1.1616700000000001E-3</v>
      </c>
      <c r="D82" s="9">
        <f t="shared" si="1"/>
        <v>0.42835293687811932</v>
      </c>
      <c r="E82">
        <v>1.2118394868443072</v>
      </c>
      <c r="F82">
        <v>1.3947778024298674</v>
      </c>
    </row>
    <row r="83" spans="1:6" x14ac:dyDescent="0.3">
      <c r="A83">
        <v>0.6</v>
      </c>
      <c r="B83">
        <v>20</v>
      </c>
      <c r="C83" s="8">
        <v>1.1616700000000001E-3</v>
      </c>
      <c r="D83" s="9">
        <f t="shared" si="1"/>
        <v>0.42835293687811932</v>
      </c>
      <c r="E83">
        <v>1.6443676460574965</v>
      </c>
      <c r="F83">
        <v>-0.32924901580727434</v>
      </c>
    </row>
    <row r="84" spans="1:6" x14ac:dyDescent="0.3">
      <c r="A84">
        <v>0.6</v>
      </c>
      <c r="B84">
        <v>20</v>
      </c>
      <c r="C84" s="8">
        <v>1.1616700000000001E-3</v>
      </c>
      <c r="D84" s="9">
        <f t="shared" si="1"/>
        <v>0.42835293687811932</v>
      </c>
      <c r="E84">
        <v>2.0675606651437826</v>
      </c>
      <c r="F84">
        <v>-1.8890064213958413</v>
      </c>
    </row>
    <row r="85" spans="1:6" x14ac:dyDescent="0.3">
      <c r="A85">
        <v>0.6</v>
      </c>
      <c r="B85">
        <v>20</v>
      </c>
      <c r="C85" s="8">
        <v>1.1616700000000001E-3</v>
      </c>
      <c r="D85" s="9">
        <f t="shared" si="1"/>
        <v>0.42835293687811932</v>
      </c>
      <c r="E85">
        <v>2.0813905023688242</v>
      </c>
      <c r="F85">
        <v>-2.2131582329309136</v>
      </c>
    </row>
    <row r="86" spans="1:6" x14ac:dyDescent="0.3">
      <c r="A86">
        <v>0.6</v>
      </c>
      <c r="B86">
        <v>30</v>
      </c>
      <c r="C86" s="8">
        <v>9.2599999999999991E-3</v>
      </c>
      <c r="D86" s="9">
        <f t="shared" si="1"/>
        <v>0.34974870839133448</v>
      </c>
      <c r="E86">
        <v>0</v>
      </c>
      <c r="F86">
        <v>42.179963682739846</v>
      </c>
    </row>
    <row r="87" spans="1:6" x14ac:dyDescent="0.3">
      <c r="A87">
        <v>0.6</v>
      </c>
      <c r="B87">
        <v>30</v>
      </c>
      <c r="C87" s="8">
        <v>9.2599999999999991E-3</v>
      </c>
      <c r="D87" s="9">
        <f t="shared" si="1"/>
        <v>0.34974870839133448</v>
      </c>
      <c r="E87">
        <v>0.23374520340203606</v>
      </c>
      <c r="F87">
        <v>10.459839822161655</v>
      </c>
    </row>
    <row r="88" spans="1:6" x14ac:dyDescent="0.3">
      <c r="A88">
        <v>0.6</v>
      </c>
      <c r="B88">
        <v>30</v>
      </c>
      <c r="C88" s="8">
        <v>9.2599999999999991E-3</v>
      </c>
      <c r="D88" s="9">
        <f t="shared" si="1"/>
        <v>0.34974870839133448</v>
      </c>
      <c r="E88">
        <v>0.49480084294039245</v>
      </c>
      <c r="F88">
        <v>4.3051001174955372</v>
      </c>
    </row>
    <row r="89" spans="1:6" x14ac:dyDescent="0.3">
      <c r="A89">
        <v>0.6</v>
      </c>
      <c r="B89">
        <v>30</v>
      </c>
      <c r="C89" s="8">
        <v>9.2599999999999991E-3</v>
      </c>
      <c r="D89" s="9">
        <f t="shared" si="1"/>
        <v>0.34974870839133448</v>
      </c>
      <c r="E89">
        <v>0.63737738453441783</v>
      </c>
      <c r="F89">
        <v>2.0031100810623972</v>
      </c>
    </row>
    <row r="90" spans="1:6" x14ac:dyDescent="0.3">
      <c r="A90">
        <v>0.6</v>
      </c>
      <c r="B90">
        <v>30</v>
      </c>
      <c r="C90" s="8">
        <v>9.2599999999999991E-3</v>
      </c>
      <c r="D90" s="9">
        <f t="shared" si="1"/>
        <v>0.34974870839133448</v>
      </c>
      <c r="E90">
        <v>0.79521564043991644</v>
      </c>
      <c r="F90">
        <v>0.70165761530959359</v>
      </c>
    </row>
    <row r="91" spans="1:6" x14ac:dyDescent="0.3">
      <c r="A91">
        <v>0.6</v>
      </c>
      <c r="B91">
        <v>30</v>
      </c>
      <c r="C91" s="8">
        <v>9.2599999999999991E-3</v>
      </c>
      <c r="D91" s="9">
        <f t="shared" si="1"/>
        <v>0.34974870839133448</v>
      </c>
      <c r="E91">
        <v>0.934980813608144</v>
      </c>
      <c r="F91">
        <v>-0.1907519185190083</v>
      </c>
    </row>
    <row r="92" spans="1:6" x14ac:dyDescent="0.3">
      <c r="A92">
        <v>0.6</v>
      </c>
      <c r="B92">
        <v>30</v>
      </c>
      <c r="C92" s="8">
        <v>9.2599999999999991E-3</v>
      </c>
      <c r="D92" s="9">
        <f t="shared" si="1"/>
        <v>0.34974870839133448</v>
      </c>
      <c r="E92">
        <v>0.98781217107810715</v>
      </c>
      <c r="F92">
        <v>-0.70295345228869743</v>
      </c>
    </row>
    <row r="93" spans="1:6" x14ac:dyDescent="0.3">
      <c r="A93">
        <v>0.6</v>
      </c>
      <c r="B93">
        <v>30</v>
      </c>
      <c r="C93" s="8">
        <v>4.6299999999999996E-3</v>
      </c>
      <c r="D93" s="9">
        <f t="shared" si="1"/>
        <v>0.34974870839133448</v>
      </c>
      <c r="E93">
        <v>0</v>
      </c>
      <c r="F93">
        <v>42.179963682739846</v>
      </c>
    </row>
    <row r="94" spans="1:6" x14ac:dyDescent="0.3">
      <c r="A94">
        <v>0.6</v>
      </c>
      <c r="B94">
        <v>30</v>
      </c>
      <c r="C94" s="8">
        <v>4.6299999999999996E-3</v>
      </c>
      <c r="D94" s="9">
        <f t="shared" si="1"/>
        <v>0.34974870839133448</v>
      </c>
      <c r="E94">
        <v>0.65545046727168887</v>
      </c>
      <c r="F94">
        <v>9.8754384843847944</v>
      </c>
    </row>
    <row r="95" spans="1:6" x14ac:dyDescent="0.3">
      <c r="A95">
        <v>0.6</v>
      </c>
      <c r="B95">
        <v>30</v>
      </c>
      <c r="C95" s="8">
        <v>4.6299999999999996E-3</v>
      </c>
      <c r="D95" s="9">
        <f t="shared" si="1"/>
        <v>0.34974870839133448</v>
      </c>
      <c r="E95">
        <v>1.1229408740757609</v>
      </c>
      <c r="F95">
        <v>2.7214089433586772</v>
      </c>
    </row>
    <row r="96" spans="1:6" x14ac:dyDescent="0.3">
      <c r="A96">
        <v>0.6</v>
      </c>
      <c r="B96">
        <v>30</v>
      </c>
      <c r="C96" s="8">
        <v>4.6299999999999996E-3</v>
      </c>
      <c r="D96" s="9">
        <f t="shared" si="1"/>
        <v>0.34974870839133448</v>
      </c>
      <c r="E96">
        <v>1.4434368746166968</v>
      </c>
      <c r="F96">
        <v>-0.61088791668396736</v>
      </c>
    </row>
    <row r="97" spans="1:6" x14ac:dyDescent="0.3">
      <c r="A97">
        <v>0.6</v>
      </c>
      <c r="B97">
        <v>30</v>
      </c>
      <c r="C97" s="8">
        <v>4.6299999999999996E-3</v>
      </c>
      <c r="D97" s="9">
        <f t="shared" si="1"/>
        <v>0.34974870839133448</v>
      </c>
      <c r="E97">
        <v>1.5885034853878572</v>
      </c>
      <c r="F97">
        <v>-2.2454142121137717</v>
      </c>
    </row>
    <row r="98" spans="1:6" x14ac:dyDescent="0.3">
      <c r="A98">
        <v>0.6</v>
      </c>
      <c r="B98">
        <v>30</v>
      </c>
      <c r="C98" s="8">
        <v>4.6299999999999996E-3</v>
      </c>
      <c r="D98" s="9">
        <f t="shared" si="1"/>
        <v>0.34974870839133448</v>
      </c>
      <c r="E98">
        <v>1.7237704690748088</v>
      </c>
      <c r="F98">
        <v>-3.4592163162247935</v>
      </c>
    </row>
    <row r="99" spans="1:6" x14ac:dyDescent="0.3">
      <c r="A99">
        <v>0.6</v>
      </c>
      <c r="B99">
        <v>30</v>
      </c>
      <c r="C99" s="8">
        <v>4.6299999999999996E-3</v>
      </c>
      <c r="D99" s="9">
        <f t="shared" si="1"/>
        <v>0.34974870839133448</v>
      </c>
      <c r="E99">
        <v>1.6436702940957255</v>
      </c>
      <c r="F99">
        <v>-3.3857788906100117</v>
      </c>
    </row>
    <row r="100" spans="1:6" x14ac:dyDescent="0.3">
      <c r="A100">
        <v>0.6</v>
      </c>
      <c r="B100">
        <v>30</v>
      </c>
      <c r="C100" s="8">
        <v>2.3149999999999998E-3</v>
      </c>
      <c r="D100" s="9">
        <f t="shared" si="1"/>
        <v>0.34974870839133448</v>
      </c>
      <c r="E100">
        <v>0</v>
      </c>
      <c r="F100">
        <v>42.179963682739846</v>
      </c>
    </row>
    <row r="101" spans="1:6" x14ac:dyDescent="0.3">
      <c r="A101">
        <v>0.6</v>
      </c>
      <c r="B101">
        <v>30</v>
      </c>
      <c r="C101" s="8">
        <v>2.3149999999999998E-3</v>
      </c>
      <c r="D101" s="9">
        <f t="shared" si="1"/>
        <v>0.34974870839133448</v>
      </c>
      <c r="E101">
        <v>0.66990893346150526</v>
      </c>
      <c r="F101">
        <v>9.8455736076575224</v>
      </c>
    </row>
    <row r="102" spans="1:6" x14ac:dyDescent="0.3">
      <c r="A102">
        <v>0.6</v>
      </c>
      <c r="B102">
        <v>30</v>
      </c>
      <c r="C102" s="8">
        <v>2.3149999999999998E-3</v>
      </c>
      <c r="D102" s="9">
        <f t="shared" si="1"/>
        <v>0.34974870839133448</v>
      </c>
      <c r="E102">
        <v>0.97032373096102909</v>
      </c>
      <c r="F102">
        <v>3.2192976660099171</v>
      </c>
    </row>
    <row r="103" spans="1:6" x14ac:dyDescent="0.3">
      <c r="A103">
        <v>0.6</v>
      </c>
      <c r="B103">
        <v>30</v>
      </c>
      <c r="C103" s="8">
        <v>2.3149999999999998E-3</v>
      </c>
      <c r="D103" s="9">
        <f t="shared" si="1"/>
        <v>0.34974870839133448</v>
      </c>
      <c r="E103">
        <v>1.1120970244333983</v>
      </c>
      <c r="F103">
        <v>0.70876632370239689</v>
      </c>
    </row>
    <row r="104" spans="1:6" x14ac:dyDescent="0.3">
      <c r="A104">
        <v>0.6</v>
      </c>
      <c r="B104">
        <v>30</v>
      </c>
      <c r="C104" s="8">
        <v>2.3149999999999998E-3</v>
      </c>
      <c r="D104" s="9">
        <f t="shared" si="1"/>
        <v>0.34974870839133448</v>
      </c>
      <c r="E104">
        <v>1.1306520560436628</v>
      </c>
      <c r="F104">
        <v>-0.30513842095608601</v>
      </c>
    </row>
    <row r="105" spans="1:6" x14ac:dyDescent="0.3">
      <c r="A105">
        <v>0.6</v>
      </c>
      <c r="B105">
        <v>30</v>
      </c>
      <c r="C105" s="8">
        <v>2.3149999999999998E-3</v>
      </c>
      <c r="D105" s="9">
        <f t="shared" si="1"/>
        <v>0.34974870839133448</v>
      </c>
      <c r="E105">
        <v>1.2434280923242329</v>
      </c>
      <c r="F105">
        <v>-1.237941196054215</v>
      </c>
    </row>
    <row r="106" spans="1:6" x14ac:dyDescent="0.3">
      <c r="A106">
        <v>0.6</v>
      </c>
      <c r="B106">
        <v>30</v>
      </c>
      <c r="C106" s="8">
        <v>2.3149999999999998E-3</v>
      </c>
      <c r="D106" s="9">
        <f t="shared" si="1"/>
        <v>0.34974870839133448</v>
      </c>
      <c r="E106">
        <v>1.3126091077641151</v>
      </c>
      <c r="F106">
        <v>-1.8674122878810444</v>
      </c>
    </row>
    <row r="107" spans="1:6" x14ac:dyDescent="0.3">
      <c r="A107">
        <v>0.6</v>
      </c>
      <c r="B107">
        <v>30</v>
      </c>
      <c r="C107" s="8">
        <v>1.5433300000000001E-3</v>
      </c>
      <c r="D107" s="9">
        <f t="shared" si="1"/>
        <v>0.34974870839133448</v>
      </c>
      <c r="E107">
        <v>0</v>
      </c>
      <c r="F107">
        <v>42.179963682739846</v>
      </c>
    </row>
    <row r="108" spans="1:6" x14ac:dyDescent="0.3">
      <c r="A108">
        <v>0.6</v>
      </c>
      <c r="B108">
        <v>30</v>
      </c>
      <c r="C108" s="8">
        <v>1.5433300000000001E-3</v>
      </c>
      <c r="D108" s="9">
        <f t="shared" si="1"/>
        <v>0.34974870839133448</v>
      </c>
      <c r="E108">
        <v>0.40483705331486652</v>
      </c>
      <c r="F108">
        <v>10.289564775002978</v>
      </c>
    </row>
    <row r="109" spans="1:6" x14ac:dyDescent="0.3">
      <c r="A109">
        <v>0.6</v>
      </c>
      <c r="B109">
        <v>30</v>
      </c>
      <c r="C109" s="8">
        <v>1.5433300000000001E-3</v>
      </c>
      <c r="D109" s="9">
        <f t="shared" si="1"/>
        <v>0.34974870839133448</v>
      </c>
      <c r="E109">
        <v>0.66187645224494041</v>
      </c>
      <c r="F109">
        <v>4.0039173606823137</v>
      </c>
    </row>
    <row r="110" spans="1:6" x14ac:dyDescent="0.3">
      <c r="A110">
        <v>0.6</v>
      </c>
      <c r="B110">
        <v>30</v>
      </c>
      <c r="C110" s="8">
        <v>1.5433300000000001E-3</v>
      </c>
      <c r="D110" s="9">
        <f t="shared" si="1"/>
        <v>0.34974870839133448</v>
      </c>
      <c r="E110">
        <v>0.91931747523584284</v>
      </c>
      <c r="F110">
        <v>1.3190958044561161</v>
      </c>
    </row>
    <row r="111" spans="1:6" x14ac:dyDescent="0.3">
      <c r="A111">
        <v>0.6</v>
      </c>
      <c r="B111">
        <v>30</v>
      </c>
      <c r="C111" s="8">
        <v>1.5433300000000001E-3</v>
      </c>
      <c r="D111" s="9">
        <f t="shared" si="1"/>
        <v>0.34974870839133448</v>
      </c>
      <c r="E111">
        <v>0.94943927979796061</v>
      </c>
      <c r="F111">
        <v>0.2823185462081062</v>
      </c>
    </row>
    <row r="112" spans="1:6" x14ac:dyDescent="0.3">
      <c r="A112">
        <v>0.6</v>
      </c>
      <c r="B112">
        <v>30</v>
      </c>
      <c r="C112" s="8">
        <v>1.5433300000000001E-3</v>
      </c>
      <c r="D112" s="9">
        <f t="shared" si="1"/>
        <v>0.34974870839133448</v>
      </c>
      <c r="E112">
        <v>0.90606388122851078</v>
      </c>
      <c r="F112">
        <v>-0.10778186099305764</v>
      </c>
    </row>
    <row r="113" spans="1:6" x14ac:dyDescent="0.3">
      <c r="A113">
        <v>0.6</v>
      </c>
      <c r="B113">
        <v>30</v>
      </c>
      <c r="C113" s="8">
        <v>1.5433300000000001E-3</v>
      </c>
      <c r="D113" s="9">
        <f t="shared" si="1"/>
        <v>0.34974870839133448</v>
      </c>
      <c r="E113">
        <v>0.91466863363904538</v>
      </c>
      <c r="F113">
        <v>-0.45776329365920027</v>
      </c>
    </row>
    <row r="114" spans="1:6" x14ac:dyDescent="0.3">
      <c r="A114">
        <v>0.6</v>
      </c>
      <c r="B114">
        <v>40</v>
      </c>
      <c r="C114" s="8">
        <v>9.2599999999999991E-3</v>
      </c>
      <c r="D114" s="9">
        <f t="shared" si="1"/>
        <v>0.30289126640769132</v>
      </c>
      <c r="E114">
        <v>0</v>
      </c>
      <c r="F114">
        <v>53.688632274677403</v>
      </c>
    </row>
    <row r="115" spans="1:6" x14ac:dyDescent="0.3">
      <c r="A115">
        <v>0.6</v>
      </c>
      <c r="B115">
        <v>40</v>
      </c>
      <c r="C115" s="8">
        <v>9.2599999999999991E-3</v>
      </c>
      <c r="D115" s="9">
        <f t="shared" si="1"/>
        <v>0.30289126640769132</v>
      </c>
      <c r="E115">
        <v>0.12143463910991316</v>
      </c>
      <c r="F115">
        <v>13.215319024473374</v>
      </c>
    </row>
    <row r="116" spans="1:6" x14ac:dyDescent="0.3">
      <c r="A116">
        <v>0.6</v>
      </c>
      <c r="B116">
        <v>40</v>
      </c>
      <c r="C116" s="8">
        <v>9.2599999999999991E-3</v>
      </c>
      <c r="D116" s="9">
        <f t="shared" si="1"/>
        <v>0.30289126640769132</v>
      </c>
      <c r="E116">
        <v>0.36294457435462851</v>
      </c>
      <c r="F116">
        <v>5.6004287433315971</v>
      </c>
    </row>
    <row r="117" spans="1:6" x14ac:dyDescent="0.3">
      <c r="A117">
        <v>0.6</v>
      </c>
      <c r="B117">
        <v>40</v>
      </c>
      <c r="C117" s="8">
        <v>9.2599999999999991E-3</v>
      </c>
      <c r="D117" s="9">
        <f t="shared" si="1"/>
        <v>0.30289126640769132</v>
      </c>
      <c r="E117">
        <v>0.43736860224195406</v>
      </c>
      <c r="F117">
        <v>2.8255375048473375</v>
      </c>
    </row>
    <row r="118" spans="1:6" x14ac:dyDescent="0.3">
      <c r="A118">
        <v>0.6</v>
      </c>
      <c r="B118">
        <v>40</v>
      </c>
      <c r="C118" s="8">
        <v>9.2599999999999991E-3</v>
      </c>
      <c r="D118" s="9">
        <f t="shared" si="1"/>
        <v>0.30289126640769132</v>
      </c>
      <c r="E118">
        <v>0.4877322594698153</v>
      </c>
      <c r="F118">
        <v>1.4884544506158961</v>
      </c>
    </row>
    <row r="119" spans="1:6" x14ac:dyDescent="0.3">
      <c r="A119">
        <v>0.6</v>
      </c>
      <c r="B119">
        <v>40</v>
      </c>
      <c r="C119" s="8">
        <v>9.2599999999999991E-3</v>
      </c>
      <c r="D119" s="9">
        <f t="shared" si="1"/>
        <v>0.30289126640769132</v>
      </c>
      <c r="E119">
        <v>0.63277415491415578</v>
      </c>
      <c r="F119">
        <v>0.38197231191479297</v>
      </c>
    </row>
    <row r="120" spans="1:6" x14ac:dyDescent="0.3">
      <c r="A120">
        <v>0.6</v>
      </c>
      <c r="B120">
        <v>40</v>
      </c>
      <c r="C120" s="8">
        <v>9.2599999999999991E-3</v>
      </c>
      <c r="D120" s="9">
        <f t="shared" si="1"/>
        <v>0.30289126640769132</v>
      </c>
      <c r="E120">
        <v>0.70679455117800516</v>
      </c>
      <c r="F120">
        <v>-0.31983343953114995</v>
      </c>
    </row>
    <row r="121" spans="1:6" x14ac:dyDescent="0.3">
      <c r="A121">
        <v>0.6</v>
      </c>
      <c r="B121">
        <v>40</v>
      </c>
      <c r="C121" s="8">
        <v>4.6299999999999996E-3</v>
      </c>
      <c r="D121" s="9">
        <f t="shared" si="1"/>
        <v>0.30289126640769132</v>
      </c>
      <c r="E121">
        <v>0</v>
      </c>
      <c r="F121">
        <v>53.688632274677403</v>
      </c>
    </row>
    <row r="122" spans="1:6" x14ac:dyDescent="0.3">
      <c r="A122">
        <v>0.6</v>
      </c>
      <c r="B122">
        <v>40</v>
      </c>
      <c r="C122" s="8">
        <v>4.6299999999999996E-3</v>
      </c>
      <c r="D122" s="9">
        <f t="shared" si="1"/>
        <v>0.30289126640769132</v>
      </c>
      <c r="E122">
        <v>0.34255442972796396</v>
      </c>
      <c r="F122">
        <v>13.097039713613256</v>
      </c>
    </row>
    <row r="123" spans="1:6" x14ac:dyDescent="0.3">
      <c r="A123">
        <v>0.6</v>
      </c>
      <c r="B123">
        <v>40</v>
      </c>
      <c r="C123" s="8">
        <v>4.6299999999999996E-3</v>
      </c>
      <c r="D123" s="9">
        <f t="shared" si="1"/>
        <v>0.30289126640769132</v>
      </c>
      <c r="E123">
        <v>0.43770843798573184</v>
      </c>
      <c r="F123">
        <v>5.4345776298262711</v>
      </c>
    </row>
    <row r="124" spans="1:6" x14ac:dyDescent="0.3">
      <c r="A124">
        <v>0.6</v>
      </c>
      <c r="B124">
        <v>40</v>
      </c>
      <c r="C124" s="8">
        <v>4.6299999999999996E-3</v>
      </c>
      <c r="D124" s="9">
        <f t="shared" si="1"/>
        <v>0.30289126640769132</v>
      </c>
      <c r="E124">
        <v>0.6086458171059359</v>
      </c>
      <c r="F124">
        <v>2.3291514448956216</v>
      </c>
    </row>
    <row r="125" spans="1:6" x14ac:dyDescent="0.3">
      <c r="A125">
        <v>0.6</v>
      </c>
      <c r="B125">
        <v>40</v>
      </c>
      <c r="C125" s="8">
        <v>4.6299999999999996E-3</v>
      </c>
      <c r="D125" s="9">
        <f t="shared" si="1"/>
        <v>0.30289126640769132</v>
      </c>
      <c r="E125">
        <v>0.76177580325218663</v>
      </c>
      <c r="F125">
        <v>0.53972812690934957</v>
      </c>
    </row>
    <row r="126" spans="1:6" x14ac:dyDescent="0.3">
      <c r="A126">
        <v>0.6</v>
      </c>
      <c r="B126">
        <v>40</v>
      </c>
      <c r="C126" s="8">
        <v>4.6299999999999996E-3</v>
      </c>
      <c r="D126" s="9">
        <f t="shared" si="1"/>
        <v>0.30289126640769132</v>
      </c>
      <c r="E126">
        <v>0.85706574580746553</v>
      </c>
      <c r="F126">
        <v>-0.54386548300118309</v>
      </c>
    </row>
    <row r="127" spans="1:6" x14ac:dyDescent="0.3">
      <c r="A127">
        <v>0.6</v>
      </c>
      <c r="B127">
        <v>40</v>
      </c>
      <c r="C127" s="8">
        <v>4.6299999999999996E-3</v>
      </c>
      <c r="D127" s="9">
        <f t="shared" si="1"/>
        <v>0.30289126640769132</v>
      </c>
      <c r="E127">
        <v>0.90625666077770828</v>
      </c>
      <c r="F127">
        <v>-1.1957343030896892</v>
      </c>
    </row>
    <row r="128" spans="1:6" x14ac:dyDescent="0.3">
      <c r="A128">
        <v>0.6</v>
      </c>
      <c r="B128">
        <v>40</v>
      </c>
      <c r="C128" s="8">
        <v>2.3149999999999998E-3</v>
      </c>
      <c r="D128" s="9">
        <f t="shared" si="1"/>
        <v>0.30289126640769132</v>
      </c>
      <c r="E128">
        <v>0</v>
      </c>
      <c r="F128">
        <v>53.688632274677403</v>
      </c>
    </row>
    <row r="129" spans="1:6" x14ac:dyDescent="0.3">
      <c r="A129">
        <v>0.6</v>
      </c>
      <c r="B129">
        <v>40</v>
      </c>
      <c r="C129" s="8">
        <v>2.3149999999999998E-3</v>
      </c>
      <c r="D129" s="9">
        <f t="shared" si="1"/>
        <v>0.30289126640769132</v>
      </c>
      <c r="E129">
        <v>0.35682753096662917</v>
      </c>
      <c r="F129">
        <v>13.069382075769942</v>
      </c>
    </row>
    <row r="130" spans="1:6" x14ac:dyDescent="0.3">
      <c r="A130">
        <v>0.6</v>
      </c>
      <c r="B130">
        <v>40</v>
      </c>
      <c r="C130" s="8">
        <v>2.3149999999999998E-3</v>
      </c>
      <c r="D130" s="9">
        <f t="shared" ref="D130:D193" si="2">(A130)/((9.81*B130*10^-2))^(1/2)</f>
        <v>0.30289126640769132</v>
      </c>
      <c r="E130">
        <v>0.48256675616439371</v>
      </c>
      <c r="F130">
        <v>5.3201994934835506</v>
      </c>
    </row>
    <row r="131" spans="1:6" x14ac:dyDescent="0.3">
      <c r="A131">
        <v>0.6</v>
      </c>
      <c r="B131">
        <v>40</v>
      </c>
      <c r="C131" s="8">
        <v>2.3149999999999998E-3</v>
      </c>
      <c r="D131" s="9">
        <f t="shared" si="2"/>
        <v>0.30289126640769132</v>
      </c>
      <c r="E131">
        <v>0.59335320863593755</v>
      </c>
      <c r="F131">
        <v>2.3800807790542016</v>
      </c>
    </row>
    <row r="132" spans="1:6" x14ac:dyDescent="0.3">
      <c r="A132">
        <v>0.6</v>
      </c>
      <c r="B132">
        <v>40</v>
      </c>
      <c r="C132" s="8">
        <v>2.3149999999999998E-3</v>
      </c>
      <c r="D132" s="9">
        <f t="shared" si="2"/>
        <v>0.30289126640769132</v>
      </c>
      <c r="E132">
        <v>0.75606656275672046</v>
      </c>
      <c r="F132">
        <v>0.56373785939980148</v>
      </c>
    </row>
    <row r="133" spans="1:6" x14ac:dyDescent="0.3">
      <c r="A133">
        <v>0.6</v>
      </c>
      <c r="B133">
        <v>40</v>
      </c>
      <c r="C133" s="8">
        <v>2.3149999999999998E-3</v>
      </c>
      <c r="D133" s="9">
        <f t="shared" si="2"/>
        <v>0.30289126640769132</v>
      </c>
      <c r="E133">
        <v>0.84007395861857825</v>
      </c>
      <c r="F133">
        <v>-0.4639669202556212</v>
      </c>
    </row>
    <row r="134" spans="1:6" x14ac:dyDescent="0.3">
      <c r="A134">
        <v>0.6</v>
      </c>
      <c r="B134">
        <v>40</v>
      </c>
      <c r="C134" s="8">
        <v>2.3149999999999998E-3</v>
      </c>
      <c r="D134" s="9">
        <f t="shared" si="2"/>
        <v>0.30289126640769132</v>
      </c>
      <c r="E134">
        <v>0.83958636820359278</v>
      </c>
      <c r="F134">
        <v>-0.88105213255168235</v>
      </c>
    </row>
    <row r="135" spans="1:6" x14ac:dyDescent="0.3">
      <c r="A135">
        <v>0.6</v>
      </c>
      <c r="B135">
        <v>40</v>
      </c>
      <c r="C135" s="8">
        <v>1.5433300000000001E-3</v>
      </c>
      <c r="D135" s="9">
        <f t="shared" si="2"/>
        <v>0.30289126640769132</v>
      </c>
      <c r="E135">
        <v>0</v>
      </c>
      <c r="F135">
        <v>53.688632274677403</v>
      </c>
    </row>
    <row r="136" spans="1:6" x14ac:dyDescent="0.3">
      <c r="A136">
        <v>0.6</v>
      </c>
      <c r="B136">
        <v>40</v>
      </c>
      <c r="C136" s="8">
        <v>1.5433300000000001E-3</v>
      </c>
      <c r="D136" s="9">
        <f t="shared" si="2"/>
        <v>0.30289126640769132</v>
      </c>
      <c r="E136">
        <v>0.26507188014663879</v>
      </c>
      <c r="F136">
        <v>13.22748331666935</v>
      </c>
    </row>
    <row r="137" spans="1:6" x14ac:dyDescent="0.3">
      <c r="A137">
        <v>0.6</v>
      </c>
      <c r="B137">
        <v>40</v>
      </c>
      <c r="C137" s="8">
        <v>1.5433300000000001E-3</v>
      </c>
      <c r="D137" s="9">
        <f t="shared" si="2"/>
        <v>0.30289126640769132</v>
      </c>
      <c r="E137">
        <v>0.39964683468262463</v>
      </c>
      <c r="F137">
        <v>5.5228813805822483</v>
      </c>
    </row>
    <row r="138" spans="1:6" x14ac:dyDescent="0.3">
      <c r="A138">
        <v>0.6</v>
      </c>
      <c r="B138">
        <v>40</v>
      </c>
      <c r="C138" s="8">
        <v>1.5433300000000001E-3</v>
      </c>
      <c r="D138" s="9">
        <f t="shared" si="2"/>
        <v>0.30289126640769132</v>
      </c>
      <c r="E138">
        <v>0.52912425306194433</v>
      </c>
      <c r="F138">
        <v>2.5798326255479291</v>
      </c>
    </row>
    <row r="139" spans="1:6" x14ac:dyDescent="0.3">
      <c r="A139">
        <v>0.6</v>
      </c>
      <c r="B139">
        <v>40</v>
      </c>
      <c r="C139" s="8">
        <v>1.5433300000000001E-3</v>
      </c>
      <c r="D139" s="9">
        <f t="shared" si="2"/>
        <v>0.30289126640769132</v>
      </c>
      <c r="E139">
        <v>0.55461193384527496</v>
      </c>
      <c r="F139">
        <v>1.295307607438694</v>
      </c>
    </row>
    <row r="140" spans="1:6" x14ac:dyDescent="0.3">
      <c r="A140">
        <v>0.6</v>
      </c>
      <c r="B140">
        <v>40</v>
      </c>
      <c r="C140" s="8">
        <v>1.5433300000000001E-3</v>
      </c>
      <c r="D140" s="9">
        <f t="shared" si="2"/>
        <v>0.30289126640769132</v>
      </c>
      <c r="E140">
        <v>0.48120741318928278</v>
      </c>
      <c r="F140">
        <v>0.84977663690982241</v>
      </c>
    </row>
    <row r="141" spans="1:6" x14ac:dyDescent="0.3">
      <c r="A141">
        <v>0.6</v>
      </c>
      <c r="B141">
        <v>40</v>
      </c>
      <c r="C141" s="8">
        <v>1.5433300000000001E-3</v>
      </c>
      <c r="D141" s="9">
        <f t="shared" si="2"/>
        <v>0.30289126640769132</v>
      </c>
      <c r="E141">
        <v>0.52916923132215021</v>
      </c>
      <c r="F141">
        <v>0.32791892486667806</v>
      </c>
    </row>
    <row r="142" spans="1:6" x14ac:dyDescent="0.3">
      <c r="A142">
        <v>0.6</v>
      </c>
      <c r="B142">
        <v>60</v>
      </c>
      <c r="C142" s="8">
        <v>1.379E-2</v>
      </c>
      <c r="D142" s="9">
        <f t="shared" si="2"/>
        <v>0.24730968341474896</v>
      </c>
      <c r="E142">
        <v>0</v>
      </c>
      <c r="F142">
        <v>86.83172107845688</v>
      </c>
    </row>
    <row r="143" spans="1:6" x14ac:dyDescent="0.3">
      <c r="A143">
        <v>0.6</v>
      </c>
      <c r="B143">
        <v>60</v>
      </c>
      <c r="C143" s="8">
        <v>1.379E-2</v>
      </c>
      <c r="D143" s="9">
        <f t="shared" si="2"/>
        <v>0.24730968341474896</v>
      </c>
      <c r="E143">
        <v>0.1331121832910295</v>
      </c>
      <c r="F143">
        <v>21.597471438124085</v>
      </c>
    </row>
    <row r="144" spans="1:6" x14ac:dyDescent="0.3">
      <c r="A144">
        <v>0.6</v>
      </c>
      <c r="B144">
        <v>60</v>
      </c>
      <c r="C144" s="8">
        <v>1.379E-2</v>
      </c>
      <c r="D144" s="9">
        <f t="shared" si="2"/>
        <v>0.24730968341474896</v>
      </c>
      <c r="E144">
        <v>0.25815696153411782</v>
      </c>
      <c r="F144">
        <v>9.2325058555644652</v>
      </c>
    </row>
    <row r="145" spans="1:6" x14ac:dyDescent="0.3">
      <c r="A145">
        <v>0.6</v>
      </c>
      <c r="B145">
        <v>60</v>
      </c>
      <c r="C145" s="8">
        <v>1.379E-2</v>
      </c>
      <c r="D145" s="9">
        <f t="shared" si="2"/>
        <v>0.24730968341474896</v>
      </c>
      <c r="E145">
        <v>0.34401720097292038</v>
      </c>
      <c r="F145">
        <v>4.6892055078925532</v>
      </c>
    </row>
    <row r="146" spans="1:6" x14ac:dyDescent="0.3">
      <c r="A146">
        <v>0.6</v>
      </c>
      <c r="B146">
        <v>60</v>
      </c>
      <c r="C146" s="8">
        <v>1.379E-2</v>
      </c>
      <c r="D146" s="9">
        <f t="shared" si="2"/>
        <v>0.24730968341474896</v>
      </c>
      <c r="E146">
        <v>0.42388451094753798</v>
      </c>
      <c r="F146">
        <v>2.3531607736435061</v>
      </c>
    </row>
    <row r="147" spans="1:6" x14ac:dyDescent="0.3">
      <c r="A147">
        <v>0.6</v>
      </c>
      <c r="B147">
        <v>60</v>
      </c>
      <c r="C147" s="8">
        <v>1.379E-2</v>
      </c>
      <c r="D147" s="9">
        <f t="shared" si="2"/>
        <v>0.24730968341474896</v>
      </c>
      <c r="E147">
        <v>0.39184538804285729</v>
      </c>
      <c r="F147">
        <v>1.454810721079169</v>
      </c>
    </row>
    <row r="148" spans="1:6" x14ac:dyDescent="0.3">
      <c r="A148">
        <v>0.6</v>
      </c>
      <c r="B148">
        <v>60</v>
      </c>
      <c r="C148" s="8">
        <v>1.379E-2</v>
      </c>
      <c r="D148" s="9">
        <f t="shared" si="2"/>
        <v>0.24730968341474896</v>
      </c>
      <c r="E148">
        <v>0.41947625033205582</v>
      </c>
      <c r="F148">
        <v>0.69736441550850048</v>
      </c>
    </row>
    <row r="149" spans="1:6" x14ac:dyDescent="0.3">
      <c r="A149">
        <v>0.6</v>
      </c>
      <c r="B149">
        <v>60</v>
      </c>
      <c r="C149" s="8">
        <v>6.8950000000000001E-3</v>
      </c>
      <c r="D149" s="9">
        <f t="shared" si="2"/>
        <v>0.24730968341474896</v>
      </c>
      <c r="E149">
        <v>0</v>
      </c>
      <c r="F149">
        <v>86.83172107845688</v>
      </c>
    </row>
    <row r="150" spans="1:6" x14ac:dyDescent="0.3">
      <c r="A150">
        <v>0.6</v>
      </c>
      <c r="B150">
        <v>60</v>
      </c>
      <c r="C150" s="8">
        <v>6.8950000000000001E-3</v>
      </c>
      <c r="D150" s="9">
        <f t="shared" si="2"/>
        <v>0.24730968341474896</v>
      </c>
      <c r="E150">
        <v>0.17114423565989506</v>
      </c>
      <c r="F150">
        <v>21.525335058375429</v>
      </c>
    </row>
    <row r="151" spans="1:6" x14ac:dyDescent="0.3">
      <c r="A151">
        <v>0.6</v>
      </c>
      <c r="B151">
        <v>60</v>
      </c>
      <c r="C151" s="8">
        <v>6.8950000000000001E-3</v>
      </c>
      <c r="D151" s="9">
        <f t="shared" si="2"/>
        <v>0.24730968341474896</v>
      </c>
      <c r="E151">
        <v>0.29042658172588248</v>
      </c>
      <c r="F151">
        <v>9.1221484555082082</v>
      </c>
    </row>
    <row r="152" spans="1:6" x14ac:dyDescent="0.3">
      <c r="A152">
        <v>0.6</v>
      </c>
      <c r="B152">
        <v>60</v>
      </c>
      <c r="C152" s="8">
        <v>6.8950000000000001E-3</v>
      </c>
      <c r="D152" s="9">
        <f t="shared" si="2"/>
        <v>0.24730968341474896</v>
      </c>
      <c r="E152">
        <v>0.39242163126056739</v>
      </c>
      <c r="F152">
        <v>4.4669837264767489</v>
      </c>
    </row>
    <row r="153" spans="1:6" x14ac:dyDescent="0.3">
      <c r="A153">
        <v>0.6</v>
      </c>
      <c r="B153">
        <v>60</v>
      </c>
      <c r="C153" s="8">
        <v>6.8950000000000001E-3</v>
      </c>
      <c r="D153" s="9">
        <f t="shared" si="2"/>
        <v>0.24730968341474896</v>
      </c>
      <c r="E153">
        <v>0.45085269353636998</v>
      </c>
      <c r="F153">
        <v>2.2061009267468101</v>
      </c>
    </row>
    <row r="154" spans="1:6" x14ac:dyDescent="0.3">
      <c r="A154">
        <v>0.6</v>
      </c>
      <c r="B154">
        <v>60</v>
      </c>
      <c r="C154" s="8">
        <v>6.8950000000000001E-3</v>
      </c>
      <c r="D154" s="9">
        <f t="shared" si="2"/>
        <v>0.24730968341474896</v>
      </c>
      <c r="E154">
        <v>0.44197854798363467</v>
      </c>
      <c r="F154">
        <v>1.1942168072195845</v>
      </c>
    </row>
    <row r="155" spans="1:6" x14ac:dyDescent="0.3">
      <c r="A155">
        <v>0.6</v>
      </c>
      <c r="B155">
        <v>60</v>
      </c>
      <c r="C155" s="8">
        <v>6.8950000000000001E-3</v>
      </c>
      <c r="D155" s="9">
        <f t="shared" si="2"/>
        <v>0.24730968341474896</v>
      </c>
      <c r="E155">
        <v>0.48110546246614938</v>
      </c>
      <c r="F155">
        <v>0.35136563280660038</v>
      </c>
    </row>
    <row r="156" spans="1:6" x14ac:dyDescent="0.3">
      <c r="A156">
        <v>0.6</v>
      </c>
      <c r="B156">
        <v>60</v>
      </c>
      <c r="C156" s="8">
        <v>3.4475E-3</v>
      </c>
      <c r="D156" s="9">
        <f t="shared" si="2"/>
        <v>0.24730968341474896</v>
      </c>
      <c r="E156">
        <v>0</v>
      </c>
      <c r="F156">
        <v>86.83172107845688</v>
      </c>
    </row>
    <row r="157" spans="1:6" x14ac:dyDescent="0.3">
      <c r="A157">
        <v>0.6</v>
      </c>
      <c r="B157">
        <v>60</v>
      </c>
      <c r="C157" s="8">
        <v>3.4475E-3</v>
      </c>
      <c r="D157" s="9">
        <f t="shared" si="2"/>
        <v>0.24730968341474896</v>
      </c>
      <c r="E157">
        <v>3.0732971611204501E-2</v>
      </c>
      <c r="F157">
        <v>21.678121848230475</v>
      </c>
    </row>
    <row r="158" spans="1:6" x14ac:dyDescent="0.3">
      <c r="A158">
        <v>0.6</v>
      </c>
      <c r="B158">
        <v>60</v>
      </c>
      <c r="C158" s="8">
        <v>3.4475E-3</v>
      </c>
      <c r="D158" s="9">
        <f t="shared" si="2"/>
        <v>0.24730968341474896</v>
      </c>
      <c r="E158">
        <v>0.17402545174844544</v>
      </c>
      <c r="F158">
        <v>9.4591740598366769</v>
      </c>
    </row>
    <row r="159" spans="1:6" x14ac:dyDescent="0.3">
      <c r="A159">
        <v>0.6</v>
      </c>
      <c r="B159">
        <v>60</v>
      </c>
      <c r="C159" s="8">
        <v>3.4475E-3</v>
      </c>
      <c r="D159" s="9">
        <f t="shared" si="2"/>
        <v>0.24730968341474896</v>
      </c>
      <c r="E159">
        <v>0.17114423565989506</v>
      </c>
      <c r="F159">
        <v>5.2443873561647649</v>
      </c>
    </row>
    <row r="160" spans="1:6" x14ac:dyDescent="0.3">
      <c r="A160">
        <v>0.6</v>
      </c>
      <c r="B160">
        <v>60</v>
      </c>
      <c r="C160" s="8">
        <v>3.4475E-3</v>
      </c>
      <c r="D160" s="9">
        <f t="shared" si="2"/>
        <v>0.24730968341474896</v>
      </c>
      <c r="E160">
        <v>0.1943092130118404</v>
      </c>
      <c r="F160">
        <v>3.2378985670501028</v>
      </c>
    </row>
    <row r="161" spans="1:6" x14ac:dyDescent="0.3">
      <c r="A161">
        <v>0.6</v>
      </c>
      <c r="B161">
        <v>60</v>
      </c>
      <c r="C161" s="8">
        <v>3.4475E-3</v>
      </c>
      <c r="D161" s="9">
        <f t="shared" si="2"/>
        <v>0.24730968341474896</v>
      </c>
      <c r="E161">
        <v>0.22012490916525218</v>
      </c>
      <c r="F161">
        <v>2.1099253020403785</v>
      </c>
    </row>
    <row r="162" spans="1:6" x14ac:dyDescent="0.3">
      <c r="A162">
        <v>0.6</v>
      </c>
      <c r="B162">
        <v>60</v>
      </c>
      <c r="C162" s="8">
        <v>3.4475E-3</v>
      </c>
      <c r="D162" s="9">
        <f t="shared" si="2"/>
        <v>0.24730968341474896</v>
      </c>
      <c r="E162">
        <v>0.22453147494774109</v>
      </c>
      <c r="F162">
        <v>1.4468384775488932</v>
      </c>
    </row>
    <row r="163" spans="1:6" x14ac:dyDescent="0.3">
      <c r="A163">
        <v>0.6</v>
      </c>
      <c r="B163">
        <v>60</v>
      </c>
      <c r="C163" s="8">
        <v>2.2983299999999999E-3</v>
      </c>
      <c r="D163" s="9">
        <f t="shared" si="2"/>
        <v>0.24730968341474896</v>
      </c>
      <c r="E163">
        <v>0</v>
      </c>
      <c r="F163">
        <v>86.83172107845688</v>
      </c>
    </row>
    <row r="164" spans="1:6" x14ac:dyDescent="0.3">
      <c r="A164">
        <v>0.6</v>
      </c>
      <c r="B164">
        <v>60</v>
      </c>
      <c r="C164" s="8">
        <v>2.2983299999999999E-3</v>
      </c>
      <c r="D164" s="9">
        <f t="shared" si="2"/>
        <v>0.24730968341474896</v>
      </c>
      <c r="E164">
        <v>0</v>
      </c>
      <c r="F164">
        <v>21.70793026961422</v>
      </c>
    </row>
    <row r="165" spans="1:6" x14ac:dyDescent="0.3">
      <c r="A165">
        <v>0.6</v>
      </c>
      <c r="B165">
        <v>60</v>
      </c>
      <c r="C165" s="8">
        <v>2.2983299999999999E-3</v>
      </c>
      <c r="D165" s="9">
        <f t="shared" si="2"/>
        <v>0.24730968341474896</v>
      </c>
      <c r="E165">
        <v>0</v>
      </c>
      <c r="F165">
        <v>9.6479690087174319</v>
      </c>
    </row>
    <row r="166" spans="1:6" x14ac:dyDescent="0.3">
      <c r="A166">
        <v>0.6</v>
      </c>
      <c r="B166">
        <v>60</v>
      </c>
      <c r="C166" s="8">
        <v>2.2983299999999999E-3</v>
      </c>
      <c r="D166" s="9">
        <f t="shared" si="2"/>
        <v>0.24730968341474896</v>
      </c>
      <c r="E166">
        <v>3.0732971611204501E-2</v>
      </c>
      <c r="F166">
        <v>5.3971741460198119</v>
      </c>
    </row>
    <row r="167" spans="1:6" x14ac:dyDescent="0.3">
      <c r="A167">
        <v>0.6</v>
      </c>
      <c r="B167">
        <v>60</v>
      </c>
      <c r="C167" s="8">
        <v>2.2983299999999999E-3</v>
      </c>
      <c r="D167" s="9">
        <f t="shared" si="2"/>
        <v>0.24730968341474896</v>
      </c>
      <c r="E167">
        <v>5.6855997480728317E-2</v>
      </c>
      <c r="F167">
        <v>3.3712495209524151</v>
      </c>
    </row>
    <row r="168" spans="1:6" x14ac:dyDescent="0.3">
      <c r="A168">
        <v>0.6</v>
      </c>
      <c r="B168">
        <v>60</v>
      </c>
      <c r="C168" s="8">
        <v>2.2983299999999999E-3</v>
      </c>
      <c r="D168" s="9">
        <f t="shared" si="2"/>
        <v>0.24730968341474896</v>
      </c>
      <c r="E168">
        <v>6.9149186125210121E-2</v>
      </c>
      <c r="F168">
        <v>2.3821838307956154</v>
      </c>
    </row>
    <row r="169" spans="1:6" x14ac:dyDescent="0.3">
      <c r="A169">
        <v>0.6</v>
      </c>
      <c r="B169">
        <v>60</v>
      </c>
      <c r="C169" s="8">
        <v>2.2983299999999999E-3</v>
      </c>
      <c r="D169" s="9">
        <f t="shared" si="2"/>
        <v>0.24730968341474896</v>
      </c>
      <c r="E169">
        <v>7.8764215815001232E-2</v>
      </c>
      <c r="F169">
        <v>1.8130356456803267</v>
      </c>
    </row>
    <row r="170" spans="1:6" x14ac:dyDescent="0.3">
      <c r="A170">
        <f>100/60</f>
        <v>1.6666666666666667</v>
      </c>
      <c r="B170">
        <v>10</v>
      </c>
      <c r="C170" s="8">
        <v>2.5500000000000002E-3</v>
      </c>
      <c r="D170" s="9">
        <f t="shared" si="2"/>
        <v>1.6827292578205073</v>
      </c>
      <c r="E170">
        <v>0.47712938426394974</v>
      </c>
      <c r="F170">
        <v>19.897201822140001</v>
      </c>
    </row>
    <row r="171" spans="1:6" x14ac:dyDescent="0.3">
      <c r="A171">
        <f t="shared" ref="A171:A234" si="3">100/60</f>
        <v>1.6666666666666667</v>
      </c>
      <c r="B171">
        <v>10</v>
      </c>
      <c r="C171" s="8">
        <v>2.5500000000000002E-3</v>
      </c>
      <c r="D171" s="9">
        <f t="shared" si="2"/>
        <v>1.6827292578205073</v>
      </c>
      <c r="E171">
        <v>0.91946808425865334</v>
      </c>
      <c r="F171">
        <v>4.8377576947260943</v>
      </c>
    </row>
    <row r="172" spans="1:6" x14ac:dyDescent="0.3">
      <c r="A172">
        <f t="shared" si="3"/>
        <v>1.6666666666666667</v>
      </c>
      <c r="B172">
        <v>10</v>
      </c>
      <c r="C172" s="8">
        <v>2.5500000000000002E-3</v>
      </c>
      <c r="D172" s="9">
        <f t="shared" si="2"/>
        <v>1.6827292578205073</v>
      </c>
      <c r="E172">
        <v>1.2259574456782045</v>
      </c>
      <c r="F172">
        <v>1.9549169708175005</v>
      </c>
    </row>
    <row r="173" spans="1:6" x14ac:dyDescent="0.3">
      <c r="A173">
        <f t="shared" si="3"/>
        <v>1.6666666666666667</v>
      </c>
      <c r="B173">
        <v>10</v>
      </c>
      <c r="C173" s="8">
        <v>2.5500000000000002E-3</v>
      </c>
      <c r="D173" s="9">
        <f t="shared" si="2"/>
        <v>1.6827292578205073</v>
      </c>
      <c r="E173">
        <v>1.6451023561600768</v>
      </c>
      <c r="F173">
        <v>0.77738944342359384</v>
      </c>
    </row>
    <row r="174" spans="1:6" x14ac:dyDescent="0.3">
      <c r="A174">
        <f t="shared" si="3"/>
        <v>1.6666666666666667</v>
      </c>
      <c r="B174">
        <v>10</v>
      </c>
      <c r="C174" s="8">
        <v>2.5500000000000002E-3</v>
      </c>
      <c r="D174" s="9">
        <f t="shared" si="2"/>
        <v>1.6827292578205073</v>
      </c>
      <c r="E174">
        <v>1.7653787217766144</v>
      </c>
      <c r="F174">
        <v>0.25778272401359986</v>
      </c>
    </row>
    <row r="175" spans="1:6" x14ac:dyDescent="0.3">
      <c r="A175">
        <f t="shared" si="3"/>
        <v>1.6666666666666667</v>
      </c>
      <c r="B175">
        <v>10</v>
      </c>
      <c r="C175" s="8">
        <v>2.5500000000000002E-3</v>
      </c>
      <c r="D175" s="9">
        <f t="shared" si="2"/>
        <v>1.6827292578205073</v>
      </c>
      <c r="E175">
        <v>1.8820103490411355</v>
      </c>
      <c r="F175">
        <v>-5.9552044424999957E-2</v>
      </c>
    </row>
    <row r="176" spans="1:6" x14ac:dyDescent="0.3">
      <c r="A176">
        <f t="shared" si="3"/>
        <v>1.6666666666666667</v>
      </c>
      <c r="B176">
        <v>10</v>
      </c>
      <c r="C176" s="8">
        <v>2.5500000000000002E-3</v>
      </c>
      <c r="D176" s="9">
        <f t="shared" si="2"/>
        <v>1.6827292578205073</v>
      </c>
      <c r="E176">
        <v>1.8922886464345765</v>
      </c>
      <c r="F176">
        <v>-8.8642961767596729E-2</v>
      </c>
    </row>
    <row r="177" spans="1:6" x14ac:dyDescent="0.3">
      <c r="A177">
        <f t="shared" si="3"/>
        <v>1.6666666666666667</v>
      </c>
      <c r="B177">
        <v>10</v>
      </c>
      <c r="C177" s="8">
        <v>1.2750000000000001E-3</v>
      </c>
      <c r="D177" s="9">
        <f t="shared" si="2"/>
        <v>1.6827292578205073</v>
      </c>
      <c r="E177">
        <v>0.98407935504439659</v>
      </c>
      <c r="F177">
        <v>19.768927510209373</v>
      </c>
    </row>
    <row r="178" spans="1:6" x14ac:dyDescent="0.3">
      <c r="A178">
        <f t="shared" si="3"/>
        <v>1.6666666666666667</v>
      </c>
      <c r="B178">
        <v>10</v>
      </c>
      <c r="C178" s="8">
        <v>1.2750000000000001E-3</v>
      </c>
      <c r="D178" s="9">
        <f t="shared" si="2"/>
        <v>1.6827292578205073</v>
      </c>
      <c r="E178">
        <v>1.3667768820061059</v>
      </c>
      <c r="F178">
        <v>4.6606683085073435</v>
      </c>
    </row>
    <row r="179" spans="1:6" x14ac:dyDescent="0.3">
      <c r="A179">
        <f t="shared" si="3"/>
        <v>1.6666666666666667</v>
      </c>
      <c r="B179">
        <v>10</v>
      </c>
      <c r="C179" s="8">
        <v>1.2750000000000001E-3</v>
      </c>
      <c r="D179" s="9">
        <f t="shared" si="2"/>
        <v>1.6827292578205073</v>
      </c>
      <c r="E179">
        <v>1.752787807469649</v>
      </c>
      <c r="F179">
        <v>1.6831688875593753</v>
      </c>
    </row>
    <row r="180" spans="1:6" x14ac:dyDescent="0.3">
      <c r="A180">
        <f t="shared" si="3"/>
        <v>1.6666666666666667</v>
      </c>
      <c r="B180">
        <v>10</v>
      </c>
      <c r="C180" s="8">
        <v>1.2750000000000001E-3</v>
      </c>
      <c r="D180" s="9">
        <f t="shared" si="2"/>
        <v>1.6827292578205073</v>
      </c>
      <c r="E180">
        <v>2.718643470753964</v>
      </c>
      <c r="F180">
        <v>-3.3833936228905959E-2</v>
      </c>
    </row>
    <row r="181" spans="1:6" x14ac:dyDescent="0.3">
      <c r="A181">
        <f t="shared" si="3"/>
        <v>1.6666666666666667</v>
      </c>
      <c r="B181">
        <v>10</v>
      </c>
      <c r="C181" s="8">
        <v>1.2750000000000001E-3</v>
      </c>
      <c r="D181" s="9">
        <f t="shared" si="2"/>
        <v>1.6827292578205073</v>
      </c>
      <c r="E181">
        <v>2.6838527864847177</v>
      </c>
      <c r="F181">
        <v>-0.44986030368569979</v>
      </c>
    </row>
    <row r="182" spans="1:6" x14ac:dyDescent="0.3">
      <c r="A182">
        <f t="shared" si="3"/>
        <v>1.6666666666666667</v>
      </c>
      <c r="B182">
        <v>10</v>
      </c>
      <c r="C182" s="8">
        <v>1.2750000000000001E-3</v>
      </c>
      <c r="D182" s="9">
        <f t="shared" si="2"/>
        <v>1.6827292578205073</v>
      </c>
      <c r="E182">
        <v>2.9522380651331899</v>
      </c>
      <c r="F182">
        <v>-0.95546844680062548</v>
      </c>
    </row>
    <row r="183" spans="1:6" x14ac:dyDescent="0.3">
      <c r="A183">
        <f t="shared" si="3"/>
        <v>1.6666666666666667</v>
      </c>
      <c r="B183">
        <v>10</v>
      </c>
      <c r="C183" s="8">
        <v>1.2750000000000001E-3</v>
      </c>
      <c r="D183" s="9">
        <f t="shared" si="2"/>
        <v>1.6827292578205073</v>
      </c>
      <c r="E183">
        <v>2.9552809821246688</v>
      </c>
      <c r="F183">
        <v>-0.98095452192494748</v>
      </c>
    </row>
    <row r="184" spans="1:6" x14ac:dyDescent="0.3">
      <c r="A184">
        <f t="shared" si="3"/>
        <v>1.6666666666666667</v>
      </c>
      <c r="B184">
        <v>10</v>
      </c>
      <c r="C184" s="8">
        <v>6.3750000000000005E-4</v>
      </c>
      <c r="D184" s="9">
        <f t="shared" si="2"/>
        <v>1.6827292578205073</v>
      </c>
      <c r="E184">
        <v>0</v>
      </c>
      <c r="F184">
        <v>19.936623459420002</v>
      </c>
    </row>
    <row r="185" spans="1:6" x14ac:dyDescent="0.3">
      <c r="A185">
        <f t="shared" si="3"/>
        <v>1.6666666666666667</v>
      </c>
      <c r="B185">
        <v>10</v>
      </c>
      <c r="C185" s="8">
        <v>6.3750000000000005E-4</v>
      </c>
      <c r="D185" s="9">
        <f t="shared" si="2"/>
        <v>1.6827292578205073</v>
      </c>
      <c r="E185">
        <v>1.6351621606545779</v>
      </c>
      <c r="F185">
        <v>4.5211526703210936</v>
      </c>
    </row>
    <row r="186" spans="1:6" x14ac:dyDescent="0.3">
      <c r="A186">
        <f t="shared" si="3"/>
        <v>1.6666666666666667</v>
      </c>
      <c r="B186">
        <v>10</v>
      </c>
      <c r="C186" s="8">
        <v>6.3750000000000005E-4</v>
      </c>
      <c r="D186" s="9">
        <f t="shared" si="2"/>
        <v>1.6827292578205073</v>
      </c>
      <c r="E186">
        <v>2.276304770759261</v>
      </c>
      <c r="F186">
        <v>1.3179103841193753</v>
      </c>
    </row>
    <row r="187" spans="1:6" x14ac:dyDescent="0.3">
      <c r="A187">
        <f t="shared" si="3"/>
        <v>1.6666666666666667</v>
      </c>
      <c r="B187">
        <v>10</v>
      </c>
      <c r="C187" s="8">
        <v>6.3750000000000005E-4</v>
      </c>
      <c r="D187" s="9">
        <f t="shared" si="2"/>
        <v>1.6827292578205073</v>
      </c>
      <c r="E187">
        <v>2.9820586516496865</v>
      </c>
      <c r="F187">
        <v>-0.29386874003624974</v>
      </c>
    </row>
    <row r="188" spans="1:6" x14ac:dyDescent="0.3">
      <c r="A188">
        <f t="shared" si="3"/>
        <v>1.6666666666666667</v>
      </c>
      <c r="B188">
        <v>10</v>
      </c>
      <c r="C188" s="8">
        <v>6.3750000000000005E-4</v>
      </c>
      <c r="D188" s="9">
        <f t="shared" si="2"/>
        <v>1.6827292578205073</v>
      </c>
      <c r="E188">
        <v>3.4134631365883417</v>
      </c>
      <c r="F188">
        <v>-1.2202172704280252</v>
      </c>
    </row>
    <row r="189" spans="1:6" x14ac:dyDescent="0.3">
      <c r="A189">
        <f t="shared" si="3"/>
        <v>1.6666666666666667</v>
      </c>
      <c r="B189">
        <v>10</v>
      </c>
      <c r="C189" s="8">
        <v>6.3750000000000005E-4</v>
      </c>
      <c r="D189" s="9">
        <f t="shared" si="2"/>
        <v>1.6827292578205073</v>
      </c>
      <c r="E189">
        <v>4.1566584205494808</v>
      </c>
      <c r="F189">
        <v>-2.4381319851914065</v>
      </c>
    </row>
    <row r="190" spans="1:6" x14ac:dyDescent="0.3">
      <c r="A190">
        <f t="shared" si="3"/>
        <v>1.6666666666666667</v>
      </c>
      <c r="B190">
        <v>10</v>
      </c>
      <c r="C190" s="8">
        <v>6.3750000000000005E-4</v>
      </c>
      <c r="D190" s="9">
        <f t="shared" si="2"/>
        <v>1.6827292578205073</v>
      </c>
      <c r="E190">
        <v>4.1773164459027443</v>
      </c>
      <c r="F190">
        <v>-2.490318052996916</v>
      </c>
    </row>
    <row r="191" spans="1:6" x14ac:dyDescent="0.3">
      <c r="A191">
        <f t="shared" si="3"/>
        <v>1.6666666666666667</v>
      </c>
      <c r="B191">
        <v>10</v>
      </c>
      <c r="C191" s="8">
        <v>4.2499999999999998E-4</v>
      </c>
      <c r="D191" s="9">
        <f t="shared" si="2"/>
        <v>1.6827292578205073</v>
      </c>
      <c r="E191">
        <v>0</v>
      </c>
      <c r="F191">
        <v>19.936623459420002</v>
      </c>
    </row>
    <row r="192" spans="1:6" x14ac:dyDescent="0.3">
      <c r="A192">
        <f t="shared" si="3"/>
        <v>1.6666666666666667</v>
      </c>
      <c r="B192">
        <v>10</v>
      </c>
      <c r="C192" s="8">
        <v>4.2499999999999998E-4</v>
      </c>
      <c r="D192" s="9">
        <f t="shared" si="2"/>
        <v>1.6827292578205073</v>
      </c>
      <c r="E192">
        <v>1.3170759044786111</v>
      </c>
      <c r="F192">
        <v>4.6837669241010937</v>
      </c>
    </row>
    <row r="193" spans="1:6" x14ac:dyDescent="0.3">
      <c r="A193">
        <f t="shared" si="3"/>
        <v>1.6666666666666667</v>
      </c>
      <c r="B193">
        <v>10</v>
      </c>
      <c r="C193" s="8">
        <v>4.2499999999999998E-4</v>
      </c>
      <c r="D193" s="9">
        <f t="shared" si="2"/>
        <v>1.6827292578205073</v>
      </c>
      <c r="E193">
        <v>2.0642472666419498</v>
      </c>
      <c r="F193">
        <v>1.4773003373193752</v>
      </c>
    </row>
    <row r="194" spans="1:6" x14ac:dyDescent="0.3">
      <c r="A194">
        <f t="shared" si="3"/>
        <v>1.6666666666666667</v>
      </c>
      <c r="B194">
        <v>10</v>
      </c>
      <c r="C194" s="8">
        <v>4.2499999999999998E-4</v>
      </c>
      <c r="D194" s="9">
        <f t="shared" ref="D194:D257" si="4">(A194)/((9.81*B194*10^-2))^(1/2)</f>
        <v>1.6827292578205073</v>
      </c>
      <c r="E194">
        <v>2.8180454258089536</v>
      </c>
      <c r="F194">
        <v>-0.12913711316015614</v>
      </c>
    </row>
    <row r="195" spans="1:6" x14ac:dyDescent="0.3">
      <c r="A195">
        <f t="shared" si="3"/>
        <v>1.6666666666666667</v>
      </c>
      <c r="B195">
        <v>10</v>
      </c>
      <c r="C195" s="8">
        <v>4.2499999999999998E-4</v>
      </c>
      <c r="D195" s="9">
        <f t="shared" si="4"/>
        <v>1.6827292578205073</v>
      </c>
      <c r="E195">
        <v>3.475092348722435</v>
      </c>
      <c r="F195">
        <v>-1.2937324643243999</v>
      </c>
    </row>
    <row r="196" spans="1:6" x14ac:dyDescent="0.3">
      <c r="A196">
        <f t="shared" si="3"/>
        <v>1.6666666666666667</v>
      </c>
      <c r="B196">
        <v>10</v>
      </c>
      <c r="C196" s="8">
        <v>4.2499999999999998E-4</v>
      </c>
      <c r="D196" s="9">
        <f t="shared" si="4"/>
        <v>1.6827292578205073</v>
      </c>
      <c r="E196">
        <v>3.9396308186794191</v>
      </c>
      <c r="F196">
        <v>-2.133859055000626</v>
      </c>
    </row>
    <row r="197" spans="1:6" x14ac:dyDescent="0.3">
      <c r="A197">
        <f t="shared" si="3"/>
        <v>1.6666666666666667</v>
      </c>
      <c r="B197">
        <v>10</v>
      </c>
      <c r="C197" s="8">
        <v>4.2499999999999998E-4</v>
      </c>
      <c r="D197" s="9">
        <f t="shared" si="4"/>
        <v>1.6827292578205073</v>
      </c>
      <c r="E197">
        <v>3.9273915303359135</v>
      </c>
      <c r="F197">
        <v>-2.1395587037355757</v>
      </c>
    </row>
    <row r="198" spans="1:6" x14ac:dyDescent="0.3">
      <c r="A198">
        <f t="shared" si="3"/>
        <v>1.6666666666666667</v>
      </c>
      <c r="B198">
        <v>15</v>
      </c>
      <c r="C198" s="8">
        <v>3.7299999999999998E-3</v>
      </c>
      <c r="D198" s="9">
        <f t="shared" si="4"/>
        <v>1.3739426856374943</v>
      </c>
      <c r="E198">
        <v>0</v>
      </c>
      <c r="F198">
        <v>31.810235769046876</v>
      </c>
    </row>
    <row r="199" spans="1:6" x14ac:dyDescent="0.3">
      <c r="A199">
        <f t="shared" si="3"/>
        <v>1.6666666666666667</v>
      </c>
      <c r="B199">
        <v>15</v>
      </c>
      <c r="C199" s="8">
        <v>3.7299999999999998E-3</v>
      </c>
      <c r="D199" s="9">
        <f t="shared" si="4"/>
        <v>1.3739426856374943</v>
      </c>
      <c r="E199">
        <v>0.74080614925192212</v>
      </c>
      <c r="F199">
        <v>7.7387361454568167</v>
      </c>
    </row>
    <row r="200" spans="1:6" x14ac:dyDescent="0.3">
      <c r="A200">
        <f t="shared" si="3"/>
        <v>1.6666666666666667</v>
      </c>
      <c r="B200">
        <v>15</v>
      </c>
      <c r="C200" s="8">
        <v>3.7299999999999998E-3</v>
      </c>
      <c r="D200" s="9">
        <f t="shared" si="4"/>
        <v>1.3739426856374943</v>
      </c>
      <c r="E200">
        <v>0.88729324091190676</v>
      </c>
      <c r="F200">
        <v>3.2277244384580617</v>
      </c>
    </row>
    <row r="201" spans="1:6" x14ac:dyDescent="0.3">
      <c r="A201">
        <f t="shared" si="3"/>
        <v>1.6666666666666667</v>
      </c>
      <c r="B201">
        <v>15</v>
      </c>
      <c r="C201" s="8">
        <v>3.7299999999999998E-3</v>
      </c>
      <c r="D201" s="9">
        <f t="shared" si="4"/>
        <v>1.3739426856374943</v>
      </c>
      <c r="E201">
        <v>1.1133018966158832</v>
      </c>
      <c r="F201">
        <v>1.5052246788854298</v>
      </c>
    </row>
    <row r="202" spans="1:6" x14ac:dyDescent="0.3">
      <c r="A202">
        <f t="shared" si="3"/>
        <v>1.6666666666666667</v>
      </c>
      <c r="B202">
        <v>15</v>
      </c>
      <c r="C202" s="8">
        <v>3.7299999999999998E-3</v>
      </c>
      <c r="D202" s="9">
        <f t="shared" si="4"/>
        <v>1.3739426856374943</v>
      </c>
      <c r="E202">
        <v>1.4029278035550525</v>
      </c>
      <c r="F202">
        <v>0.50555047646668594</v>
      </c>
    </row>
    <row r="203" spans="1:6" x14ac:dyDescent="0.3">
      <c r="A203">
        <f t="shared" si="3"/>
        <v>1.6666666666666667</v>
      </c>
      <c r="B203">
        <v>15</v>
      </c>
      <c r="C203" s="8">
        <v>3.7299999999999998E-3</v>
      </c>
      <c r="D203" s="9">
        <f t="shared" si="4"/>
        <v>1.3739426856374943</v>
      </c>
      <c r="E203">
        <v>1.5011439107251754</v>
      </c>
      <c r="F203">
        <v>5.6277879157895722E-3</v>
      </c>
    </row>
    <row r="204" spans="1:6" x14ac:dyDescent="0.3">
      <c r="A204">
        <f t="shared" si="3"/>
        <v>1.6666666666666667</v>
      </c>
      <c r="B204">
        <v>15</v>
      </c>
      <c r="C204" s="8">
        <v>3.7299999999999998E-3</v>
      </c>
      <c r="D204" s="9">
        <f t="shared" si="4"/>
        <v>1.3739426856374943</v>
      </c>
      <c r="E204">
        <v>1.5808647769346911</v>
      </c>
      <c r="F204">
        <v>-0.32453197294301311</v>
      </c>
    </row>
    <row r="205" spans="1:6" x14ac:dyDescent="0.3">
      <c r="A205">
        <f t="shared" si="3"/>
        <v>1.6666666666666667</v>
      </c>
      <c r="B205">
        <v>15</v>
      </c>
      <c r="C205" s="8">
        <v>1.8649999999999999E-3</v>
      </c>
      <c r="D205" s="9">
        <f t="shared" si="4"/>
        <v>1.3739426856374943</v>
      </c>
      <c r="E205">
        <v>0</v>
      </c>
      <c r="F205">
        <v>31.810235769046876</v>
      </c>
    </row>
    <row r="206" spans="1:6" x14ac:dyDescent="0.3">
      <c r="A206">
        <f t="shared" si="3"/>
        <v>1.6666666666666667</v>
      </c>
      <c r="B206">
        <v>15</v>
      </c>
      <c r="C206" s="8">
        <v>1.8649999999999999E-3</v>
      </c>
      <c r="D206" s="9">
        <f t="shared" si="4"/>
        <v>1.3739426856374943</v>
      </c>
      <c r="E206">
        <v>1.3309398613678602</v>
      </c>
      <c r="F206">
        <v>7.2623799865306387</v>
      </c>
    </row>
    <row r="207" spans="1:6" x14ac:dyDescent="0.3">
      <c r="A207">
        <f t="shared" si="3"/>
        <v>1.6666666666666667</v>
      </c>
      <c r="B207">
        <v>15</v>
      </c>
      <c r="C207" s="8">
        <v>1.8649999999999999E-3</v>
      </c>
      <c r="D207" s="9">
        <f t="shared" si="4"/>
        <v>1.3739426856374943</v>
      </c>
      <c r="E207">
        <v>2.1289457321251093</v>
      </c>
      <c r="F207">
        <v>1.7685384192708038</v>
      </c>
    </row>
    <row r="208" spans="1:6" x14ac:dyDescent="0.3">
      <c r="A208">
        <f t="shared" si="3"/>
        <v>1.6666666666666667</v>
      </c>
      <c r="B208">
        <v>15</v>
      </c>
      <c r="C208" s="8">
        <v>1.8649999999999999E-3</v>
      </c>
      <c r="D208" s="9">
        <f t="shared" si="4"/>
        <v>1.3739426856374943</v>
      </c>
      <c r="E208">
        <v>2.2789206116817606</v>
      </c>
      <c r="F208">
        <v>-3.5360416128428065E-2</v>
      </c>
    </row>
    <row r="209" spans="1:6" x14ac:dyDescent="0.3">
      <c r="A209">
        <f t="shared" si="3"/>
        <v>1.6666666666666667</v>
      </c>
      <c r="B209">
        <v>15</v>
      </c>
      <c r="C209" s="8">
        <v>1.8649999999999999E-3</v>
      </c>
      <c r="D209" s="9">
        <f t="shared" si="4"/>
        <v>1.3739426856374943</v>
      </c>
      <c r="E209">
        <v>2.4408934816029433</v>
      </c>
      <c r="F209">
        <v>-1.0489506066586771</v>
      </c>
    </row>
    <row r="210" spans="1:6" x14ac:dyDescent="0.3">
      <c r="A210">
        <f t="shared" si="3"/>
        <v>1.6666666666666667</v>
      </c>
      <c r="B210">
        <v>15</v>
      </c>
      <c r="C210" s="8">
        <v>1.8649999999999999E-3</v>
      </c>
      <c r="D210" s="9">
        <f t="shared" si="4"/>
        <v>1.3739426856374943</v>
      </c>
      <c r="E210">
        <v>2.5990995405957262</v>
      </c>
      <c r="F210">
        <v>-1.7484113602293909</v>
      </c>
    </row>
    <row r="211" spans="1:6" x14ac:dyDescent="0.3">
      <c r="A211">
        <f t="shared" si="3"/>
        <v>1.6666666666666667</v>
      </c>
      <c r="B211">
        <v>15</v>
      </c>
      <c r="C211" s="8">
        <v>1.8649999999999999E-3</v>
      </c>
      <c r="D211" s="9">
        <f t="shared" si="4"/>
        <v>1.3739426856374943</v>
      </c>
      <c r="E211">
        <v>2.7372159413037123</v>
      </c>
      <c r="F211">
        <v>-2.2700055957436702</v>
      </c>
    </row>
    <row r="212" spans="1:6" x14ac:dyDescent="0.3">
      <c r="A212">
        <f t="shared" si="3"/>
        <v>1.6666666666666667</v>
      </c>
      <c r="B212">
        <v>15</v>
      </c>
      <c r="C212" s="8">
        <v>9.3249999999999995E-4</v>
      </c>
      <c r="D212" s="9">
        <f t="shared" si="4"/>
        <v>1.3739426856374943</v>
      </c>
      <c r="E212">
        <v>0</v>
      </c>
      <c r="F212">
        <v>31.810235769046876</v>
      </c>
    </row>
    <row r="213" spans="1:6" x14ac:dyDescent="0.3">
      <c r="A213">
        <f t="shared" si="3"/>
        <v>1.6666666666666667</v>
      </c>
      <c r="B213">
        <v>15</v>
      </c>
      <c r="C213" s="8">
        <v>9.3249999999999995E-4</v>
      </c>
      <c r="D213" s="9">
        <f t="shared" si="4"/>
        <v>1.3739426856374943</v>
      </c>
      <c r="E213">
        <v>1.2388622608958699</v>
      </c>
      <c r="F213">
        <v>7.3545731091722999</v>
      </c>
    </row>
    <row r="214" spans="1:6" x14ac:dyDescent="0.3">
      <c r="A214">
        <f t="shared" si="3"/>
        <v>1.6666666666666667</v>
      </c>
      <c r="B214">
        <v>15</v>
      </c>
      <c r="C214" s="8">
        <v>9.3249999999999995E-4</v>
      </c>
      <c r="D214" s="9">
        <f t="shared" si="4"/>
        <v>1.3739426856374943</v>
      </c>
      <c r="E214">
        <v>2.1345261927597754</v>
      </c>
      <c r="F214">
        <v>1.7592684497780613</v>
      </c>
    </row>
    <row r="215" spans="1:6" x14ac:dyDescent="0.3">
      <c r="A215">
        <f t="shared" si="3"/>
        <v>1.6666666666666667</v>
      </c>
      <c r="B215">
        <v>15</v>
      </c>
      <c r="C215" s="8">
        <v>9.3249999999999995E-4</v>
      </c>
      <c r="D215" s="9">
        <f t="shared" si="4"/>
        <v>1.3739426856374943</v>
      </c>
      <c r="E215">
        <v>2.7581426686837101</v>
      </c>
      <c r="F215">
        <v>-0.97586096727315796</v>
      </c>
    </row>
    <row r="216" spans="1:6" x14ac:dyDescent="0.3">
      <c r="A216">
        <f t="shared" si="3"/>
        <v>1.6666666666666667</v>
      </c>
      <c r="B216">
        <v>15</v>
      </c>
      <c r="C216" s="8">
        <v>9.3249999999999995E-4</v>
      </c>
      <c r="D216" s="9">
        <f t="shared" si="4"/>
        <v>1.3739426856374943</v>
      </c>
      <c r="E216">
        <v>3.1205935869052714</v>
      </c>
      <c r="F216">
        <v>-2.5217822878755469</v>
      </c>
    </row>
    <row r="217" spans="1:6" x14ac:dyDescent="0.3">
      <c r="A217">
        <f t="shared" si="3"/>
        <v>1.6666666666666667</v>
      </c>
      <c r="B217">
        <v>15</v>
      </c>
      <c r="C217" s="8">
        <v>9.3249999999999995E-4</v>
      </c>
      <c r="D217" s="9">
        <f t="shared" si="4"/>
        <v>1.3739426856374943</v>
      </c>
      <c r="E217">
        <v>3.091575191605008</v>
      </c>
      <c r="F217">
        <v>-2.8403377806315797</v>
      </c>
    </row>
    <row r="218" spans="1:6" x14ac:dyDescent="0.3">
      <c r="A218">
        <f t="shared" si="3"/>
        <v>1.6666666666666667</v>
      </c>
      <c r="B218">
        <v>15</v>
      </c>
      <c r="C218" s="8">
        <v>9.3249999999999995E-4</v>
      </c>
      <c r="D218" s="9">
        <f t="shared" si="4"/>
        <v>1.3739426856374943</v>
      </c>
      <c r="E218">
        <v>3.306422926039652</v>
      </c>
      <c r="F218">
        <v>-3.61034126326367</v>
      </c>
    </row>
    <row r="219" spans="1:6" x14ac:dyDescent="0.3">
      <c r="A219">
        <f t="shared" si="3"/>
        <v>1.6666666666666667</v>
      </c>
      <c r="B219">
        <v>15</v>
      </c>
      <c r="C219" s="8">
        <v>6.2166999999999995E-4</v>
      </c>
      <c r="D219" s="9">
        <f t="shared" si="4"/>
        <v>1.3739426856374943</v>
      </c>
      <c r="E219">
        <v>0</v>
      </c>
      <c r="F219">
        <v>31.810235769046876</v>
      </c>
    </row>
    <row r="220" spans="1:6" x14ac:dyDescent="0.3">
      <c r="A220">
        <f t="shared" si="3"/>
        <v>1.6666666666666667</v>
      </c>
      <c r="B220">
        <v>15</v>
      </c>
      <c r="C220" s="8">
        <v>6.2166999999999995E-4</v>
      </c>
      <c r="D220" s="9">
        <f t="shared" si="4"/>
        <v>1.3739426856374943</v>
      </c>
      <c r="E220">
        <v>1.1928234606598747</v>
      </c>
      <c r="F220">
        <v>7.3981921680117191</v>
      </c>
    </row>
    <row r="221" spans="1:6" x14ac:dyDescent="0.3">
      <c r="A221">
        <f t="shared" si="3"/>
        <v>1.6666666666666667</v>
      </c>
      <c r="B221">
        <v>15</v>
      </c>
      <c r="C221" s="8">
        <v>6.2166999999999995E-4</v>
      </c>
      <c r="D221" s="9">
        <f t="shared" si="4"/>
        <v>1.3739426856374943</v>
      </c>
      <c r="E221">
        <v>1.5764801292931676</v>
      </c>
      <c r="F221">
        <v>2.5661440666201667</v>
      </c>
    </row>
    <row r="222" spans="1:6" x14ac:dyDescent="0.3">
      <c r="A222">
        <f t="shared" si="3"/>
        <v>1.6666666666666667</v>
      </c>
      <c r="B222">
        <v>15</v>
      </c>
      <c r="C222" s="8">
        <v>6.2166999999999995E-4</v>
      </c>
      <c r="D222" s="9">
        <f t="shared" si="4"/>
        <v>1.3739426856374943</v>
      </c>
      <c r="E222">
        <v>2.4442417579837432</v>
      </c>
      <c r="F222">
        <v>-0.33959328454670346</v>
      </c>
    </row>
    <row r="223" spans="1:6" x14ac:dyDescent="0.3">
      <c r="A223">
        <f t="shared" si="3"/>
        <v>1.6666666666666667</v>
      </c>
      <c r="B223">
        <v>15</v>
      </c>
      <c r="C223" s="8">
        <v>6.2166999999999995E-4</v>
      </c>
      <c r="D223" s="9">
        <f t="shared" si="4"/>
        <v>1.3739426856374943</v>
      </c>
      <c r="E223">
        <v>2.7690245669213085</v>
      </c>
      <c r="F223">
        <v>-1.7150255790190803</v>
      </c>
    </row>
    <row r="224" spans="1:6" x14ac:dyDescent="0.3">
      <c r="A224">
        <f t="shared" si="3"/>
        <v>1.6666666666666667</v>
      </c>
      <c r="B224">
        <v>15</v>
      </c>
      <c r="C224" s="8">
        <v>6.2166999999999995E-4</v>
      </c>
      <c r="D224" s="9">
        <f t="shared" si="4"/>
        <v>1.3739426856374943</v>
      </c>
      <c r="E224">
        <v>2.949273445421023</v>
      </c>
      <c r="F224">
        <v>-2.5054085654675906</v>
      </c>
    </row>
    <row r="225" spans="1:6" x14ac:dyDescent="0.3">
      <c r="A225">
        <f t="shared" si="3"/>
        <v>1.6666666666666667</v>
      </c>
      <c r="B225">
        <v>15</v>
      </c>
      <c r="C225" s="8">
        <v>6.2166999999999995E-4</v>
      </c>
      <c r="D225" s="9">
        <f t="shared" si="4"/>
        <v>1.3739426856374943</v>
      </c>
      <c r="E225">
        <v>3.17847093577338</v>
      </c>
      <c r="F225">
        <v>-3.2870494057571671</v>
      </c>
    </row>
    <row r="226" spans="1:6" x14ac:dyDescent="0.3">
      <c r="A226">
        <f t="shared" si="3"/>
        <v>1.6666666666666667</v>
      </c>
      <c r="B226">
        <v>20</v>
      </c>
      <c r="C226" s="8">
        <v>4.8399999999999997E-3</v>
      </c>
      <c r="D226" s="9">
        <f t="shared" si="4"/>
        <v>1.189869269105887</v>
      </c>
      <c r="E226">
        <v>0</v>
      </c>
      <c r="F226">
        <v>38.591876034869706</v>
      </c>
    </row>
    <row r="227" spans="1:6" x14ac:dyDescent="0.3">
      <c r="A227">
        <f t="shared" si="3"/>
        <v>1.6666666666666667</v>
      </c>
      <c r="B227">
        <v>20</v>
      </c>
      <c r="C227" s="8">
        <v>4.8399999999999997E-3</v>
      </c>
      <c r="D227" s="9">
        <f t="shared" si="4"/>
        <v>1.189869269105887</v>
      </c>
      <c r="E227">
        <v>0.45984208773264745</v>
      </c>
      <c r="F227">
        <v>9.5015020182015864</v>
      </c>
    </row>
    <row r="228" spans="1:6" x14ac:dyDescent="0.3">
      <c r="A228">
        <f t="shared" si="3"/>
        <v>1.6666666666666667</v>
      </c>
      <c r="B228">
        <v>20</v>
      </c>
      <c r="C228" s="8">
        <v>4.8399999999999997E-3</v>
      </c>
      <c r="D228" s="9">
        <f t="shared" si="4"/>
        <v>1.189869269105887</v>
      </c>
      <c r="E228">
        <v>0.61542775651436998</v>
      </c>
      <c r="F228">
        <v>4.0256389974514928</v>
      </c>
    </row>
    <row r="229" spans="1:6" x14ac:dyDescent="0.3">
      <c r="A229">
        <f t="shared" si="3"/>
        <v>1.6666666666666667</v>
      </c>
      <c r="B229">
        <v>20</v>
      </c>
      <c r="C229" s="8">
        <v>4.8399999999999997E-3</v>
      </c>
      <c r="D229" s="9">
        <f t="shared" si="4"/>
        <v>1.189869269105887</v>
      </c>
      <c r="E229">
        <v>0.7554548584179207</v>
      </c>
      <c r="F229">
        <v>2.0166808338993563</v>
      </c>
    </row>
    <row r="230" spans="1:6" x14ac:dyDescent="0.3">
      <c r="A230">
        <f t="shared" si="3"/>
        <v>1.6666666666666667</v>
      </c>
      <c r="B230">
        <v>20</v>
      </c>
      <c r="C230" s="8">
        <v>4.8399999999999997E-3</v>
      </c>
      <c r="D230" s="9">
        <f t="shared" si="4"/>
        <v>1.189869269105887</v>
      </c>
      <c r="E230">
        <v>0.91415224057527789</v>
      </c>
      <c r="F230">
        <v>0.96483391786561834</v>
      </c>
    </row>
    <row r="231" spans="1:6" x14ac:dyDescent="0.3">
      <c r="A231">
        <f t="shared" si="3"/>
        <v>1.6666666666666667</v>
      </c>
      <c r="B231">
        <v>20</v>
      </c>
      <c r="C231" s="8">
        <v>4.8399999999999997E-3</v>
      </c>
      <c r="D231" s="9">
        <f t="shared" si="4"/>
        <v>1.189869269105887</v>
      </c>
      <c r="E231">
        <v>1.1156068694867232</v>
      </c>
      <c r="F231">
        <v>0.20992228989822315</v>
      </c>
    </row>
    <row r="232" spans="1:6" x14ac:dyDescent="0.3">
      <c r="A232">
        <f t="shared" si="3"/>
        <v>1.6666666666666667</v>
      </c>
      <c r="B232">
        <v>20</v>
      </c>
      <c r="C232" s="8">
        <v>4.8399999999999997E-3</v>
      </c>
      <c r="D232" s="9">
        <f t="shared" si="4"/>
        <v>1.189869269105887</v>
      </c>
      <c r="E232">
        <v>1.4580485615464824</v>
      </c>
      <c r="F232">
        <v>-0.79041952290137274</v>
      </c>
    </row>
    <row r="233" spans="1:6" x14ac:dyDescent="0.3">
      <c r="A233">
        <f t="shared" si="3"/>
        <v>1.6666666666666667</v>
      </c>
      <c r="B233">
        <v>20</v>
      </c>
      <c r="C233" s="8">
        <v>2.4199999999999998E-3</v>
      </c>
      <c r="D233" s="9">
        <f t="shared" si="4"/>
        <v>1.189869269105887</v>
      </c>
      <c r="E233">
        <v>0.39415036091369765</v>
      </c>
      <c r="F233">
        <v>38.484267633674392</v>
      </c>
    </row>
    <row r="234" spans="1:6" x14ac:dyDescent="0.3">
      <c r="A234">
        <f t="shared" si="3"/>
        <v>1.6666666666666667</v>
      </c>
      <c r="B234">
        <v>20</v>
      </c>
      <c r="C234" s="8">
        <v>2.4199999999999998E-3</v>
      </c>
      <c r="D234" s="9">
        <f t="shared" si="4"/>
        <v>1.189869269105887</v>
      </c>
      <c r="E234">
        <v>0.77101342529609296</v>
      </c>
      <c r="F234">
        <v>9.2362070678862747</v>
      </c>
    </row>
    <row r="235" spans="1:6" x14ac:dyDescent="0.3">
      <c r="A235">
        <f t="shared" ref="A235:A298" si="5">100/60</f>
        <v>1.6666666666666667</v>
      </c>
      <c r="B235">
        <v>20</v>
      </c>
      <c r="C235" s="8">
        <v>2.4199999999999998E-3</v>
      </c>
      <c r="D235" s="9">
        <f t="shared" si="4"/>
        <v>1.189869269105887</v>
      </c>
      <c r="E235">
        <v>1.1870610284827738</v>
      </c>
      <c r="F235">
        <v>3.3119444283801882</v>
      </c>
    </row>
    <row r="236" spans="1:6" x14ac:dyDescent="0.3">
      <c r="A236">
        <f t="shared" si="5"/>
        <v>1.6666666666666667</v>
      </c>
      <c r="B236">
        <v>20</v>
      </c>
      <c r="C236" s="8">
        <v>2.4199999999999998E-3</v>
      </c>
      <c r="D236" s="9">
        <f t="shared" si="4"/>
        <v>1.189869269105887</v>
      </c>
      <c r="E236">
        <v>1.4434892603637612</v>
      </c>
      <c r="F236">
        <v>0.96871609945156889</v>
      </c>
    </row>
    <row r="237" spans="1:6" x14ac:dyDescent="0.3">
      <c r="A237">
        <f t="shared" si="5"/>
        <v>1.6666666666666667</v>
      </c>
      <c r="B237">
        <v>20</v>
      </c>
      <c r="C237" s="8">
        <v>2.4199999999999998E-3</v>
      </c>
      <c r="D237" s="9">
        <f t="shared" si="4"/>
        <v>1.189869269105887</v>
      </c>
      <c r="E237">
        <v>2.1685184768865891</v>
      </c>
      <c r="F237">
        <v>-1.7135560793244793</v>
      </c>
    </row>
    <row r="238" spans="1:6" x14ac:dyDescent="0.3">
      <c r="A238">
        <f t="shared" si="5"/>
        <v>1.6666666666666667</v>
      </c>
      <c r="B238">
        <v>20</v>
      </c>
      <c r="C238" s="8">
        <v>2.4199999999999998E-3</v>
      </c>
      <c r="D238" s="9">
        <f t="shared" si="4"/>
        <v>1.189869269105887</v>
      </c>
      <c r="E238">
        <v>2.4789983225887826</v>
      </c>
      <c r="F238">
        <v>-3.184720538127789</v>
      </c>
    </row>
    <row r="239" spans="1:6" x14ac:dyDescent="0.3">
      <c r="A239">
        <f t="shared" si="5"/>
        <v>1.6666666666666667</v>
      </c>
      <c r="B239">
        <v>20</v>
      </c>
      <c r="C239" s="8">
        <v>2.4199999999999998E-3</v>
      </c>
      <c r="D239" s="9">
        <f t="shared" si="4"/>
        <v>1.189869269105887</v>
      </c>
      <c r="E239">
        <v>2.714701669087991</v>
      </c>
      <c r="F239">
        <v>-4.4303568625335545</v>
      </c>
    </row>
    <row r="240" spans="1:6" x14ac:dyDescent="0.3">
      <c r="A240">
        <f t="shared" si="5"/>
        <v>1.6666666666666667</v>
      </c>
      <c r="B240">
        <v>20</v>
      </c>
      <c r="C240" s="8">
        <v>1.2099999999999999E-3</v>
      </c>
      <c r="D240" s="9">
        <f t="shared" si="4"/>
        <v>1.189869269105887</v>
      </c>
      <c r="E240">
        <v>0.51861889593907595</v>
      </c>
      <c r="F240">
        <v>38.405573401221311</v>
      </c>
    </row>
    <row r="241" spans="1:6" x14ac:dyDescent="0.3">
      <c r="A241">
        <f t="shared" si="5"/>
        <v>1.6666666666666667</v>
      </c>
      <c r="B241">
        <v>20</v>
      </c>
      <c r="C241" s="8">
        <v>1.2099999999999999E-3</v>
      </c>
      <c r="D241" s="9">
        <f t="shared" si="4"/>
        <v>1.189869269105887</v>
      </c>
      <c r="E241">
        <v>0.95425876852789959</v>
      </c>
      <c r="F241">
        <v>9.0172228122374261</v>
      </c>
    </row>
    <row r="242" spans="1:6" x14ac:dyDescent="0.3">
      <c r="A242">
        <f t="shared" si="5"/>
        <v>1.6666666666666667</v>
      </c>
      <c r="B242">
        <v>20</v>
      </c>
      <c r="C242" s="8">
        <v>1.2099999999999999E-3</v>
      </c>
      <c r="D242" s="9">
        <f t="shared" si="4"/>
        <v>1.189869269105887</v>
      </c>
      <c r="E242">
        <v>1.3184444821206727</v>
      </c>
      <c r="F242">
        <v>3.0839320851066914</v>
      </c>
    </row>
    <row r="243" spans="1:6" x14ac:dyDescent="0.3">
      <c r="A243">
        <f t="shared" si="5"/>
        <v>1.6666666666666667</v>
      </c>
      <c r="B243">
        <v>20</v>
      </c>
      <c r="C243" s="8">
        <v>1.2099999999999999E-3</v>
      </c>
      <c r="D243" s="9">
        <f t="shared" si="4"/>
        <v>1.189869269105887</v>
      </c>
      <c r="E243">
        <v>1.8514694585025013</v>
      </c>
      <c r="F243">
        <v>3.7583816593950603E-2</v>
      </c>
    </row>
    <row r="244" spans="1:6" x14ac:dyDescent="0.3">
      <c r="A244">
        <f t="shared" si="5"/>
        <v>1.6666666666666667</v>
      </c>
      <c r="B244">
        <v>20</v>
      </c>
      <c r="C244" s="8">
        <v>1.2099999999999999E-3</v>
      </c>
      <c r="D244" s="9">
        <f t="shared" si="4"/>
        <v>1.189869269105887</v>
      </c>
      <c r="E244">
        <v>2.4658599772249925</v>
      </c>
      <c r="F244">
        <v>-2.6680416043128496</v>
      </c>
    </row>
    <row r="245" spans="1:6" x14ac:dyDescent="0.3">
      <c r="A245">
        <f t="shared" si="5"/>
        <v>1.6666666666666667</v>
      </c>
      <c r="B245">
        <v>20</v>
      </c>
      <c r="C245" s="8">
        <v>1.2099999999999999E-3</v>
      </c>
      <c r="D245" s="9">
        <f t="shared" si="4"/>
        <v>1.189869269105887</v>
      </c>
      <c r="E245">
        <v>2.6161442084037825</v>
      </c>
      <c r="F245">
        <v>-3.6687384603983353</v>
      </c>
    </row>
    <row r="246" spans="1:6" x14ac:dyDescent="0.3">
      <c r="A246">
        <f t="shared" si="5"/>
        <v>1.6666666666666667</v>
      </c>
      <c r="B246">
        <v>20</v>
      </c>
      <c r="C246" s="8">
        <v>1.2099999999999999E-3</v>
      </c>
      <c r="D246" s="9">
        <f t="shared" si="4"/>
        <v>1.189869269105887</v>
      </c>
      <c r="E246">
        <v>2.6185983265780304</v>
      </c>
      <c r="F246">
        <v>-4.0432285133035828</v>
      </c>
    </row>
    <row r="247" spans="1:6" x14ac:dyDescent="0.3">
      <c r="A247">
        <f t="shared" si="5"/>
        <v>1.6666666666666667</v>
      </c>
      <c r="B247">
        <v>20</v>
      </c>
      <c r="C247" s="8">
        <v>8.0667E-4</v>
      </c>
      <c r="D247" s="9">
        <f t="shared" si="4"/>
        <v>1.189869269105887</v>
      </c>
      <c r="E247">
        <v>0</v>
      </c>
      <c r="F247">
        <v>38.591876034869706</v>
      </c>
    </row>
    <row r="248" spans="1:6" x14ac:dyDescent="0.3">
      <c r="A248">
        <f t="shared" si="5"/>
        <v>1.6666666666666667</v>
      </c>
      <c r="B248">
        <v>20</v>
      </c>
      <c r="C248" s="8">
        <v>8.0667E-4</v>
      </c>
      <c r="D248" s="9">
        <f t="shared" si="4"/>
        <v>1.189869269105887</v>
      </c>
      <c r="E248">
        <v>0.85744990795260556</v>
      </c>
      <c r="F248">
        <v>9.1387086896102812</v>
      </c>
    </row>
    <row r="249" spans="1:6" x14ac:dyDescent="0.3">
      <c r="A249">
        <f t="shared" si="5"/>
        <v>1.6666666666666667</v>
      </c>
      <c r="B249">
        <v>20</v>
      </c>
      <c r="C249" s="8">
        <v>8.0667E-4</v>
      </c>
      <c r="D249" s="9">
        <f t="shared" si="4"/>
        <v>1.189869269105887</v>
      </c>
      <c r="E249">
        <v>1.1985858928369753</v>
      </c>
      <c r="F249">
        <v>3.2929001591627971</v>
      </c>
    </row>
    <row r="250" spans="1:6" x14ac:dyDescent="0.3">
      <c r="A250">
        <f t="shared" si="5"/>
        <v>1.6666666666666667</v>
      </c>
      <c r="B250">
        <v>20</v>
      </c>
      <c r="C250" s="8">
        <v>8.0667E-4</v>
      </c>
      <c r="D250" s="9">
        <f t="shared" si="4"/>
        <v>1.189869269105887</v>
      </c>
      <c r="E250">
        <v>1.6855114118019967</v>
      </c>
      <c r="F250">
        <v>0.44417068426820444</v>
      </c>
    </row>
    <row r="251" spans="1:6" x14ac:dyDescent="0.3">
      <c r="A251">
        <f t="shared" si="5"/>
        <v>1.6666666666666667</v>
      </c>
      <c r="B251">
        <v>20</v>
      </c>
      <c r="C251" s="8">
        <v>8.0667E-4</v>
      </c>
      <c r="D251" s="9">
        <f t="shared" si="4"/>
        <v>1.189869269105887</v>
      </c>
      <c r="E251">
        <v>2.1090501768189087</v>
      </c>
      <c r="F251">
        <v>-1.5373565132970828</v>
      </c>
    </row>
    <row r="252" spans="1:6" x14ac:dyDescent="0.3">
      <c r="A252">
        <f t="shared" si="5"/>
        <v>1.6666666666666667</v>
      </c>
      <c r="B252">
        <v>20</v>
      </c>
      <c r="C252" s="8">
        <v>8.0667E-4</v>
      </c>
      <c r="D252" s="9">
        <f t="shared" si="4"/>
        <v>1.189869269105887</v>
      </c>
      <c r="E252">
        <v>1.7771340834179001</v>
      </c>
      <c r="F252">
        <v>-1.1155772478923249</v>
      </c>
    </row>
    <row r="253" spans="1:6" x14ac:dyDescent="0.3">
      <c r="A253">
        <f t="shared" si="5"/>
        <v>1.6666666666666667</v>
      </c>
      <c r="B253">
        <v>20</v>
      </c>
      <c r="C253" s="8">
        <v>8.0667E-4</v>
      </c>
      <c r="D253" s="9">
        <f t="shared" si="4"/>
        <v>1.189869269105887</v>
      </c>
      <c r="E253">
        <v>2.0374459900028628</v>
      </c>
      <c r="F253">
        <v>-2.1605857770190786</v>
      </c>
    </row>
    <row r="254" spans="1:6" x14ac:dyDescent="0.3">
      <c r="A254">
        <f t="shared" si="5"/>
        <v>1.6666666666666667</v>
      </c>
      <c r="B254">
        <v>30</v>
      </c>
      <c r="C254" s="8">
        <v>6.9100000000000003E-3</v>
      </c>
      <c r="D254" s="9">
        <f t="shared" si="4"/>
        <v>0.97152418997592926</v>
      </c>
      <c r="E254">
        <v>0.19277954919755552</v>
      </c>
      <c r="F254">
        <v>42.122043921814218</v>
      </c>
    </row>
    <row r="255" spans="1:6" x14ac:dyDescent="0.3">
      <c r="A255">
        <f t="shared" si="5"/>
        <v>1.6666666666666667</v>
      </c>
      <c r="B255">
        <v>30</v>
      </c>
      <c r="C255" s="8">
        <v>6.9100000000000003E-3</v>
      </c>
      <c r="D255" s="9">
        <f t="shared" si="4"/>
        <v>0.97152418997592926</v>
      </c>
      <c r="E255">
        <v>0.37592012093523319</v>
      </c>
      <c r="F255">
        <v>10.32475102976529</v>
      </c>
    </row>
    <row r="256" spans="1:6" x14ac:dyDescent="0.3">
      <c r="A256">
        <f t="shared" si="5"/>
        <v>1.6666666666666667</v>
      </c>
      <c r="B256">
        <v>30</v>
      </c>
      <c r="C256" s="8">
        <v>6.9100000000000003E-3</v>
      </c>
      <c r="D256" s="9">
        <f t="shared" si="4"/>
        <v>0.97152418997592926</v>
      </c>
      <c r="E256">
        <v>0.58958412129585713</v>
      </c>
      <c r="F256">
        <v>4.1449157786856201</v>
      </c>
    </row>
    <row r="257" spans="1:6" x14ac:dyDescent="0.3">
      <c r="A257">
        <f t="shared" si="5"/>
        <v>1.6666666666666667</v>
      </c>
      <c r="B257">
        <v>30</v>
      </c>
      <c r="C257" s="8">
        <v>6.9100000000000003E-3</v>
      </c>
      <c r="D257" s="9">
        <f t="shared" si="4"/>
        <v>0.97152418997592926</v>
      </c>
      <c r="E257">
        <v>0.91449798650590375</v>
      </c>
      <c r="F257">
        <v>1.3328698476012399</v>
      </c>
    </row>
    <row r="258" spans="1:6" x14ac:dyDescent="0.3">
      <c r="A258">
        <f t="shared" si="5"/>
        <v>1.6666666666666667</v>
      </c>
      <c r="B258">
        <v>30</v>
      </c>
      <c r="C258" s="8">
        <v>6.9100000000000003E-3</v>
      </c>
      <c r="D258" s="9">
        <f t="shared" ref="D258:D321" si="6">(A258)/((9.81*B258*10^-2))^(1/2)</f>
        <v>0.97152418997592926</v>
      </c>
      <c r="E258">
        <v>1.1682440681371862</v>
      </c>
      <c r="F258">
        <v>-0.43982358501849894</v>
      </c>
    </row>
    <row r="259" spans="1:6" x14ac:dyDescent="0.3">
      <c r="A259">
        <f t="shared" si="5"/>
        <v>1.6666666666666667</v>
      </c>
      <c r="B259">
        <v>30</v>
      </c>
      <c r="C259" s="8">
        <v>6.9100000000000003E-3</v>
      </c>
      <c r="D259" s="9">
        <f t="shared" si="6"/>
        <v>0.97152418997592926</v>
      </c>
      <c r="E259">
        <v>1.2707385284605532</v>
      </c>
      <c r="F259">
        <v>-1.3449519765699169</v>
      </c>
    </row>
    <row r="260" spans="1:6" x14ac:dyDescent="0.3">
      <c r="A260">
        <f t="shared" si="5"/>
        <v>1.6666666666666667</v>
      </c>
      <c r="B260">
        <v>30</v>
      </c>
      <c r="C260" s="8">
        <v>6.9100000000000003E-3</v>
      </c>
      <c r="D260" s="9">
        <f t="shared" si="6"/>
        <v>0.97152418997592926</v>
      </c>
      <c r="E260">
        <v>1.4403386318617359</v>
      </c>
      <c r="F260">
        <v>-2.3723954934591607</v>
      </c>
    </row>
    <row r="261" spans="1:6" x14ac:dyDescent="0.3">
      <c r="A261">
        <f t="shared" si="5"/>
        <v>1.6666666666666667</v>
      </c>
      <c r="B261">
        <v>30</v>
      </c>
      <c r="C261" s="8">
        <v>3.4550000000000002E-3</v>
      </c>
      <c r="D261" s="9">
        <f t="shared" si="6"/>
        <v>0.97152418997592926</v>
      </c>
      <c r="E261">
        <v>0.32290574490590546</v>
      </c>
      <c r="F261">
        <v>42.017462553492898</v>
      </c>
    </row>
    <row r="262" spans="1:6" x14ac:dyDescent="0.3">
      <c r="A262">
        <f t="shared" si="5"/>
        <v>1.6666666666666667</v>
      </c>
      <c r="B262">
        <v>30</v>
      </c>
      <c r="C262" s="8">
        <v>3.4550000000000002E-3</v>
      </c>
      <c r="D262" s="9">
        <f t="shared" si="6"/>
        <v>0.97152418997592926</v>
      </c>
      <c r="E262">
        <v>0.66026995600162774</v>
      </c>
      <c r="F262">
        <v>9.8655559251768619</v>
      </c>
    </row>
    <row r="263" spans="1:6" x14ac:dyDescent="0.3">
      <c r="A263">
        <f t="shared" si="5"/>
        <v>1.6666666666666667</v>
      </c>
      <c r="B263">
        <v>30</v>
      </c>
      <c r="C263" s="8">
        <v>3.4550000000000002E-3</v>
      </c>
      <c r="D263" s="9">
        <f t="shared" si="6"/>
        <v>0.97152418997592926</v>
      </c>
      <c r="E263">
        <v>1.0329770844502346</v>
      </c>
      <c r="F263">
        <v>3.0236857401004955</v>
      </c>
    </row>
    <row r="264" spans="1:6" x14ac:dyDescent="0.3">
      <c r="A264">
        <f t="shared" si="5"/>
        <v>1.6666666666666667</v>
      </c>
      <c r="B264">
        <v>30</v>
      </c>
      <c r="C264" s="8">
        <v>3.4550000000000002E-3</v>
      </c>
      <c r="D264" s="9">
        <f t="shared" si="6"/>
        <v>0.97152418997592926</v>
      </c>
      <c r="E264">
        <v>1.4591002129889978</v>
      </c>
      <c r="F264">
        <v>-0.68174233671942119</v>
      </c>
    </row>
    <row r="265" spans="1:6" x14ac:dyDescent="0.3">
      <c r="A265">
        <f t="shared" si="5"/>
        <v>1.6666666666666667</v>
      </c>
      <c r="B265">
        <v>30</v>
      </c>
      <c r="C265" s="8">
        <v>3.4550000000000002E-3</v>
      </c>
      <c r="D265" s="9">
        <f t="shared" si="6"/>
        <v>0.97152418997592926</v>
      </c>
      <c r="E265">
        <v>1.6820015667486714</v>
      </c>
      <c r="F265">
        <v>-2.721979453003796</v>
      </c>
    </row>
    <row r="266" spans="1:6" x14ac:dyDescent="0.3">
      <c r="A266">
        <f t="shared" si="5"/>
        <v>1.6666666666666667</v>
      </c>
      <c r="B266">
        <v>30</v>
      </c>
      <c r="C266" s="8">
        <v>3.4550000000000002E-3</v>
      </c>
      <c r="D266" s="9">
        <f t="shared" si="6"/>
        <v>0.97152418997592926</v>
      </c>
      <c r="E266">
        <v>1.8281927248901513</v>
      </c>
      <c r="F266">
        <v>-4.0372675968793388</v>
      </c>
    </row>
    <row r="267" spans="1:6" x14ac:dyDescent="0.3">
      <c r="A267">
        <f t="shared" si="5"/>
        <v>1.6666666666666667</v>
      </c>
      <c r="B267">
        <v>30</v>
      </c>
      <c r="C267" s="8">
        <v>3.4550000000000002E-3</v>
      </c>
      <c r="D267" s="9">
        <f t="shared" si="6"/>
        <v>0.97152418997592926</v>
      </c>
      <c r="E267">
        <v>1.8851085917960961</v>
      </c>
      <c r="F267">
        <v>-4.6774985501543194</v>
      </c>
    </row>
    <row r="268" spans="1:6" x14ac:dyDescent="0.3">
      <c r="A268">
        <f t="shared" si="5"/>
        <v>1.6666666666666667</v>
      </c>
      <c r="B268">
        <v>30</v>
      </c>
      <c r="C268" s="8">
        <v>1.7275000000000001E-3</v>
      </c>
      <c r="D268" s="9">
        <f t="shared" si="6"/>
        <v>0.97152418997592926</v>
      </c>
      <c r="E268">
        <v>0.3662811434753554</v>
      </c>
      <c r="F268">
        <v>41.970873345798353</v>
      </c>
    </row>
    <row r="269" spans="1:6" x14ac:dyDescent="0.3">
      <c r="A269">
        <f t="shared" si="5"/>
        <v>1.6666666666666667</v>
      </c>
      <c r="B269">
        <v>30</v>
      </c>
      <c r="C269" s="8">
        <v>1.7275000000000001E-3</v>
      </c>
      <c r="D269" s="9">
        <f t="shared" si="6"/>
        <v>0.97152418997592926</v>
      </c>
      <c r="E269">
        <v>0.60725557997229984</v>
      </c>
      <c r="F269">
        <v>9.9702820929004989</v>
      </c>
    </row>
    <row r="270" spans="1:6" x14ac:dyDescent="0.3">
      <c r="A270">
        <f t="shared" si="5"/>
        <v>1.6666666666666667</v>
      </c>
      <c r="B270">
        <v>30</v>
      </c>
      <c r="C270" s="8">
        <v>1.7275000000000001E-3</v>
      </c>
      <c r="D270" s="9">
        <f t="shared" si="6"/>
        <v>0.97152418997592926</v>
      </c>
      <c r="E270">
        <v>0.83537804652274039</v>
      </c>
      <c r="F270">
        <v>3.5990582318122315</v>
      </c>
    </row>
    <row r="271" spans="1:6" x14ac:dyDescent="0.3">
      <c r="A271">
        <f t="shared" si="5"/>
        <v>1.6666666666666667</v>
      </c>
      <c r="B271">
        <v>30</v>
      </c>
      <c r="C271" s="8">
        <v>1.7275000000000001E-3</v>
      </c>
      <c r="D271" s="9">
        <f t="shared" si="6"/>
        <v>0.97152418997592926</v>
      </c>
      <c r="E271">
        <v>1.1602919117327872</v>
      </c>
      <c r="F271">
        <v>0.53808402822471069</v>
      </c>
    </row>
    <row r="272" spans="1:6" x14ac:dyDescent="0.3">
      <c r="A272">
        <f t="shared" si="5"/>
        <v>1.6666666666666667</v>
      </c>
      <c r="B272">
        <v>30</v>
      </c>
      <c r="C272" s="8">
        <v>1.7275000000000001E-3</v>
      </c>
      <c r="D272" s="9">
        <f t="shared" si="6"/>
        <v>0.97152418997592926</v>
      </c>
      <c r="E272">
        <v>1.2839117976557195</v>
      </c>
      <c r="F272">
        <v>-0.88186720040283006</v>
      </c>
    </row>
    <row r="273" spans="1:6" x14ac:dyDescent="0.3">
      <c r="A273">
        <f t="shared" si="5"/>
        <v>1.6666666666666667</v>
      </c>
      <c r="B273">
        <v>30</v>
      </c>
      <c r="C273" s="8">
        <v>1.7275000000000001E-3</v>
      </c>
      <c r="D273" s="9">
        <f t="shared" si="6"/>
        <v>0.97152418997592926</v>
      </c>
      <c r="E273">
        <v>1.3486535962612318</v>
      </c>
      <c r="F273">
        <v>-1.6630249803322308</v>
      </c>
    </row>
    <row r="274" spans="1:6" x14ac:dyDescent="0.3">
      <c r="A274">
        <f t="shared" si="5"/>
        <v>1.6666666666666667</v>
      </c>
      <c r="B274">
        <v>30</v>
      </c>
      <c r="C274" s="8">
        <v>1.7275000000000001E-3</v>
      </c>
      <c r="D274" s="9">
        <f t="shared" si="6"/>
        <v>0.97152418997592926</v>
      </c>
      <c r="E274">
        <v>1.4767323637786365</v>
      </c>
      <c r="F274">
        <v>-2.5669048967424004</v>
      </c>
    </row>
    <row r="275" spans="1:6" x14ac:dyDescent="0.3">
      <c r="A275">
        <f t="shared" si="5"/>
        <v>1.6666666666666667</v>
      </c>
      <c r="B275">
        <v>30</v>
      </c>
      <c r="C275" s="8">
        <v>1.15167E-3</v>
      </c>
      <c r="D275" s="9">
        <f t="shared" si="6"/>
        <v>0.97152418997592926</v>
      </c>
      <c r="E275">
        <v>0</v>
      </c>
      <c r="F275">
        <v>42.179963682739846</v>
      </c>
    </row>
    <row r="276" spans="1:6" x14ac:dyDescent="0.3">
      <c r="A276">
        <f t="shared" si="5"/>
        <v>1.6666666666666667</v>
      </c>
      <c r="B276">
        <v>30</v>
      </c>
      <c r="C276" s="8">
        <v>1.15167E-3</v>
      </c>
      <c r="D276" s="9">
        <f t="shared" si="6"/>
        <v>0.97152418997592926</v>
      </c>
      <c r="E276">
        <v>0.54219248211812476</v>
      </c>
      <c r="F276">
        <v>10.086836561800665</v>
      </c>
    </row>
    <row r="277" spans="1:6" x14ac:dyDescent="0.3">
      <c r="A277">
        <f t="shared" si="5"/>
        <v>1.6666666666666667</v>
      </c>
      <c r="B277">
        <v>30</v>
      </c>
      <c r="C277" s="8">
        <v>1.15167E-3</v>
      </c>
      <c r="D277" s="9">
        <f t="shared" si="6"/>
        <v>0.97152418997592926</v>
      </c>
      <c r="E277">
        <v>0.74380776065390153</v>
      </c>
      <c r="F277">
        <v>3.8244264348971901</v>
      </c>
    </row>
    <row r="278" spans="1:6" x14ac:dyDescent="0.3">
      <c r="A278">
        <f t="shared" si="5"/>
        <v>1.6666666666666667</v>
      </c>
      <c r="B278">
        <v>30</v>
      </c>
      <c r="C278" s="8">
        <v>1.15167E-3</v>
      </c>
      <c r="D278" s="9">
        <f t="shared" si="6"/>
        <v>0.97152418997592926</v>
      </c>
      <c r="E278">
        <v>0.98197082872504837</v>
      </c>
      <c r="F278">
        <v>1.1334448707642151</v>
      </c>
    </row>
    <row r="279" spans="1:6" x14ac:dyDescent="0.3">
      <c r="A279">
        <f t="shared" si="5"/>
        <v>1.6666666666666667</v>
      </c>
      <c r="B279">
        <v>30</v>
      </c>
      <c r="C279" s="8">
        <v>1.15167E-3</v>
      </c>
      <c r="D279" s="9">
        <f t="shared" si="6"/>
        <v>0.97152418997592926</v>
      </c>
      <c r="E279">
        <v>0.79521564043991644</v>
      </c>
      <c r="F279">
        <v>0.70165761530959359</v>
      </c>
    </row>
    <row r="280" spans="1:6" x14ac:dyDescent="0.3">
      <c r="A280">
        <f t="shared" si="5"/>
        <v>1.6666666666666667</v>
      </c>
      <c r="B280">
        <v>30</v>
      </c>
      <c r="C280" s="8">
        <v>1.15167E-3</v>
      </c>
      <c r="D280" s="9">
        <f t="shared" si="6"/>
        <v>0.97152418997592926</v>
      </c>
      <c r="E280">
        <v>1.028157595720296</v>
      </c>
      <c r="F280">
        <v>-0.47582976403041327</v>
      </c>
    </row>
    <row r="281" spans="1:6" x14ac:dyDescent="0.3">
      <c r="A281">
        <f t="shared" si="5"/>
        <v>1.6666666666666667</v>
      </c>
      <c r="B281">
        <v>30</v>
      </c>
      <c r="C281" s="8">
        <v>1.15167E-3</v>
      </c>
      <c r="D281" s="9">
        <f t="shared" si="6"/>
        <v>0.97152418997592926</v>
      </c>
      <c r="E281">
        <v>1.0259973709846071</v>
      </c>
      <c r="F281">
        <v>-0.8088190848000002</v>
      </c>
    </row>
    <row r="282" spans="1:6" x14ac:dyDescent="0.3">
      <c r="A282">
        <f t="shared" si="5"/>
        <v>1.6666666666666667</v>
      </c>
      <c r="B282">
        <v>40</v>
      </c>
      <c r="C282" s="8">
        <v>8.7799999999999996E-3</v>
      </c>
      <c r="D282" s="9">
        <f t="shared" si="6"/>
        <v>0.84136462891025365</v>
      </c>
      <c r="E282">
        <v>0</v>
      </c>
      <c r="F282">
        <v>53.688632274677403</v>
      </c>
    </row>
    <row r="283" spans="1:6" x14ac:dyDescent="0.3">
      <c r="A283">
        <f t="shared" si="5"/>
        <v>1.6666666666666667</v>
      </c>
      <c r="B283">
        <v>40</v>
      </c>
      <c r="C283" s="8">
        <v>8.7799999999999996E-3</v>
      </c>
      <c r="D283" s="9">
        <f t="shared" si="6"/>
        <v>0.84136462891025365</v>
      </c>
      <c r="E283">
        <v>0.27526695245997107</v>
      </c>
      <c r="F283">
        <v>13.212220355343906</v>
      </c>
    </row>
    <row r="284" spans="1:6" x14ac:dyDescent="0.3">
      <c r="A284">
        <f t="shared" si="5"/>
        <v>1.6666666666666667</v>
      </c>
      <c r="B284">
        <v>40</v>
      </c>
      <c r="C284" s="8">
        <v>8.7799999999999996E-3</v>
      </c>
      <c r="D284" s="9">
        <f t="shared" si="6"/>
        <v>0.84136462891025365</v>
      </c>
      <c r="E284">
        <v>0.3901314338568479</v>
      </c>
      <c r="F284">
        <v>5.5437030036298225</v>
      </c>
    </row>
    <row r="285" spans="1:6" x14ac:dyDescent="0.3">
      <c r="A285">
        <f t="shared" si="5"/>
        <v>1.6666666666666667</v>
      </c>
      <c r="B285">
        <v>40</v>
      </c>
      <c r="C285" s="8">
        <v>8.7799999999999996E-3</v>
      </c>
      <c r="D285" s="9">
        <f t="shared" si="6"/>
        <v>0.84136462891025365</v>
      </c>
      <c r="E285">
        <v>0.52096819521127857</v>
      </c>
      <c r="F285">
        <v>2.6035622107029588</v>
      </c>
    </row>
    <row r="286" spans="1:6" x14ac:dyDescent="0.3">
      <c r="A286">
        <f t="shared" si="5"/>
        <v>1.6666666666666667</v>
      </c>
      <c r="B286">
        <v>40</v>
      </c>
      <c r="C286" s="8">
        <v>8.7799999999999996E-3</v>
      </c>
      <c r="D286" s="9">
        <f t="shared" si="6"/>
        <v>0.84136462891025365</v>
      </c>
      <c r="E286">
        <v>0.71120824457805853</v>
      </c>
      <c r="F286">
        <v>0.74610087323781304</v>
      </c>
    </row>
    <row r="287" spans="1:6" x14ac:dyDescent="0.3">
      <c r="A287">
        <f t="shared" si="5"/>
        <v>1.6666666666666667</v>
      </c>
      <c r="B287">
        <v>40</v>
      </c>
      <c r="C287" s="8">
        <v>8.7799999999999996E-3</v>
      </c>
      <c r="D287" s="9">
        <f t="shared" si="6"/>
        <v>0.84136462891025365</v>
      </c>
      <c r="E287">
        <v>0.84415198754391141</v>
      </c>
      <c r="F287">
        <v>-0.48299666524402307</v>
      </c>
    </row>
    <row r="288" spans="1:6" x14ac:dyDescent="0.3">
      <c r="A288">
        <f t="shared" si="5"/>
        <v>1.6666666666666667</v>
      </c>
      <c r="B288">
        <v>40</v>
      </c>
      <c r="C288" s="8">
        <v>8.7799999999999996E-3</v>
      </c>
      <c r="D288" s="9">
        <f t="shared" si="6"/>
        <v>0.84136462891025365</v>
      </c>
      <c r="E288">
        <v>0.88838642816310054</v>
      </c>
      <c r="F288">
        <v>-1.0497330137549028</v>
      </c>
    </row>
    <row r="289" spans="1:6" x14ac:dyDescent="0.3">
      <c r="A289">
        <f t="shared" si="5"/>
        <v>1.6666666666666667</v>
      </c>
      <c r="B289">
        <v>40</v>
      </c>
      <c r="C289" s="8">
        <v>4.3899999999999998E-3</v>
      </c>
      <c r="D289" s="9">
        <f t="shared" si="6"/>
        <v>0.84136462891025365</v>
      </c>
      <c r="E289">
        <v>0.26507188014663879</v>
      </c>
      <c r="F289">
        <v>53.493957522677398</v>
      </c>
    </row>
    <row r="290" spans="1:6" x14ac:dyDescent="0.3">
      <c r="A290">
        <f t="shared" si="5"/>
        <v>1.6666666666666667</v>
      </c>
      <c r="B290">
        <v>40</v>
      </c>
      <c r="C290" s="8">
        <v>4.3899999999999998E-3</v>
      </c>
      <c r="D290" s="9">
        <f t="shared" si="6"/>
        <v>0.84136462891025365</v>
      </c>
      <c r="E290">
        <v>0.44042712393595368</v>
      </c>
      <c r="F290">
        <v>12.884717522556215</v>
      </c>
    </row>
    <row r="291" spans="1:6" x14ac:dyDescent="0.3">
      <c r="A291">
        <f t="shared" si="5"/>
        <v>1.6666666666666667</v>
      </c>
      <c r="B291">
        <v>40</v>
      </c>
      <c r="C291" s="8">
        <v>4.3899999999999998E-3</v>
      </c>
      <c r="D291" s="9">
        <f t="shared" si="6"/>
        <v>0.84136462891025365</v>
      </c>
      <c r="E291">
        <v>0.65656265697859773</v>
      </c>
      <c r="F291">
        <v>4.771045184515029</v>
      </c>
    </row>
    <row r="292" spans="1:6" x14ac:dyDescent="0.3">
      <c r="A292">
        <f t="shared" si="5"/>
        <v>1.6666666666666667</v>
      </c>
      <c r="B292">
        <v>40</v>
      </c>
      <c r="C292" s="8">
        <v>4.3899999999999998E-3</v>
      </c>
      <c r="D292" s="9">
        <f t="shared" si="6"/>
        <v>0.84136462891025365</v>
      </c>
      <c r="E292">
        <v>0.90532242142390484</v>
      </c>
      <c r="F292">
        <v>1.0846873331275737</v>
      </c>
    </row>
    <row r="293" spans="1:6" x14ac:dyDescent="0.3">
      <c r="A293">
        <f t="shared" si="5"/>
        <v>1.6666666666666667</v>
      </c>
      <c r="B293">
        <v>40</v>
      </c>
      <c r="C293" s="8">
        <v>4.3899999999999998E-3</v>
      </c>
      <c r="D293" s="9">
        <f t="shared" si="6"/>
        <v>0.84136462891025365</v>
      </c>
      <c r="E293">
        <v>1.0350037412494912</v>
      </c>
      <c r="F293">
        <v>-0.82047012492269777</v>
      </c>
    </row>
    <row r="294" spans="1:6" x14ac:dyDescent="0.3">
      <c r="A294">
        <f t="shared" si="5"/>
        <v>1.6666666666666667</v>
      </c>
      <c r="B294">
        <v>40</v>
      </c>
      <c r="C294" s="8">
        <v>4.3899999999999998E-3</v>
      </c>
      <c r="D294" s="9">
        <f t="shared" si="6"/>
        <v>0.84136462891025365</v>
      </c>
      <c r="E294">
        <v>1.0833963511634417</v>
      </c>
      <c r="F294">
        <v>-1.7606978751621296</v>
      </c>
    </row>
    <row r="295" spans="1:6" x14ac:dyDescent="0.3">
      <c r="A295">
        <f t="shared" si="5"/>
        <v>1.6666666666666667</v>
      </c>
      <c r="B295">
        <v>40</v>
      </c>
      <c r="C295" s="8">
        <v>4.3899999999999998E-3</v>
      </c>
      <c r="D295" s="9">
        <f t="shared" si="6"/>
        <v>0.84136462891025365</v>
      </c>
      <c r="E295">
        <v>1.1239838977561207</v>
      </c>
      <c r="F295">
        <v>-2.3633260557722426</v>
      </c>
    </row>
    <row r="296" spans="1:6" x14ac:dyDescent="0.3">
      <c r="A296">
        <f t="shared" si="5"/>
        <v>1.6666666666666667</v>
      </c>
      <c r="B296">
        <v>40</v>
      </c>
      <c r="C296" s="8">
        <v>2.1949999999999999E-3</v>
      </c>
      <c r="D296" s="9">
        <f t="shared" si="6"/>
        <v>0.84136462891025365</v>
      </c>
      <c r="E296">
        <v>0.2446817355199743</v>
      </c>
      <c r="F296">
        <v>53.522755562914085</v>
      </c>
    </row>
    <row r="297" spans="1:6" x14ac:dyDescent="0.3">
      <c r="A297">
        <f t="shared" si="5"/>
        <v>1.6666666666666667</v>
      </c>
      <c r="B297">
        <v>40</v>
      </c>
      <c r="C297" s="8">
        <v>2.1949999999999999E-3</v>
      </c>
      <c r="D297" s="9">
        <f t="shared" si="6"/>
        <v>0.84136462891025365</v>
      </c>
      <c r="E297">
        <v>0.48120741318928278</v>
      </c>
      <c r="F297">
        <v>12.780583809060355</v>
      </c>
    </row>
    <row r="298" spans="1:6" x14ac:dyDescent="0.3">
      <c r="A298">
        <f t="shared" si="5"/>
        <v>1.6666666666666667</v>
      </c>
      <c r="B298">
        <v>40</v>
      </c>
      <c r="C298" s="8">
        <v>2.1949999999999999E-3</v>
      </c>
      <c r="D298" s="9">
        <f t="shared" si="6"/>
        <v>0.84136462891025365</v>
      </c>
      <c r="E298">
        <v>0.68510885945592803</v>
      </c>
      <c r="F298">
        <v>4.6649301658508868</v>
      </c>
    </row>
    <row r="299" spans="1:6" x14ac:dyDescent="0.3">
      <c r="A299">
        <f t="shared" ref="A299:A337" si="7">100/60</f>
        <v>1.6666666666666667</v>
      </c>
      <c r="B299">
        <v>40</v>
      </c>
      <c r="C299" s="8">
        <v>2.1949999999999999E-3</v>
      </c>
      <c r="D299" s="9">
        <f t="shared" si="6"/>
        <v>0.84136462891025365</v>
      </c>
      <c r="E299">
        <v>0.77686451027591841</v>
      </c>
      <c r="F299">
        <v>1.6833985896482841</v>
      </c>
    </row>
    <row r="300" spans="1:6" x14ac:dyDescent="0.3">
      <c r="A300">
        <f t="shared" si="7"/>
        <v>1.6666666666666667</v>
      </c>
      <c r="B300">
        <v>40</v>
      </c>
      <c r="C300" s="8">
        <v>2.1949999999999999E-3</v>
      </c>
      <c r="D300" s="9">
        <f t="shared" si="6"/>
        <v>0.84136462891025365</v>
      </c>
      <c r="E300">
        <v>0.73322960077485622</v>
      </c>
      <c r="F300">
        <v>0.65797057627796462</v>
      </c>
    </row>
    <row r="301" spans="1:6" x14ac:dyDescent="0.3">
      <c r="A301">
        <f t="shared" si="7"/>
        <v>1.6666666666666667</v>
      </c>
      <c r="B301">
        <v>40</v>
      </c>
      <c r="C301" s="8">
        <v>2.1949999999999999E-3</v>
      </c>
      <c r="D301" s="9">
        <f t="shared" si="6"/>
        <v>0.84136462891025365</v>
      </c>
      <c r="E301">
        <v>0.8033716982905823</v>
      </c>
      <c r="F301">
        <v>-0.29684613315408259</v>
      </c>
    </row>
    <row r="302" spans="1:6" x14ac:dyDescent="0.3">
      <c r="A302">
        <f t="shared" si="7"/>
        <v>1.6666666666666667</v>
      </c>
      <c r="B302">
        <v>40</v>
      </c>
      <c r="C302" s="8">
        <v>2.1949999999999999E-3</v>
      </c>
      <c r="D302" s="9">
        <f t="shared" si="6"/>
        <v>0.84136462891025365</v>
      </c>
      <c r="E302">
        <v>0.86261681739913609</v>
      </c>
      <c r="F302">
        <v>-0.93315115579629893</v>
      </c>
    </row>
    <row r="303" spans="1:6" x14ac:dyDescent="0.3">
      <c r="A303">
        <f t="shared" si="7"/>
        <v>1.6666666666666667</v>
      </c>
      <c r="B303">
        <v>40</v>
      </c>
      <c r="C303" s="8">
        <v>1.4633300000000001E-3</v>
      </c>
      <c r="D303" s="9">
        <f t="shared" si="6"/>
        <v>0.84136462891025365</v>
      </c>
      <c r="E303">
        <v>0.23652567766930846</v>
      </c>
      <c r="F303">
        <v>53.533629702907461</v>
      </c>
    </row>
    <row r="304" spans="1:6" x14ac:dyDescent="0.3">
      <c r="A304">
        <f t="shared" si="7"/>
        <v>1.6666666666666667</v>
      </c>
      <c r="B304">
        <v>40</v>
      </c>
      <c r="C304" s="8">
        <v>1.4633300000000001E-3</v>
      </c>
      <c r="D304" s="9">
        <f t="shared" si="6"/>
        <v>0.84136462891025365</v>
      </c>
      <c r="E304">
        <v>0.45877825409995171</v>
      </c>
      <c r="F304">
        <v>12.838997753876452</v>
      </c>
    </row>
    <row r="305" spans="1:6" x14ac:dyDescent="0.3">
      <c r="A305">
        <f t="shared" si="7"/>
        <v>1.6666666666666667</v>
      </c>
      <c r="B305">
        <v>40</v>
      </c>
      <c r="C305" s="8">
        <v>1.4633300000000001E-3</v>
      </c>
      <c r="D305" s="9">
        <f t="shared" si="6"/>
        <v>0.84136462891025365</v>
      </c>
      <c r="E305">
        <v>0.57228339252171767</v>
      </c>
      <c r="F305">
        <v>5.0579914172591716</v>
      </c>
    </row>
    <row r="306" spans="1:6" x14ac:dyDescent="0.3">
      <c r="A306">
        <f t="shared" si="7"/>
        <v>1.6666666666666667</v>
      </c>
      <c r="B306">
        <v>40</v>
      </c>
      <c r="C306" s="8">
        <v>1.4633300000000001E-3</v>
      </c>
      <c r="D306" s="9">
        <f t="shared" si="6"/>
        <v>0.84136462891025365</v>
      </c>
      <c r="E306">
        <v>0.57194355677793984</v>
      </c>
      <c r="F306">
        <v>2.4492047150343197</v>
      </c>
    </row>
    <row r="307" spans="1:6" x14ac:dyDescent="0.3">
      <c r="A307">
        <f t="shared" si="7"/>
        <v>1.6666666666666667</v>
      </c>
      <c r="B307">
        <v>40</v>
      </c>
      <c r="C307" s="8">
        <v>1.4633300000000001E-3</v>
      </c>
      <c r="D307" s="9">
        <f t="shared" si="6"/>
        <v>0.84136462891025365</v>
      </c>
      <c r="E307">
        <v>0.50893800988154647</v>
      </c>
      <c r="F307">
        <v>1.4298962852142962</v>
      </c>
    </row>
    <row r="308" spans="1:6" x14ac:dyDescent="0.3">
      <c r="A308">
        <f t="shared" si="7"/>
        <v>1.6666666666666667</v>
      </c>
      <c r="B308">
        <v>40</v>
      </c>
      <c r="C308" s="8">
        <v>1.4633300000000001E-3</v>
      </c>
      <c r="D308" s="9">
        <f t="shared" si="6"/>
        <v>0.84136462891025365</v>
      </c>
      <c r="E308">
        <v>0.60762630987460287</v>
      </c>
      <c r="F308">
        <v>0.46839843044733737</v>
      </c>
    </row>
    <row r="309" spans="1:6" x14ac:dyDescent="0.3">
      <c r="A309">
        <f t="shared" si="7"/>
        <v>1.6666666666666667</v>
      </c>
      <c r="B309">
        <v>40</v>
      </c>
      <c r="C309" s="8">
        <v>1.4633300000000001E-3</v>
      </c>
      <c r="D309" s="9">
        <f t="shared" si="6"/>
        <v>0.84136462891025365</v>
      </c>
      <c r="E309">
        <v>0.63200284232715442</v>
      </c>
      <c r="F309">
        <v>3.880830634677454E-2</v>
      </c>
    </row>
    <row r="310" spans="1:6" x14ac:dyDescent="0.3">
      <c r="A310">
        <f t="shared" si="7"/>
        <v>1.6666666666666667</v>
      </c>
      <c r="B310">
        <v>60</v>
      </c>
      <c r="C310" s="8">
        <v>1.205E-2</v>
      </c>
      <c r="D310" s="9">
        <f t="shared" si="6"/>
        <v>0.68697134281874717</v>
      </c>
      <c r="E310">
        <v>0</v>
      </c>
      <c r="F310">
        <v>86.83172107845688</v>
      </c>
    </row>
    <row r="311" spans="1:6" x14ac:dyDescent="0.3">
      <c r="A311">
        <f t="shared" si="7"/>
        <v>1.6666666666666667</v>
      </c>
      <c r="B311">
        <v>60</v>
      </c>
      <c r="C311" s="8">
        <v>1.205E-2</v>
      </c>
      <c r="D311" s="9">
        <f t="shared" si="6"/>
        <v>0.68697134281874717</v>
      </c>
      <c r="E311">
        <v>0.11236742745346645</v>
      </c>
      <c r="F311">
        <v>21.629217406897773</v>
      </c>
    </row>
    <row r="312" spans="1:6" x14ac:dyDescent="0.3">
      <c r="A312">
        <f t="shared" si="7"/>
        <v>1.6666666666666667</v>
      </c>
      <c r="B312">
        <v>60</v>
      </c>
      <c r="C312" s="8">
        <v>1.205E-2</v>
      </c>
      <c r="D312" s="9">
        <f t="shared" si="6"/>
        <v>0.68697134281874717</v>
      </c>
      <c r="E312">
        <v>0.2408696650028152</v>
      </c>
      <c r="F312">
        <v>9.2862852158109668</v>
      </c>
    </row>
    <row r="313" spans="1:6" x14ac:dyDescent="0.3">
      <c r="A313">
        <f t="shared" si="7"/>
        <v>1.6666666666666667</v>
      </c>
      <c r="B313">
        <v>60</v>
      </c>
      <c r="C313" s="8">
        <v>1.205E-2</v>
      </c>
      <c r="D313" s="9">
        <f t="shared" si="6"/>
        <v>0.68697134281874717</v>
      </c>
      <c r="E313">
        <v>0.35784703819796232</v>
      </c>
      <c r="F313">
        <v>4.6286944124835552</v>
      </c>
    </row>
    <row r="314" spans="1:6" x14ac:dyDescent="0.3">
      <c r="A314">
        <f t="shared" si="7"/>
        <v>1.6666666666666667</v>
      </c>
      <c r="B314">
        <v>60</v>
      </c>
      <c r="C314" s="8">
        <v>1.205E-2</v>
      </c>
      <c r="D314" s="9">
        <f t="shared" si="6"/>
        <v>0.68697134281874717</v>
      </c>
      <c r="E314">
        <v>0.45569313656513466</v>
      </c>
      <c r="F314">
        <v>2.1787457384429496</v>
      </c>
    </row>
    <row r="315" spans="1:6" x14ac:dyDescent="0.3">
      <c r="A315">
        <f t="shared" si="7"/>
        <v>1.6666666666666667</v>
      </c>
      <c r="B315">
        <v>60</v>
      </c>
      <c r="C315" s="8">
        <v>1.205E-2</v>
      </c>
      <c r="D315" s="9">
        <f t="shared" si="6"/>
        <v>0.68697134281874717</v>
      </c>
      <c r="E315">
        <v>0.53590619247037852</v>
      </c>
      <c r="F315">
        <v>0.62162394281829869</v>
      </c>
    </row>
    <row r="316" spans="1:6" x14ac:dyDescent="0.3">
      <c r="A316">
        <f t="shared" si="7"/>
        <v>1.6666666666666667</v>
      </c>
      <c r="B316">
        <v>60</v>
      </c>
      <c r="C316" s="8">
        <v>1.205E-2</v>
      </c>
      <c r="D316" s="9">
        <f t="shared" si="6"/>
        <v>0.68697134281874717</v>
      </c>
      <c r="E316">
        <v>0.57616544255186575</v>
      </c>
      <c r="F316">
        <v>-0.34061431682736992</v>
      </c>
    </row>
    <row r="317" spans="1:6" x14ac:dyDescent="0.3">
      <c r="A317">
        <f t="shared" si="7"/>
        <v>1.6666666666666667</v>
      </c>
      <c r="B317">
        <v>60</v>
      </c>
      <c r="C317" s="8">
        <v>6.025E-3</v>
      </c>
      <c r="D317" s="9">
        <f t="shared" si="6"/>
        <v>0.68697134281874717</v>
      </c>
      <c r="E317">
        <v>0</v>
      </c>
      <c r="F317">
        <v>86.83172107845688</v>
      </c>
    </row>
    <row r="318" spans="1:6" x14ac:dyDescent="0.3">
      <c r="A318">
        <f t="shared" si="7"/>
        <v>1.6666666666666667</v>
      </c>
      <c r="B318">
        <v>60</v>
      </c>
      <c r="C318" s="8">
        <v>6.025E-3</v>
      </c>
      <c r="D318" s="9">
        <f t="shared" si="6"/>
        <v>0.68697134281874717</v>
      </c>
      <c r="E318">
        <v>0.2385646921319749</v>
      </c>
      <c r="F318">
        <v>21.353135534094221</v>
      </c>
    </row>
    <row r="319" spans="1:6" x14ac:dyDescent="0.3">
      <c r="A319">
        <f t="shared" si="7"/>
        <v>1.6666666666666667</v>
      </c>
      <c r="B319">
        <v>60</v>
      </c>
      <c r="C319" s="8">
        <v>6.025E-3</v>
      </c>
      <c r="D319" s="9">
        <f t="shared" si="6"/>
        <v>0.68697134281874717</v>
      </c>
      <c r="E319">
        <v>0.3088663646926052</v>
      </c>
      <c r="F319">
        <v>9.0532578816435567</v>
      </c>
    </row>
    <row r="320" spans="1:6" x14ac:dyDescent="0.3">
      <c r="A320">
        <f t="shared" si="7"/>
        <v>1.6666666666666667</v>
      </c>
      <c r="B320">
        <v>60</v>
      </c>
      <c r="C320" s="8">
        <v>6.025E-3</v>
      </c>
      <c r="D320" s="9">
        <f t="shared" si="6"/>
        <v>0.68697134281874717</v>
      </c>
      <c r="E320">
        <v>0.38204925334178591</v>
      </c>
      <c r="F320">
        <v>4.5170618744014375</v>
      </c>
    </row>
    <row r="321" spans="1:6" x14ac:dyDescent="0.3">
      <c r="A321">
        <f t="shared" si="7"/>
        <v>1.6666666666666667</v>
      </c>
      <c r="B321">
        <v>60</v>
      </c>
      <c r="C321" s="8">
        <v>6.025E-3</v>
      </c>
      <c r="D321" s="9">
        <f t="shared" si="6"/>
        <v>0.68697134281874717</v>
      </c>
      <c r="E321">
        <v>0.38585245857867251</v>
      </c>
      <c r="F321">
        <v>2.5451419115655023</v>
      </c>
    </row>
    <row r="322" spans="1:6" x14ac:dyDescent="0.3">
      <c r="A322">
        <f t="shared" si="7"/>
        <v>1.6666666666666667</v>
      </c>
      <c r="B322">
        <v>60</v>
      </c>
      <c r="C322" s="8">
        <v>6.025E-3</v>
      </c>
      <c r="D322" s="9">
        <f t="shared" ref="D322:D385" si="8">(A322)/((9.81*B322*10^-2))^(1/2)</f>
        <v>0.68697134281874717</v>
      </c>
      <c r="E322">
        <v>0.43794484545966411</v>
      </c>
      <c r="F322">
        <v>1.2163433500092256</v>
      </c>
    </row>
    <row r="323" spans="1:6" x14ac:dyDescent="0.3">
      <c r="A323">
        <f t="shared" si="7"/>
        <v>1.6666666666666667</v>
      </c>
      <c r="B323">
        <v>60</v>
      </c>
      <c r="C323" s="8">
        <v>6.025E-3</v>
      </c>
      <c r="D323" s="9">
        <f t="shared" si="8"/>
        <v>0.68697134281874717</v>
      </c>
      <c r="E323">
        <v>0.42966112757307484</v>
      </c>
      <c r="F323">
        <v>0.58866635806099565</v>
      </c>
    </row>
    <row r="324" spans="1:6" x14ac:dyDescent="0.3">
      <c r="A324">
        <f t="shared" si="7"/>
        <v>1.6666666666666667</v>
      </c>
      <c r="B324">
        <v>60</v>
      </c>
      <c r="C324" s="8">
        <v>3.0125E-3</v>
      </c>
      <c r="D324" s="9">
        <f t="shared" si="8"/>
        <v>0.68697134281874717</v>
      </c>
      <c r="E324">
        <v>0</v>
      </c>
      <c r="F324">
        <v>86.83172107845688</v>
      </c>
    </row>
    <row r="325" spans="1:6" x14ac:dyDescent="0.3">
      <c r="A325">
        <f t="shared" si="7"/>
        <v>1.6666666666666667</v>
      </c>
      <c r="B325">
        <v>60</v>
      </c>
      <c r="C325" s="8">
        <v>3.0125E-3</v>
      </c>
      <c r="D325" s="9">
        <f t="shared" si="8"/>
        <v>0.68697134281874717</v>
      </c>
      <c r="E325">
        <v>0.18670280253806734</v>
      </c>
      <c r="F325">
        <v>21.490626877726733</v>
      </c>
    </row>
    <row r="326" spans="1:6" x14ac:dyDescent="0.3">
      <c r="A326">
        <f t="shared" si="7"/>
        <v>1.6666666666666667</v>
      </c>
      <c r="B326">
        <v>60</v>
      </c>
      <c r="C326" s="8">
        <v>3.0125E-3</v>
      </c>
      <c r="D326" s="9">
        <f t="shared" si="8"/>
        <v>0.68697134281874717</v>
      </c>
      <c r="E326">
        <v>0.22703982777777321</v>
      </c>
      <c r="F326">
        <v>9.3266259460836327</v>
      </c>
    </row>
    <row r="327" spans="1:6" x14ac:dyDescent="0.3">
      <c r="A327">
        <f t="shared" si="7"/>
        <v>1.6666666666666667</v>
      </c>
      <c r="B327">
        <v>60</v>
      </c>
      <c r="C327" s="8">
        <v>3.0125E-3</v>
      </c>
      <c r="D327" s="9">
        <f t="shared" si="8"/>
        <v>0.68697134281874717</v>
      </c>
      <c r="E327">
        <v>0.17892351909898116</v>
      </c>
      <c r="F327">
        <v>5.2274105286735555</v>
      </c>
    </row>
    <row r="328" spans="1:6" x14ac:dyDescent="0.3">
      <c r="A328">
        <f t="shared" si="7"/>
        <v>1.6666666666666667</v>
      </c>
      <c r="B328">
        <v>60</v>
      </c>
      <c r="C328" s="8">
        <v>3.0125E-3</v>
      </c>
      <c r="D328" s="9">
        <f t="shared" si="8"/>
        <v>0.68697134281874717</v>
      </c>
      <c r="E328">
        <v>0.16180909553299166</v>
      </c>
      <c r="F328">
        <v>3.3100498510094525</v>
      </c>
    </row>
    <row r="329" spans="1:6" x14ac:dyDescent="0.3">
      <c r="A329">
        <f t="shared" si="7"/>
        <v>1.6666666666666667</v>
      </c>
      <c r="B329">
        <v>60</v>
      </c>
      <c r="C329" s="8">
        <v>3.0125E-3</v>
      </c>
      <c r="D329" s="9">
        <f t="shared" si="8"/>
        <v>0.68697134281874717</v>
      </c>
      <c r="E329">
        <v>0.17229672209531519</v>
      </c>
      <c r="F329">
        <v>2.2269295660593578</v>
      </c>
    </row>
    <row r="330" spans="1:6" x14ac:dyDescent="0.3">
      <c r="A330">
        <f t="shared" si="7"/>
        <v>1.6666666666666667</v>
      </c>
      <c r="B330">
        <v>60</v>
      </c>
      <c r="C330" s="8">
        <v>3.0125E-3</v>
      </c>
      <c r="D330" s="9">
        <f t="shared" si="8"/>
        <v>0.68697134281874717</v>
      </c>
      <c r="E330">
        <v>0.18546875552414049</v>
      </c>
      <c r="F330">
        <v>1.5250714149100004</v>
      </c>
    </row>
    <row r="331" spans="1:6" x14ac:dyDescent="0.3">
      <c r="A331">
        <f t="shared" si="7"/>
        <v>1.6666666666666667</v>
      </c>
      <c r="B331">
        <v>60</v>
      </c>
      <c r="C331" s="8">
        <v>2.00833E-3</v>
      </c>
      <c r="D331" s="9">
        <f t="shared" si="8"/>
        <v>0.68697134281874717</v>
      </c>
      <c r="E331">
        <v>0</v>
      </c>
      <c r="F331">
        <v>86.83172107845688</v>
      </c>
    </row>
    <row r="332" spans="1:6" x14ac:dyDescent="0.3">
      <c r="A332">
        <f t="shared" si="7"/>
        <v>1.6666666666666667</v>
      </c>
      <c r="B332">
        <v>60</v>
      </c>
      <c r="C332" s="8">
        <v>2.00833E-3</v>
      </c>
      <c r="D332" s="9">
        <f t="shared" si="8"/>
        <v>0.68697134281874717</v>
      </c>
      <c r="E332">
        <v>0</v>
      </c>
      <c r="F332">
        <v>21.70793026961422</v>
      </c>
    </row>
    <row r="333" spans="1:6" x14ac:dyDescent="0.3">
      <c r="A333">
        <f t="shared" si="7"/>
        <v>1.6666666666666667</v>
      </c>
      <c r="B333">
        <v>60</v>
      </c>
      <c r="C333" s="8">
        <v>2.00833E-3</v>
      </c>
      <c r="D333" s="9">
        <f t="shared" si="8"/>
        <v>0.68697134281874717</v>
      </c>
      <c r="E333">
        <v>2.4074161095443521E-2</v>
      </c>
      <c r="F333">
        <v>9.6296782301516863</v>
      </c>
    </row>
    <row r="334" spans="1:6" x14ac:dyDescent="0.3">
      <c r="A334">
        <f t="shared" si="7"/>
        <v>1.6666666666666667</v>
      </c>
      <c r="B334">
        <v>60</v>
      </c>
      <c r="C334" s="8">
        <v>2.00833E-3</v>
      </c>
      <c r="D334" s="9">
        <f t="shared" si="8"/>
        <v>0.68697134281874717</v>
      </c>
      <c r="E334">
        <v>3.918453880428574E-2</v>
      </c>
      <c r="F334">
        <v>5.3785252523916078</v>
      </c>
    </row>
    <row r="335" spans="1:6" x14ac:dyDescent="0.3">
      <c r="A335">
        <f t="shared" si="7"/>
        <v>1.6666666666666667</v>
      </c>
      <c r="B335">
        <v>60</v>
      </c>
      <c r="C335" s="8">
        <v>2.00833E-3</v>
      </c>
      <c r="D335" s="9">
        <f t="shared" si="8"/>
        <v>0.68697134281874717</v>
      </c>
      <c r="E335">
        <v>3.8032052368865574E-2</v>
      </c>
      <c r="F335">
        <v>3.4642517956696928</v>
      </c>
    </row>
    <row r="336" spans="1:6" x14ac:dyDescent="0.3">
      <c r="A336">
        <f t="shared" si="7"/>
        <v>1.6666666666666667</v>
      </c>
      <c r="B336">
        <v>60</v>
      </c>
      <c r="C336" s="8">
        <v>2.00833E-3</v>
      </c>
      <c r="D336" s="9">
        <f t="shared" si="8"/>
        <v>0.68697134281874717</v>
      </c>
      <c r="E336">
        <v>5.4743105682458014E-2</v>
      </c>
      <c r="F336">
        <v>2.3933102380829494</v>
      </c>
    </row>
    <row r="337" spans="1:6" x14ac:dyDescent="0.3">
      <c r="A337">
        <f t="shared" si="7"/>
        <v>1.6666666666666667</v>
      </c>
      <c r="B337">
        <v>60</v>
      </c>
      <c r="C337" s="8">
        <v>2.00833E-3</v>
      </c>
      <c r="D337" s="9">
        <f t="shared" si="8"/>
        <v>0.68697134281874717</v>
      </c>
      <c r="E337">
        <v>4.970097752749477E-2</v>
      </c>
      <c r="F337">
        <v>1.7788970342853008</v>
      </c>
    </row>
    <row r="338" spans="1:6" x14ac:dyDescent="0.3">
      <c r="A338">
        <v>1</v>
      </c>
      <c r="B338">
        <v>10</v>
      </c>
      <c r="C338" s="8">
        <v>5.5425099999999996E-3</v>
      </c>
      <c r="D338" s="9">
        <f t="shared" si="8"/>
        <v>1.0096375546923044</v>
      </c>
      <c r="E338">
        <v>0</v>
      </c>
      <c r="F338">
        <v>16.153892333298177</v>
      </c>
    </row>
    <row r="339" spans="1:6" x14ac:dyDescent="0.3">
      <c r="A339">
        <v>1</v>
      </c>
      <c r="B339">
        <v>10</v>
      </c>
      <c r="C339" s="8">
        <v>5.5425099999999996E-3</v>
      </c>
      <c r="D339" s="9">
        <f t="shared" si="8"/>
        <v>1.0096375546923044</v>
      </c>
      <c r="E339">
        <v>0.71569407639592486</v>
      </c>
      <c r="F339">
        <v>3.9475136390871297</v>
      </c>
    </row>
    <row r="340" spans="1:6" x14ac:dyDescent="0.3">
      <c r="A340">
        <v>1</v>
      </c>
      <c r="B340">
        <v>10</v>
      </c>
      <c r="C340" s="8">
        <v>5.5425099999999996E-3</v>
      </c>
      <c r="D340" s="9">
        <f t="shared" si="8"/>
        <v>1.0096375546923044</v>
      </c>
      <c r="E340">
        <v>0.98665644276804432</v>
      </c>
      <c r="F340">
        <v>1.6220048429139446</v>
      </c>
    </row>
    <row r="341" spans="1:6" x14ac:dyDescent="0.3">
      <c r="A341">
        <v>1</v>
      </c>
      <c r="B341">
        <v>10</v>
      </c>
      <c r="C341" s="8">
        <v>5.5425099999999996E-3</v>
      </c>
      <c r="D341" s="9">
        <f t="shared" si="8"/>
        <v>1.0096375546923044</v>
      </c>
      <c r="E341">
        <v>1.491029325824843</v>
      </c>
      <c r="F341">
        <v>0.61482901632846887</v>
      </c>
    </row>
    <row r="342" spans="1:6" x14ac:dyDescent="0.3">
      <c r="A342">
        <v>1</v>
      </c>
      <c r="B342">
        <v>10</v>
      </c>
      <c r="C342" s="8">
        <v>5.5425099999999996E-3</v>
      </c>
      <c r="D342" s="9">
        <f t="shared" si="8"/>
        <v>1.0096375546923044</v>
      </c>
      <c r="E342">
        <v>2.8804477642601416</v>
      </c>
      <c r="F342">
        <v>-0.82721816671615511</v>
      </c>
    </row>
    <row r="343" spans="1:6" x14ac:dyDescent="0.3">
      <c r="A343">
        <v>1</v>
      </c>
      <c r="B343">
        <v>10</v>
      </c>
      <c r="C343" s="8">
        <v>5.5425099999999996E-3</v>
      </c>
      <c r="D343" s="9">
        <f t="shared" si="8"/>
        <v>1.0096375546923044</v>
      </c>
      <c r="E343">
        <v>3.1219576995048559</v>
      </c>
      <c r="F343">
        <v>-1.282081146936725</v>
      </c>
    </row>
    <row r="344" spans="1:6" x14ac:dyDescent="0.3">
      <c r="A344">
        <v>1</v>
      </c>
      <c r="B344">
        <v>10</v>
      </c>
      <c r="C344" s="8">
        <v>5.5425099999999996E-3</v>
      </c>
      <c r="D344" s="9">
        <f t="shared" si="8"/>
        <v>1.0096375546923044</v>
      </c>
      <c r="E344">
        <v>3.2063094622537425</v>
      </c>
      <c r="F344">
        <v>-1.4906253181993339</v>
      </c>
    </row>
    <row r="345" spans="1:6" x14ac:dyDescent="0.3">
      <c r="A345">
        <v>1</v>
      </c>
      <c r="B345">
        <v>10</v>
      </c>
      <c r="C345" s="8">
        <v>2.7712499999999998E-3</v>
      </c>
      <c r="D345" s="9">
        <f t="shared" si="8"/>
        <v>1.0096375546923044</v>
      </c>
      <c r="E345">
        <v>0.4329507375728433</v>
      </c>
      <c r="F345">
        <v>16.120605696259002</v>
      </c>
    </row>
    <row r="346" spans="1:6" x14ac:dyDescent="0.3">
      <c r="A346">
        <v>1</v>
      </c>
      <c r="B346">
        <v>10</v>
      </c>
      <c r="C346" s="8">
        <v>2.7712499999999998E-3</v>
      </c>
      <c r="D346" s="9">
        <f t="shared" si="8"/>
        <v>1.0096375546923044</v>
      </c>
      <c r="E346">
        <v>1.1530626786378788</v>
      </c>
      <c r="F346">
        <v>3.8023715629428603</v>
      </c>
    </row>
    <row r="347" spans="1:6" x14ac:dyDescent="0.3">
      <c r="A347">
        <v>1</v>
      </c>
      <c r="B347">
        <v>10</v>
      </c>
      <c r="C347" s="8">
        <v>2.7712499999999998E-3</v>
      </c>
      <c r="D347" s="9">
        <f t="shared" si="8"/>
        <v>1.0096375546923044</v>
      </c>
      <c r="E347">
        <v>1.8113245143353651</v>
      </c>
      <c r="F347">
        <v>1.2122568003196199</v>
      </c>
    </row>
    <row r="348" spans="1:6" x14ac:dyDescent="0.3">
      <c r="A348">
        <v>1</v>
      </c>
      <c r="B348">
        <v>10</v>
      </c>
      <c r="C348" s="8">
        <v>2.7712499999999998E-3</v>
      </c>
      <c r="D348" s="9">
        <f t="shared" si="8"/>
        <v>1.0096375546923044</v>
      </c>
      <c r="E348">
        <v>2.5424811170731774</v>
      </c>
      <c r="F348">
        <v>-0.13829327738151251</v>
      </c>
    </row>
    <row r="349" spans="1:6" x14ac:dyDescent="0.3">
      <c r="A349">
        <v>1</v>
      </c>
      <c r="B349">
        <v>10</v>
      </c>
      <c r="C349" s="8">
        <v>2.7712499999999998E-3</v>
      </c>
      <c r="D349" s="9">
        <f t="shared" si="8"/>
        <v>1.0096375546923044</v>
      </c>
      <c r="E349">
        <v>4.0467640369053521</v>
      </c>
      <c r="F349">
        <v>-2.2619401550169562</v>
      </c>
    </row>
    <row r="350" spans="1:6" x14ac:dyDescent="0.3">
      <c r="A350">
        <v>1</v>
      </c>
      <c r="B350">
        <v>10</v>
      </c>
      <c r="C350" s="8">
        <v>2.7712499999999998E-3</v>
      </c>
      <c r="D350" s="9">
        <f t="shared" si="8"/>
        <v>1.0096375546923044</v>
      </c>
      <c r="E350">
        <v>4.6534841181298807</v>
      </c>
      <c r="F350">
        <v>-3.3967507442054798</v>
      </c>
    </row>
    <row r="351" spans="1:6" x14ac:dyDescent="0.3">
      <c r="A351">
        <v>1</v>
      </c>
      <c r="B351">
        <v>10</v>
      </c>
      <c r="C351" s="8">
        <v>2.7712499999999998E-3</v>
      </c>
      <c r="D351" s="9">
        <f t="shared" si="8"/>
        <v>1.0096375546923044</v>
      </c>
      <c r="E351">
        <v>4.7140383165278248</v>
      </c>
      <c r="F351">
        <v>-3.611233587940585</v>
      </c>
    </row>
    <row r="352" spans="1:6" x14ac:dyDescent="0.3">
      <c r="A352">
        <v>1</v>
      </c>
      <c r="B352">
        <v>10</v>
      </c>
      <c r="C352" s="8">
        <v>1.3856300000000001E-3</v>
      </c>
      <c r="D352" s="9">
        <f t="shared" si="8"/>
        <v>1.0096375546923044</v>
      </c>
      <c r="E352">
        <v>0.53014376029327759</v>
      </c>
      <c r="F352">
        <v>16.103983173222776</v>
      </c>
    </row>
    <row r="353" spans="1:6" x14ac:dyDescent="0.3">
      <c r="A353">
        <v>1</v>
      </c>
      <c r="B353">
        <v>10</v>
      </c>
      <c r="C353" s="8">
        <v>1.3856300000000001E-3</v>
      </c>
      <c r="D353" s="9">
        <f t="shared" si="8"/>
        <v>1.0096375546923044</v>
      </c>
      <c r="E353">
        <v>1.2060770546672062</v>
      </c>
      <c r="F353">
        <v>3.7801619867093073</v>
      </c>
    </row>
    <row r="354" spans="1:6" x14ac:dyDescent="0.3">
      <c r="A354">
        <v>1</v>
      </c>
      <c r="B354">
        <v>10</v>
      </c>
      <c r="C354" s="8">
        <v>1.3856300000000001E-3</v>
      </c>
      <c r="D354" s="9">
        <f t="shared" si="8"/>
        <v>1.0096375546923044</v>
      </c>
      <c r="E354">
        <v>2.3827016782070087</v>
      </c>
      <c r="F354">
        <v>0.78671035199278661</v>
      </c>
    </row>
    <row r="355" spans="1:6" x14ac:dyDescent="0.3">
      <c r="A355">
        <v>1</v>
      </c>
      <c r="B355">
        <v>10</v>
      </c>
      <c r="C355" s="8">
        <v>1.3856300000000001E-3</v>
      </c>
      <c r="D355" s="9">
        <f t="shared" si="8"/>
        <v>1.0096375546923044</v>
      </c>
      <c r="E355">
        <v>3.3818754042041999</v>
      </c>
      <c r="F355">
        <v>-1.0213734784656026</v>
      </c>
    </row>
    <row r="356" spans="1:6" x14ac:dyDescent="0.3">
      <c r="A356">
        <v>1</v>
      </c>
      <c r="B356">
        <v>10</v>
      </c>
      <c r="C356" s="8">
        <v>1.3856300000000001E-3</v>
      </c>
      <c r="D356" s="9">
        <f t="shared" si="8"/>
        <v>1.0096375546923044</v>
      </c>
      <c r="E356">
        <v>3.9902153691407358</v>
      </c>
      <c r="F356">
        <v>-2.1812337158976978</v>
      </c>
    </row>
    <row r="357" spans="1:6" x14ac:dyDescent="0.3">
      <c r="A357">
        <v>1</v>
      </c>
      <c r="B357">
        <v>10</v>
      </c>
      <c r="C357" s="8">
        <v>1.3856300000000001E-3</v>
      </c>
      <c r="D357" s="9">
        <f t="shared" si="8"/>
        <v>1.0096375546923044</v>
      </c>
      <c r="E357">
        <v>4.5032767193801186</v>
      </c>
      <c r="F357">
        <v>-3.1525054814772329</v>
      </c>
    </row>
    <row r="358" spans="1:6" x14ac:dyDescent="0.3">
      <c r="A358">
        <v>1</v>
      </c>
      <c r="B358">
        <v>10</v>
      </c>
      <c r="C358" s="8">
        <v>1.3856300000000001E-3</v>
      </c>
      <c r="D358" s="9">
        <f t="shared" si="8"/>
        <v>1.0096375546923044</v>
      </c>
      <c r="E358">
        <v>4.6391854378567379</v>
      </c>
      <c r="F358">
        <v>-3.481482872047402</v>
      </c>
    </row>
    <row r="359" spans="1:6" x14ac:dyDescent="0.3">
      <c r="A359">
        <v>1</v>
      </c>
      <c r="B359">
        <v>10</v>
      </c>
      <c r="C359" s="8">
        <v>9.2374999999999998E-4</v>
      </c>
      <c r="D359" s="9">
        <f t="shared" si="8"/>
        <v>1.0096375546923044</v>
      </c>
      <c r="E359">
        <v>0.65384397102837577</v>
      </c>
      <c r="F359">
        <v>16.077974955361263</v>
      </c>
    </row>
    <row r="360" spans="1:6" x14ac:dyDescent="0.3">
      <c r="A360">
        <v>1</v>
      </c>
      <c r="B360">
        <v>10</v>
      </c>
      <c r="C360" s="8">
        <v>9.2374999999999998E-4</v>
      </c>
      <c r="D360" s="9">
        <f t="shared" si="8"/>
        <v>1.0096375546923044</v>
      </c>
      <c r="E360">
        <v>1.3607023180860793</v>
      </c>
      <c r="F360">
        <v>3.7096826276722776</v>
      </c>
    </row>
    <row r="361" spans="1:6" x14ac:dyDescent="0.3">
      <c r="A361">
        <v>1</v>
      </c>
      <c r="B361">
        <v>10</v>
      </c>
      <c r="C361" s="8">
        <v>9.2374999999999998E-4</v>
      </c>
      <c r="D361" s="9">
        <f t="shared" si="8"/>
        <v>1.0096375546923044</v>
      </c>
      <c r="E361">
        <v>2.3620849764178256</v>
      </c>
      <c r="F361">
        <v>0.80408151243014081</v>
      </c>
    </row>
    <row r="362" spans="1:6" x14ac:dyDescent="0.3">
      <c r="A362">
        <v>1</v>
      </c>
      <c r="B362">
        <v>10</v>
      </c>
      <c r="C362" s="8">
        <v>9.2374999999999998E-4</v>
      </c>
      <c r="D362" s="9">
        <f t="shared" si="8"/>
        <v>1.0096375546923044</v>
      </c>
      <c r="E362">
        <v>3.4834862915937448</v>
      </c>
      <c r="F362">
        <v>-1.1452521728694152</v>
      </c>
    </row>
    <row r="363" spans="1:6" x14ac:dyDescent="0.3">
      <c r="A363">
        <v>1</v>
      </c>
      <c r="B363">
        <v>10</v>
      </c>
      <c r="C363" s="8">
        <v>9.2374999999999998E-4</v>
      </c>
      <c r="D363" s="9">
        <f t="shared" si="8"/>
        <v>1.0096375546923044</v>
      </c>
      <c r="E363">
        <v>4.1156827257434783</v>
      </c>
      <c r="F363">
        <v>-2.3618366661852055</v>
      </c>
    </row>
    <row r="364" spans="1:6" x14ac:dyDescent="0.3">
      <c r="A364">
        <v>1</v>
      </c>
      <c r="B364">
        <v>10</v>
      </c>
      <c r="C364" s="8">
        <v>9.2374999999999998E-4</v>
      </c>
      <c r="D364" s="9">
        <f t="shared" si="8"/>
        <v>1.0096375546923044</v>
      </c>
      <c r="E364">
        <v>4.4959136115982679</v>
      </c>
      <c r="F364">
        <v>-3.1407387038066794</v>
      </c>
    </row>
    <row r="365" spans="1:6" x14ac:dyDescent="0.3">
      <c r="A365">
        <v>1</v>
      </c>
      <c r="B365">
        <v>10</v>
      </c>
      <c r="C365" s="8">
        <v>9.2374999999999998E-4</v>
      </c>
      <c r="D365" s="9">
        <f t="shared" si="8"/>
        <v>1.0096375546923044</v>
      </c>
      <c r="E365">
        <v>4.1659038712078189</v>
      </c>
      <c r="F365">
        <v>-2.7414580144834084</v>
      </c>
    </row>
    <row r="366" spans="1:6" x14ac:dyDescent="0.3">
      <c r="A366">
        <v>1</v>
      </c>
      <c r="B366">
        <v>15</v>
      </c>
      <c r="C366" s="8">
        <v>6.6530699999999996E-3</v>
      </c>
      <c r="D366" s="9">
        <f t="shared" si="8"/>
        <v>0.82436561138249664</v>
      </c>
      <c r="E366">
        <v>0</v>
      </c>
      <c r="F366">
        <v>18.841900017558999</v>
      </c>
    </row>
    <row r="367" spans="1:6" x14ac:dyDescent="0.3">
      <c r="A367">
        <v>1</v>
      </c>
      <c r="B367">
        <v>15</v>
      </c>
      <c r="C367" s="8">
        <v>6.6530699999999996E-3</v>
      </c>
      <c r="D367" s="9">
        <f t="shared" si="8"/>
        <v>0.82436561138249664</v>
      </c>
      <c r="E367">
        <v>0.49939542219626754</v>
      </c>
      <c r="F367">
        <v>4.6108279225671698</v>
      </c>
    </row>
    <row r="368" spans="1:6" x14ac:dyDescent="0.3">
      <c r="A368">
        <v>1</v>
      </c>
      <c r="B368">
        <v>15</v>
      </c>
      <c r="C368" s="8">
        <v>6.6530699999999996E-3</v>
      </c>
      <c r="D368" s="9">
        <f t="shared" si="8"/>
        <v>0.82436561138249664</v>
      </c>
      <c r="E368">
        <v>0.74220126441058865</v>
      </c>
      <c r="F368">
        <v>1.873445050462935</v>
      </c>
    </row>
    <row r="369" spans="1:6" x14ac:dyDescent="0.3">
      <c r="A369">
        <v>1</v>
      </c>
      <c r="B369">
        <v>15</v>
      </c>
      <c r="C369" s="8">
        <v>6.6530699999999996E-3</v>
      </c>
      <c r="D369" s="9">
        <f t="shared" si="8"/>
        <v>0.82436561138249664</v>
      </c>
      <c r="E369">
        <v>1.1562435411996383</v>
      </c>
      <c r="F369">
        <v>0.64345537217125437</v>
      </c>
    </row>
    <row r="370" spans="1:6" x14ac:dyDescent="0.3">
      <c r="A370">
        <v>1</v>
      </c>
      <c r="B370">
        <v>15</v>
      </c>
      <c r="C370" s="8">
        <v>6.6530699999999996E-3</v>
      </c>
      <c r="D370" s="9">
        <f t="shared" si="8"/>
        <v>0.82436561138249664</v>
      </c>
      <c r="E370">
        <v>1.2659832995803466</v>
      </c>
      <c r="F370">
        <v>0.11330534270309718</v>
      </c>
    </row>
    <row r="371" spans="1:6" x14ac:dyDescent="0.3">
      <c r="A371">
        <v>1</v>
      </c>
      <c r="B371">
        <v>15</v>
      </c>
      <c r="C371" s="8">
        <v>6.6530699999999996E-3</v>
      </c>
      <c r="D371" s="9">
        <f t="shared" si="8"/>
        <v>0.82436561138249664</v>
      </c>
      <c r="E371">
        <v>1.5692255304681018</v>
      </c>
      <c r="F371">
        <v>-0.46050310646352338</v>
      </c>
    </row>
    <row r="372" spans="1:6" x14ac:dyDescent="0.3">
      <c r="A372">
        <v>1</v>
      </c>
      <c r="B372">
        <v>15</v>
      </c>
      <c r="C372" s="8">
        <v>6.6530699999999996E-3</v>
      </c>
      <c r="D372" s="9">
        <f t="shared" si="8"/>
        <v>0.82436561138249664</v>
      </c>
      <c r="E372">
        <v>1.8159670161910408</v>
      </c>
      <c r="F372">
        <v>-0.94173589887161868</v>
      </c>
    </row>
    <row r="373" spans="1:6" x14ac:dyDescent="0.3">
      <c r="A373">
        <v>1</v>
      </c>
      <c r="B373">
        <v>15</v>
      </c>
      <c r="C373" s="8">
        <v>3.3265399999999998E-3</v>
      </c>
      <c r="D373" s="9">
        <f t="shared" si="8"/>
        <v>0.82436561138249664</v>
      </c>
      <c r="E373">
        <v>0.27355418031133122</v>
      </c>
      <c r="F373">
        <v>18.812000637577668</v>
      </c>
    </row>
    <row r="374" spans="1:6" x14ac:dyDescent="0.3">
      <c r="A374">
        <v>1</v>
      </c>
      <c r="B374">
        <v>15</v>
      </c>
      <c r="C374" s="8">
        <v>3.3265399999999998E-3</v>
      </c>
      <c r="D374" s="9">
        <f t="shared" si="8"/>
        <v>0.82436561138249664</v>
      </c>
      <c r="E374">
        <v>1.3200579631302614</v>
      </c>
      <c r="F374">
        <v>4.014230991776917</v>
      </c>
    </row>
    <row r="375" spans="1:6" x14ac:dyDescent="0.3">
      <c r="A375">
        <v>1</v>
      </c>
      <c r="B375">
        <v>15</v>
      </c>
      <c r="C375" s="8">
        <v>3.3265399999999998E-3</v>
      </c>
      <c r="D375" s="9">
        <f t="shared" si="8"/>
        <v>0.82436561138249664</v>
      </c>
      <c r="E375">
        <v>2.3877674963609223</v>
      </c>
      <c r="F375">
        <v>-0.1844860982357896</v>
      </c>
    </row>
    <row r="376" spans="1:6" x14ac:dyDescent="0.3">
      <c r="A376">
        <v>1</v>
      </c>
      <c r="B376">
        <v>15</v>
      </c>
      <c r="C376" s="8">
        <v>3.3265399999999998E-3</v>
      </c>
      <c r="D376" s="9">
        <f t="shared" si="8"/>
        <v>0.82436561138249664</v>
      </c>
      <c r="E376">
        <v>2.8198346609999438</v>
      </c>
      <c r="F376">
        <v>-1.9994218131714023</v>
      </c>
    </row>
    <row r="377" spans="1:6" x14ac:dyDescent="0.3">
      <c r="A377">
        <v>1</v>
      </c>
      <c r="B377">
        <v>15</v>
      </c>
      <c r="C377" s="8">
        <v>3.3265399999999998E-3</v>
      </c>
      <c r="D377" s="9">
        <f t="shared" si="8"/>
        <v>0.82436561138249664</v>
      </c>
      <c r="E377">
        <v>2.7686227737556135</v>
      </c>
      <c r="F377">
        <v>-2.3090140290753913</v>
      </c>
    </row>
    <row r="378" spans="1:6" x14ac:dyDescent="0.3">
      <c r="A378">
        <v>1</v>
      </c>
      <c r="B378">
        <v>15</v>
      </c>
      <c r="C378" s="8">
        <v>3.3265399999999998E-3</v>
      </c>
      <c r="D378" s="9">
        <f t="shared" si="8"/>
        <v>0.82436561138249664</v>
      </c>
      <c r="E378">
        <v>2.7949179042661592</v>
      </c>
      <c r="F378">
        <v>-2.597756280726562</v>
      </c>
    </row>
    <row r="379" spans="1:6" x14ac:dyDescent="0.3">
      <c r="A379">
        <v>1</v>
      </c>
      <c r="B379">
        <v>15</v>
      </c>
      <c r="C379" s="8">
        <v>3.3265399999999998E-3</v>
      </c>
      <c r="D379" s="9">
        <f t="shared" si="8"/>
        <v>0.82436561138249664</v>
      </c>
      <c r="E379">
        <v>2.98587748382129</v>
      </c>
      <c r="F379">
        <v>-3.1863215881909763</v>
      </c>
    </row>
    <row r="380" spans="1:6" x14ac:dyDescent="0.3">
      <c r="A380">
        <v>1</v>
      </c>
      <c r="B380">
        <v>15</v>
      </c>
      <c r="C380" s="8">
        <v>1.6632699999999999E-3</v>
      </c>
      <c r="D380" s="9">
        <f t="shared" si="8"/>
        <v>0.82436561138249664</v>
      </c>
      <c r="E380">
        <v>0.45168248376987252</v>
      </c>
      <c r="F380">
        <v>18.760384184954408</v>
      </c>
    </row>
    <row r="381" spans="1:6" x14ac:dyDescent="0.3">
      <c r="A381">
        <v>1</v>
      </c>
      <c r="B381">
        <v>15</v>
      </c>
      <c r="C381" s="8">
        <v>1.6632699999999999E-3</v>
      </c>
      <c r="D381" s="9">
        <f t="shared" si="8"/>
        <v>0.82436561138249664</v>
      </c>
      <c r="E381">
        <v>1.3836752143654545</v>
      </c>
      <c r="F381">
        <v>3.9455060783530933</v>
      </c>
    </row>
    <row r="382" spans="1:6" x14ac:dyDescent="0.3">
      <c r="A382">
        <v>1</v>
      </c>
      <c r="B382">
        <v>15</v>
      </c>
      <c r="C382" s="8">
        <v>1.6632699999999999E-3</v>
      </c>
      <c r="D382" s="9">
        <f t="shared" si="8"/>
        <v>0.82436561138249664</v>
      </c>
      <c r="E382">
        <v>2.4429024474314232</v>
      </c>
      <c r="F382">
        <v>-0.29090280862183587</v>
      </c>
    </row>
    <row r="383" spans="1:6" x14ac:dyDescent="0.3">
      <c r="A383">
        <v>1</v>
      </c>
      <c r="B383">
        <v>15</v>
      </c>
      <c r="C383" s="8">
        <v>1.6632699999999999E-3</v>
      </c>
      <c r="D383" s="9">
        <f t="shared" si="8"/>
        <v>0.82436561138249664</v>
      </c>
      <c r="E383">
        <v>2.5924029878341277</v>
      </c>
      <c r="F383">
        <v>-1.5076051088401929</v>
      </c>
    </row>
    <row r="384" spans="1:6" x14ac:dyDescent="0.3">
      <c r="A384">
        <v>1</v>
      </c>
      <c r="B384">
        <v>15</v>
      </c>
      <c r="C384" s="8">
        <v>1.6632699999999999E-3</v>
      </c>
      <c r="D384" s="9">
        <f t="shared" si="8"/>
        <v>0.82436561138249664</v>
      </c>
      <c r="E384">
        <v>2.8309676799661023</v>
      </c>
      <c r="F384">
        <v>-2.4485007006512429</v>
      </c>
    </row>
    <row r="385" spans="1:6" x14ac:dyDescent="0.3">
      <c r="A385">
        <v>1</v>
      </c>
      <c r="B385">
        <v>15</v>
      </c>
      <c r="C385" s="8">
        <v>1.6632699999999999E-3</v>
      </c>
      <c r="D385" s="9">
        <f t="shared" si="8"/>
        <v>0.82436561138249664</v>
      </c>
      <c r="E385">
        <v>2.8479322802954874</v>
      </c>
      <c r="F385">
        <v>-2.7172837281911346</v>
      </c>
    </row>
    <row r="386" spans="1:6" x14ac:dyDescent="0.3">
      <c r="A386">
        <v>1</v>
      </c>
      <c r="B386">
        <v>15</v>
      </c>
      <c r="C386" s="8">
        <v>1.6632699999999999E-3</v>
      </c>
      <c r="D386" s="9">
        <f t="shared" ref="D386:D449" si="9">(A386)/((9.81*B386*10^-2))^(1/2)</f>
        <v>0.82436561138249664</v>
      </c>
      <c r="E386">
        <v>2.9759934476124323</v>
      </c>
      <c r="F386">
        <v>-3.1627769311722136</v>
      </c>
    </row>
    <row r="387" spans="1:6" x14ac:dyDescent="0.3">
      <c r="A387">
        <v>1</v>
      </c>
      <c r="B387">
        <v>15</v>
      </c>
      <c r="C387" s="8">
        <v>1.10885E-3</v>
      </c>
      <c r="D387" s="9">
        <f t="shared" si="9"/>
        <v>0.82436561138249664</v>
      </c>
      <c r="E387">
        <v>0.50893800988154658</v>
      </c>
      <c r="F387">
        <v>18.738408383226652</v>
      </c>
    </row>
    <row r="388" spans="1:6" x14ac:dyDescent="0.3">
      <c r="A388">
        <v>1</v>
      </c>
      <c r="B388">
        <v>15</v>
      </c>
      <c r="C388" s="8">
        <v>1.10885E-3</v>
      </c>
      <c r="D388" s="9">
        <f t="shared" si="9"/>
        <v>0.82436561138249664</v>
      </c>
      <c r="E388">
        <v>1.170557422727557</v>
      </c>
      <c r="F388">
        <v>4.1630042587716325</v>
      </c>
    </row>
    <row r="389" spans="1:6" x14ac:dyDescent="0.3">
      <c r="A389">
        <v>1</v>
      </c>
      <c r="B389">
        <v>15</v>
      </c>
      <c r="C389" s="8">
        <v>1.10885E-3</v>
      </c>
      <c r="D389" s="9">
        <f t="shared" si="9"/>
        <v>0.82436561138249664</v>
      </c>
      <c r="E389">
        <v>2.2605329938905356</v>
      </c>
      <c r="F389">
        <v>5.1819800156402966E-2</v>
      </c>
    </row>
    <row r="390" spans="1:6" x14ac:dyDescent="0.3">
      <c r="A390">
        <v>1</v>
      </c>
      <c r="B390">
        <v>15</v>
      </c>
      <c r="C390" s="8">
        <v>1.10885E-3</v>
      </c>
      <c r="D390" s="9">
        <f t="shared" si="9"/>
        <v>0.82436561138249664</v>
      </c>
      <c r="E390">
        <v>2.3681521772300709</v>
      </c>
      <c r="F390">
        <v>-1.0631378485370158</v>
      </c>
    </row>
    <row r="391" spans="1:6" x14ac:dyDescent="0.3">
      <c r="A391">
        <v>1</v>
      </c>
      <c r="B391">
        <v>15</v>
      </c>
      <c r="C391" s="8">
        <v>1.10885E-3</v>
      </c>
      <c r="D391" s="9">
        <f t="shared" si="9"/>
        <v>0.82436561138249664</v>
      </c>
      <c r="E391">
        <v>2.5892221252723679</v>
      </c>
      <c r="F391">
        <v>-1.9249623954724819</v>
      </c>
    </row>
    <row r="392" spans="1:6" x14ac:dyDescent="0.3">
      <c r="A392">
        <v>1</v>
      </c>
      <c r="B392">
        <v>15</v>
      </c>
      <c r="C392" s="8">
        <v>1.10885E-3</v>
      </c>
      <c r="D392" s="9">
        <f t="shared" si="9"/>
        <v>0.82436561138249664</v>
      </c>
      <c r="E392">
        <v>2.5574134996547713</v>
      </c>
      <c r="F392">
        <v>-2.0898423375643644</v>
      </c>
    </row>
    <row r="393" spans="1:6" x14ac:dyDescent="0.3">
      <c r="A393">
        <v>1</v>
      </c>
      <c r="B393">
        <v>15</v>
      </c>
      <c r="C393" s="8">
        <v>1.10885E-3</v>
      </c>
      <c r="D393" s="9">
        <f t="shared" si="9"/>
        <v>0.82436561138249664</v>
      </c>
      <c r="E393">
        <v>2.5916800645246361</v>
      </c>
      <c r="F393">
        <v>-2.3035551109759598</v>
      </c>
    </row>
    <row r="394" spans="1:6" x14ac:dyDescent="0.3">
      <c r="A394">
        <v>1</v>
      </c>
      <c r="B394">
        <v>20</v>
      </c>
      <c r="C394" s="8">
        <v>7.5770400000000002E-3</v>
      </c>
      <c r="D394" s="9">
        <f t="shared" si="9"/>
        <v>0.71392156146353214</v>
      </c>
      <c r="E394">
        <v>0</v>
      </c>
      <c r="F394">
        <v>26.70337305114807</v>
      </c>
    </row>
    <row r="395" spans="1:6" x14ac:dyDescent="0.3">
      <c r="A395">
        <v>1</v>
      </c>
      <c r="B395">
        <v>20</v>
      </c>
      <c r="C395" s="8">
        <v>7.5770400000000002E-3</v>
      </c>
      <c r="D395" s="9">
        <f t="shared" si="9"/>
        <v>0.71392156146353214</v>
      </c>
      <c r="E395">
        <v>0.38908765264381634</v>
      </c>
      <c r="F395">
        <v>6.5683087572720078</v>
      </c>
    </row>
    <row r="396" spans="1:6" x14ac:dyDescent="0.3">
      <c r="A396">
        <v>1</v>
      </c>
      <c r="B396">
        <v>20</v>
      </c>
      <c r="C396" s="8">
        <v>7.5770400000000002E-3</v>
      </c>
      <c r="D396" s="9">
        <f t="shared" si="9"/>
        <v>0.71392156146353214</v>
      </c>
      <c r="E396">
        <v>0.62291891834460111</v>
      </c>
      <c r="F396">
        <v>2.6914181135039312</v>
      </c>
    </row>
    <row r="397" spans="1:6" x14ac:dyDescent="0.3">
      <c r="A397">
        <v>1</v>
      </c>
      <c r="B397">
        <v>20</v>
      </c>
      <c r="C397" s="8">
        <v>7.5770400000000002E-3</v>
      </c>
      <c r="D397" s="9">
        <f t="shared" si="9"/>
        <v>0.71392156146353214</v>
      </c>
      <c r="E397">
        <v>0.90881787478847598</v>
      </c>
      <c r="F397">
        <v>1.0822735460107329</v>
      </c>
    </row>
    <row r="398" spans="1:6" x14ac:dyDescent="0.3">
      <c r="A398">
        <v>1</v>
      </c>
      <c r="B398">
        <v>20</v>
      </c>
      <c r="C398" s="8">
        <v>7.5770400000000002E-3</v>
      </c>
      <c r="D398" s="9">
        <f t="shared" si="9"/>
        <v>0.71392156146353214</v>
      </c>
      <c r="E398">
        <v>1.1848713042554753</v>
      </c>
      <c r="F398">
        <v>7.0904985107378152E-2</v>
      </c>
    </row>
    <row r="399" spans="1:6" x14ac:dyDescent="0.3">
      <c r="A399">
        <v>1</v>
      </c>
      <c r="B399">
        <v>20</v>
      </c>
      <c r="C399" s="8">
        <v>7.5770400000000002E-3</v>
      </c>
      <c r="D399" s="9">
        <f t="shared" si="9"/>
        <v>0.71392156146353214</v>
      </c>
      <c r="E399">
        <v>1.4323348380780876</v>
      </c>
      <c r="F399">
        <v>-0.71551645003308284</v>
      </c>
    </row>
    <row r="400" spans="1:6" x14ac:dyDescent="0.3">
      <c r="A400">
        <v>1</v>
      </c>
      <c r="B400">
        <v>20</v>
      </c>
      <c r="C400" s="8">
        <v>7.5770400000000002E-3</v>
      </c>
      <c r="D400" s="9">
        <f t="shared" si="9"/>
        <v>0.71392156146353214</v>
      </c>
      <c r="E400">
        <v>1.6774698086891764</v>
      </c>
      <c r="F400">
        <v>-1.480576669259513</v>
      </c>
    </row>
    <row r="401" spans="1:6" x14ac:dyDescent="0.3">
      <c r="A401">
        <v>1</v>
      </c>
      <c r="B401">
        <v>20</v>
      </c>
      <c r="C401" s="8">
        <v>3.7885200000000001E-3</v>
      </c>
      <c r="D401" s="9">
        <f t="shared" si="9"/>
        <v>0.71392156146353214</v>
      </c>
      <c r="E401">
        <v>0.32376636789339452</v>
      </c>
      <c r="F401">
        <v>26.628914186335184</v>
      </c>
    </row>
    <row r="402" spans="1:6" x14ac:dyDescent="0.3">
      <c r="A402">
        <v>1</v>
      </c>
      <c r="B402">
        <v>20</v>
      </c>
      <c r="C402" s="8">
        <v>3.7885200000000001E-3</v>
      </c>
      <c r="D402" s="9">
        <f t="shared" si="9"/>
        <v>0.71392156146353214</v>
      </c>
      <c r="E402">
        <v>0.7185341322546388</v>
      </c>
      <c r="F402">
        <v>6.3091121549224418</v>
      </c>
    </row>
    <row r="403" spans="1:6" x14ac:dyDescent="0.3">
      <c r="A403">
        <v>1</v>
      </c>
      <c r="B403">
        <v>20</v>
      </c>
      <c r="C403" s="8">
        <v>3.7885200000000001E-3</v>
      </c>
      <c r="D403" s="9">
        <f t="shared" si="9"/>
        <v>0.71392156146353214</v>
      </c>
      <c r="E403">
        <v>1.0413538148617951</v>
      </c>
      <c r="F403">
        <v>2.1967597700927475</v>
      </c>
    </row>
    <row r="404" spans="1:6" x14ac:dyDescent="0.3">
      <c r="A404">
        <v>1</v>
      </c>
      <c r="B404">
        <v>20</v>
      </c>
      <c r="C404" s="8">
        <v>3.7885200000000001E-3</v>
      </c>
      <c r="D404" s="9">
        <f t="shared" si="9"/>
        <v>0.71392156146353214</v>
      </c>
      <c r="E404">
        <v>1.3390863373836448</v>
      </c>
      <c r="F404">
        <v>0.3952521538778464</v>
      </c>
    </row>
    <row r="405" spans="1:6" x14ac:dyDescent="0.3">
      <c r="A405">
        <v>1</v>
      </c>
      <c r="B405">
        <v>20</v>
      </c>
      <c r="C405" s="8">
        <v>3.7885200000000001E-3</v>
      </c>
      <c r="D405" s="9">
        <f t="shared" si="9"/>
        <v>0.71392156146353214</v>
      </c>
      <c r="E405">
        <v>1.7937792803637542</v>
      </c>
      <c r="F405">
        <v>-1.2174162575778982</v>
      </c>
    </row>
    <row r="406" spans="1:6" x14ac:dyDescent="0.3">
      <c r="A406">
        <v>1</v>
      </c>
      <c r="B406">
        <v>20</v>
      </c>
      <c r="C406" s="8">
        <v>3.7885200000000001E-3</v>
      </c>
      <c r="D406" s="9">
        <f t="shared" si="9"/>
        <v>0.71392156146353214</v>
      </c>
      <c r="E406">
        <v>2.2360706460941455</v>
      </c>
      <c r="F406">
        <v>-2.8098391294583198</v>
      </c>
    </row>
    <row r="407" spans="1:6" x14ac:dyDescent="0.3">
      <c r="A407">
        <v>1</v>
      </c>
      <c r="B407">
        <v>20</v>
      </c>
      <c r="C407" s="8">
        <v>3.7885200000000001E-3</v>
      </c>
      <c r="D407" s="9">
        <f t="shared" si="9"/>
        <v>0.71392156146353214</v>
      </c>
      <c r="E407">
        <v>2.4071177436116264</v>
      </c>
      <c r="F407">
        <v>-3.5923508652953644</v>
      </c>
    </row>
    <row r="408" spans="1:6" x14ac:dyDescent="0.3">
      <c r="A408">
        <v>1</v>
      </c>
      <c r="B408">
        <v>20</v>
      </c>
      <c r="C408" s="8">
        <v>1.89426E-3</v>
      </c>
      <c r="D408" s="9">
        <f t="shared" si="9"/>
        <v>0.71392156146353214</v>
      </c>
      <c r="E408">
        <v>0.36920726163281836</v>
      </c>
      <c r="F408">
        <v>26.606546734178405</v>
      </c>
    </row>
    <row r="409" spans="1:6" x14ac:dyDescent="0.3">
      <c r="A409">
        <v>1</v>
      </c>
      <c r="B409">
        <v>20</v>
      </c>
      <c r="C409" s="8">
        <v>1.89426E-3</v>
      </c>
      <c r="D409" s="9">
        <f t="shared" si="9"/>
        <v>0.71392156146353214</v>
      </c>
      <c r="E409">
        <v>0.75545485841792082</v>
      </c>
      <c r="F409">
        <v>6.2704561099168599</v>
      </c>
    </row>
    <row r="410" spans="1:6" x14ac:dyDescent="0.3">
      <c r="A410">
        <v>1</v>
      </c>
      <c r="B410">
        <v>20</v>
      </c>
      <c r="C410" s="8">
        <v>1.89426E-3</v>
      </c>
      <c r="D410" s="9">
        <f t="shared" si="9"/>
        <v>0.71392156146353214</v>
      </c>
      <c r="E410">
        <v>1.0508206677241752</v>
      </c>
      <c r="F410">
        <v>2.1826909889945907</v>
      </c>
    </row>
    <row r="411" spans="1:6" x14ac:dyDescent="0.3">
      <c r="A411">
        <v>1</v>
      </c>
      <c r="B411">
        <v>20</v>
      </c>
      <c r="C411" s="8">
        <v>1.89426E-3</v>
      </c>
      <c r="D411" s="9">
        <f t="shared" si="9"/>
        <v>0.71392156146353214</v>
      </c>
      <c r="E411">
        <v>1.4640487951670607</v>
      </c>
      <c r="F411">
        <v>0.14643716610514562</v>
      </c>
    </row>
    <row r="412" spans="1:6" x14ac:dyDescent="0.3">
      <c r="A412">
        <v>1</v>
      </c>
      <c r="B412">
        <v>20</v>
      </c>
      <c r="C412" s="8">
        <v>1.89426E-3</v>
      </c>
      <c r="D412" s="9">
        <f t="shared" si="9"/>
        <v>0.71392156146353214</v>
      </c>
      <c r="E412">
        <v>1.8164997272334662</v>
      </c>
      <c r="F412">
        <v>-1.2756816370485917</v>
      </c>
    </row>
    <row r="413" spans="1:6" x14ac:dyDescent="0.3">
      <c r="A413">
        <v>1</v>
      </c>
      <c r="B413">
        <v>20</v>
      </c>
      <c r="C413" s="8">
        <v>1.89426E-3</v>
      </c>
      <c r="D413" s="9">
        <f t="shared" si="9"/>
        <v>0.71392156146353214</v>
      </c>
      <c r="E413">
        <v>1.8715968108925174</v>
      </c>
      <c r="F413">
        <v>-1.7463952445629822</v>
      </c>
    </row>
    <row r="414" spans="1:6" x14ac:dyDescent="0.3">
      <c r="A414">
        <v>1</v>
      </c>
      <c r="B414">
        <v>20</v>
      </c>
      <c r="C414" s="8">
        <v>1.89426E-3</v>
      </c>
      <c r="D414" s="9">
        <f t="shared" si="9"/>
        <v>0.71392156146353214</v>
      </c>
      <c r="E414">
        <v>2.2759071629390411</v>
      </c>
      <c r="F414">
        <v>-3.1558870252547679</v>
      </c>
    </row>
    <row r="415" spans="1:6" x14ac:dyDescent="0.3">
      <c r="A415">
        <v>1</v>
      </c>
      <c r="B415">
        <v>20</v>
      </c>
      <c r="C415" s="8">
        <v>1.2628400000000001E-3</v>
      </c>
      <c r="D415" s="9">
        <f t="shared" si="9"/>
        <v>0.71392156146353214</v>
      </c>
      <c r="E415">
        <v>0.40896804365481421</v>
      </c>
      <c r="F415">
        <v>26.584568879036652</v>
      </c>
    </row>
    <row r="416" spans="1:6" x14ac:dyDescent="0.3">
      <c r="A416">
        <v>1</v>
      </c>
      <c r="B416">
        <v>20</v>
      </c>
      <c r="C416" s="8">
        <v>1.2628400000000001E-3</v>
      </c>
      <c r="D416" s="9">
        <f t="shared" si="9"/>
        <v>0.71392156146353214</v>
      </c>
      <c r="E416">
        <v>0.69581368538492705</v>
      </c>
      <c r="F416">
        <v>6.3319379565086633</v>
      </c>
    </row>
    <row r="417" spans="1:6" x14ac:dyDescent="0.3">
      <c r="A417">
        <v>1</v>
      </c>
      <c r="B417">
        <v>20</v>
      </c>
      <c r="C417" s="8">
        <v>1.2628400000000001E-3</v>
      </c>
      <c r="D417" s="9">
        <f t="shared" si="9"/>
        <v>0.71392156146353214</v>
      </c>
      <c r="E417">
        <v>1.1151952671883589</v>
      </c>
      <c r="F417">
        <v>2.0836467700635688</v>
      </c>
    </row>
    <row r="418" spans="1:6" x14ac:dyDescent="0.3">
      <c r="A418">
        <v>1</v>
      </c>
      <c r="B418">
        <v>20</v>
      </c>
      <c r="C418" s="8">
        <v>1.2628400000000001E-3</v>
      </c>
      <c r="D418" s="9">
        <f t="shared" si="9"/>
        <v>0.71392156146353214</v>
      </c>
      <c r="E418">
        <v>1.4313881527918495</v>
      </c>
      <c r="F418">
        <v>0.21360970733186765</v>
      </c>
    </row>
    <row r="419" spans="1:6" x14ac:dyDescent="0.3">
      <c r="A419">
        <v>1</v>
      </c>
      <c r="B419">
        <v>20</v>
      </c>
      <c r="C419" s="8">
        <v>1.2628400000000001E-3</v>
      </c>
      <c r="D419" s="9">
        <f t="shared" si="9"/>
        <v>0.71392156146353214</v>
      </c>
      <c r="E419">
        <v>1.373451013274084</v>
      </c>
      <c r="F419">
        <v>-0.27178638270709798</v>
      </c>
    </row>
    <row r="420" spans="1:6" x14ac:dyDescent="0.3">
      <c r="A420">
        <v>1</v>
      </c>
      <c r="B420">
        <v>20</v>
      </c>
      <c r="C420" s="8">
        <v>1.2628400000000001E-3</v>
      </c>
      <c r="D420" s="9">
        <f t="shared" si="9"/>
        <v>0.71392156146353214</v>
      </c>
      <c r="E420">
        <v>1.5582439811477409</v>
      </c>
      <c r="F420">
        <v>-0.98298053021621268</v>
      </c>
    </row>
    <row r="421" spans="1:6" x14ac:dyDescent="0.3">
      <c r="A421">
        <v>1</v>
      </c>
      <c r="B421">
        <v>20</v>
      </c>
      <c r="C421" s="8">
        <v>1.2628400000000001E-3</v>
      </c>
      <c r="D421" s="9">
        <f t="shared" si="9"/>
        <v>0.71392156146353214</v>
      </c>
      <c r="E421">
        <v>1.7811247827166683</v>
      </c>
      <c r="F421">
        <v>-1.7352261232978536</v>
      </c>
    </row>
    <row r="422" spans="1:6" x14ac:dyDescent="0.3">
      <c r="A422">
        <v>1</v>
      </c>
      <c r="B422">
        <v>30</v>
      </c>
      <c r="C422" s="8">
        <v>9.1083599999999994E-3</v>
      </c>
      <c r="D422" s="9">
        <f t="shared" si="9"/>
        <v>0.58291451398555749</v>
      </c>
      <c r="E422">
        <v>0</v>
      </c>
      <c r="F422">
        <v>36.346257740493073</v>
      </c>
    </row>
    <row r="423" spans="1:6" x14ac:dyDescent="0.3">
      <c r="A423">
        <v>1</v>
      </c>
      <c r="B423">
        <v>30</v>
      </c>
      <c r="C423" s="8">
        <v>9.1083599999999994E-3</v>
      </c>
      <c r="D423" s="9">
        <f t="shared" si="9"/>
        <v>0.58291451398555749</v>
      </c>
      <c r="E423">
        <v>0.30704159450318985</v>
      </c>
      <c r="F423">
        <v>8.9358933598784773</v>
      </c>
    </row>
    <row r="424" spans="1:6" x14ac:dyDescent="0.3">
      <c r="A424">
        <v>1</v>
      </c>
      <c r="B424">
        <v>30</v>
      </c>
      <c r="C424" s="8">
        <v>9.1083599999999994E-3</v>
      </c>
      <c r="D424" s="9">
        <f t="shared" si="9"/>
        <v>0.58291451398555749</v>
      </c>
      <c r="E424">
        <v>0.49185559982765192</v>
      </c>
      <c r="F424">
        <v>3.6518295920042991</v>
      </c>
    </row>
    <row r="425" spans="1:6" x14ac:dyDescent="0.3">
      <c r="A425">
        <v>1</v>
      </c>
      <c r="B425">
        <v>30</v>
      </c>
      <c r="C425" s="8">
        <v>9.1083599999999994E-3</v>
      </c>
      <c r="D425" s="9">
        <f t="shared" si="9"/>
        <v>0.58291451398555749</v>
      </c>
      <c r="E425">
        <v>0.68697795604670542</v>
      </c>
      <c r="F425">
        <v>1.517381129030736</v>
      </c>
    </row>
    <row r="426" spans="1:6" x14ac:dyDescent="0.3">
      <c r="A426">
        <v>1</v>
      </c>
      <c r="B426">
        <v>30</v>
      </c>
      <c r="C426" s="8">
        <v>9.1083599999999994E-3</v>
      </c>
      <c r="D426" s="9">
        <f t="shared" si="9"/>
        <v>0.58291451398555749</v>
      </c>
      <c r="E426">
        <v>0.88710722555741772</v>
      </c>
      <c r="F426">
        <v>0.19611951238188197</v>
      </c>
    </row>
    <row r="427" spans="1:6" x14ac:dyDescent="0.3">
      <c r="A427">
        <v>1</v>
      </c>
      <c r="B427">
        <v>30</v>
      </c>
      <c r="C427" s="8">
        <v>9.1083599999999994E-3</v>
      </c>
      <c r="D427" s="9">
        <f t="shared" si="9"/>
        <v>0.58291451398555749</v>
      </c>
      <c r="E427">
        <v>1.0794316008193678</v>
      </c>
      <c r="F427">
        <v>-0.85257913920820116</v>
      </c>
    </row>
    <row r="428" spans="1:6" x14ac:dyDescent="0.3">
      <c r="A428">
        <v>1</v>
      </c>
      <c r="B428">
        <v>30</v>
      </c>
      <c r="C428" s="8">
        <v>9.1083599999999994E-3</v>
      </c>
      <c r="D428" s="9">
        <f t="shared" si="9"/>
        <v>0.58291451398555749</v>
      </c>
      <c r="E428">
        <v>1.2760725980184284</v>
      </c>
      <c r="F428">
        <v>-1.8837115273269152</v>
      </c>
    </row>
    <row r="429" spans="1:6" x14ac:dyDescent="0.3">
      <c r="A429">
        <v>1</v>
      </c>
      <c r="B429">
        <v>30</v>
      </c>
      <c r="C429" s="8">
        <v>4.5541799999999997E-3</v>
      </c>
      <c r="D429" s="9">
        <f t="shared" si="9"/>
        <v>0.58291451398555749</v>
      </c>
      <c r="E429">
        <v>0.2385646921319749</v>
      </c>
      <c r="F429">
        <v>36.25529829627925</v>
      </c>
    </row>
    <row r="430" spans="1:6" x14ac:dyDescent="0.3">
      <c r="A430">
        <v>1</v>
      </c>
      <c r="B430">
        <v>30</v>
      </c>
      <c r="C430" s="8">
        <v>4.5541799999999997E-3</v>
      </c>
      <c r="D430" s="9">
        <f t="shared" si="9"/>
        <v>0.58291451398555749</v>
      </c>
      <c r="E430">
        <v>0.44620433158017525</v>
      </c>
      <c r="F430">
        <v>8.7683623465000906</v>
      </c>
    </row>
    <row r="431" spans="1:6" x14ac:dyDescent="0.3">
      <c r="A431">
        <v>1</v>
      </c>
      <c r="B431">
        <v>30</v>
      </c>
      <c r="C431" s="8">
        <v>4.5541799999999997E-3</v>
      </c>
      <c r="D431" s="9">
        <f t="shared" si="9"/>
        <v>0.58291451398555749</v>
      </c>
      <c r="E431">
        <v>0.71863931950866522</v>
      </c>
      <c r="F431">
        <v>3.2130864840886186</v>
      </c>
    </row>
    <row r="432" spans="1:6" x14ac:dyDescent="0.3">
      <c r="A432">
        <v>1</v>
      </c>
      <c r="B432">
        <v>30</v>
      </c>
      <c r="C432" s="8">
        <v>4.5541799999999997E-3</v>
      </c>
      <c r="D432" s="9">
        <f t="shared" si="9"/>
        <v>0.58291451398555749</v>
      </c>
      <c r="E432">
        <v>0.83166302396007907</v>
      </c>
      <c r="F432">
        <v>1.1662136502709954</v>
      </c>
    </row>
    <row r="433" spans="1:6" x14ac:dyDescent="0.3">
      <c r="A433">
        <v>1</v>
      </c>
      <c r="B433">
        <v>30</v>
      </c>
      <c r="C433" s="8">
        <v>4.5541799999999997E-3</v>
      </c>
      <c r="D433" s="9">
        <f t="shared" si="9"/>
        <v>0.58291451398555749</v>
      </c>
      <c r="E433">
        <v>1.0823768439321084</v>
      </c>
      <c r="F433">
        <v>-0.41852302334824143</v>
      </c>
    </row>
    <row r="434" spans="1:6" x14ac:dyDescent="0.3">
      <c r="A434">
        <v>1</v>
      </c>
      <c r="B434">
        <v>30</v>
      </c>
      <c r="C434" s="8">
        <v>4.5541799999999997E-3</v>
      </c>
      <c r="D434" s="9">
        <f t="shared" si="9"/>
        <v>0.58291451398555749</v>
      </c>
      <c r="E434">
        <v>1.2156490947836129</v>
      </c>
      <c r="F434">
        <v>-1.3522296184480147</v>
      </c>
    </row>
    <row r="435" spans="1:6" x14ac:dyDescent="0.3">
      <c r="A435">
        <v>1</v>
      </c>
      <c r="B435">
        <v>30</v>
      </c>
      <c r="C435" s="8">
        <v>4.5541799999999997E-3</v>
      </c>
      <c r="D435" s="9">
        <f t="shared" si="9"/>
        <v>0.58291451398555749</v>
      </c>
      <c r="E435">
        <v>1.4134416519570188</v>
      </c>
      <c r="F435">
        <v>-2.4797646383302299</v>
      </c>
    </row>
    <row r="436" spans="1:6" x14ac:dyDescent="0.3">
      <c r="A436">
        <v>1</v>
      </c>
      <c r="B436">
        <v>30</v>
      </c>
      <c r="C436" s="8">
        <v>2.2770899999999998E-3</v>
      </c>
      <c r="D436" s="9">
        <f t="shared" si="9"/>
        <v>0.58291451398555749</v>
      </c>
      <c r="E436">
        <v>0.27390760948486009</v>
      </c>
      <c r="F436">
        <v>36.226350983443027</v>
      </c>
    </row>
    <row r="437" spans="1:6" x14ac:dyDescent="0.3">
      <c r="A437">
        <v>1</v>
      </c>
      <c r="B437">
        <v>30</v>
      </c>
      <c r="C437" s="8">
        <v>2.2770899999999998E-3</v>
      </c>
      <c r="D437" s="9">
        <f t="shared" si="9"/>
        <v>0.58291451398555749</v>
      </c>
      <c r="E437">
        <v>0.55444201597338605</v>
      </c>
      <c r="F437">
        <v>8.5952633424522347</v>
      </c>
    </row>
    <row r="438" spans="1:6" x14ac:dyDescent="0.3">
      <c r="A438">
        <v>1</v>
      </c>
      <c r="B438">
        <v>30</v>
      </c>
      <c r="C438" s="8">
        <v>2.2770899999999998E-3</v>
      </c>
      <c r="D438" s="9">
        <f t="shared" si="9"/>
        <v>0.58291451398555749</v>
      </c>
      <c r="E438">
        <v>0.87179196137116755</v>
      </c>
      <c r="F438">
        <v>2.8237950356014849</v>
      </c>
    </row>
    <row r="439" spans="1:6" x14ac:dyDescent="0.3">
      <c r="A439">
        <v>1</v>
      </c>
      <c r="B439">
        <v>30</v>
      </c>
      <c r="C439" s="8">
        <v>2.2770899999999998E-3</v>
      </c>
      <c r="D439" s="9">
        <f t="shared" si="9"/>
        <v>0.58291451398555749</v>
      </c>
      <c r="E439">
        <v>1.0812723777648305</v>
      </c>
      <c r="F439">
        <v>0.40308699630356981</v>
      </c>
    </row>
    <row r="440" spans="1:6" x14ac:dyDescent="0.3">
      <c r="A440">
        <v>1</v>
      </c>
      <c r="B440">
        <v>30</v>
      </c>
      <c r="C440" s="8">
        <v>2.2770899999999998E-3</v>
      </c>
      <c r="D440" s="9">
        <f t="shared" si="9"/>
        <v>0.58291451398555749</v>
      </c>
      <c r="E440">
        <v>1.1292062094246811</v>
      </c>
      <c r="F440">
        <v>-0.5840455049663652</v>
      </c>
    </row>
    <row r="441" spans="1:6" x14ac:dyDescent="0.3">
      <c r="A441">
        <v>1</v>
      </c>
      <c r="B441">
        <v>30</v>
      </c>
      <c r="C441" s="8">
        <v>2.2770899999999998E-3</v>
      </c>
      <c r="D441" s="9">
        <f t="shared" si="9"/>
        <v>0.58291451398555749</v>
      </c>
      <c r="E441">
        <v>1.1029935457212914</v>
      </c>
      <c r="F441">
        <v>-0.9347628894443738</v>
      </c>
    </row>
    <row r="442" spans="1:6" x14ac:dyDescent="0.3">
      <c r="A442">
        <v>1</v>
      </c>
      <c r="B442">
        <v>30</v>
      </c>
      <c r="C442" s="8">
        <v>2.2770899999999998E-3</v>
      </c>
      <c r="D442" s="9">
        <f t="shared" si="9"/>
        <v>0.58291451398555749</v>
      </c>
      <c r="E442">
        <v>1.2093514720101946</v>
      </c>
      <c r="F442">
        <v>-1.6130305095493331</v>
      </c>
    </row>
    <row r="443" spans="1:6" x14ac:dyDescent="0.3">
      <c r="A443">
        <v>1</v>
      </c>
      <c r="B443">
        <v>30</v>
      </c>
      <c r="C443" s="8">
        <v>1.5180599999999999E-3</v>
      </c>
      <c r="D443" s="9">
        <f t="shared" si="9"/>
        <v>0.58291451398555749</v>
      </c>
      <c r="E443">
        <v>0.17671458676442589</v>
      </c>
      <c r="F443">
        <v>36.296348580430617</v>
      </c>
    </row>
    <row r="444" spans="1:6" x14ac:dyDescent="0.3">
      <c r="A444">
        <v>1</v>
      </c>
      <c r="B444">
        <v>30</v>
      </c>
      <c r="C444" s="8">
        <v>1.5180599999999999E-3</v>
      </c>
      <c r="D444" s="9">
        <f t="shared" si="9"/>
        <v>0.58291451398555749</v>
      </c>
      <c r="E444">
        <v>0.57874027165349473</v>
      </c>
      <c r="F444">
        <v>8.5512575002284201</v>
      </c>
    </row>
    <row r="445" spans="1:6" x14ac:dyDescent="0.3">
      <c r="A445">
        <v>1</v>
      </c>
      <c r="B445">
        <v>30</v>
      </c>
      <c r="C445" s="8">
        <v>1.5180599999999999E-3</v>
      </c>
      <c r="D445" s="9">
        <f t="shared" si="9"/>
        <v>0.58291451398555749</v>
      </c>
      <c r="E445">
        <v>0.73483815662873753</v>
      </c>
      <c r="F445">
        <v>3.175457056949865</v>
      </c>
    </row>
    <row r="446" spans="1:6" x14ac:dyDescent="0.3">
      <c r="A446">
        <v>1</v>
      </c>
      <c r="B446">
        <v>30</v>
      </c>
      <c r="C446" s="8">
        <v>1.5180599999999999E-3</v>
      </c>
      <c r="D446" s="9">
        <f t="shared" si="9"/>
        <v>0.58291451398555749</v>
      </c>
      <c r="E446">
        <v>0.7145896102286472</v>
      </c>
      <c r="F446">
        <v>1.455530812508028</v>
      </c>
    </row>
    <row r="447" spans="1:6" x14ac:dyDescent="0.3">
      <c r="A447">
        <v>1</v>
      </c>
      <c r="B447">
        <v>30</v>
      </c>
      <c r="C447" s="8">
        <v>1.5180599999999999E-3</v>
      </c>
      <c r="D447" s="9">
        <f t="shared" si="9"/>
        <v>0.58291451398555749</v>
      </c>
      <c r="E447">
        <v>0.67770044024157317</v>
      </c>
      <c r="F447">
        <v>0.71982506302021221</v>
      </c>
    </row>
    <row r="448" spans="1:6" x14ac:dyDescent="0.3">
      <c r="A448">
        <v>1</v>
      </c>
      <c r="B448">
        <v>30</v>
      </c>
      <c r="C448" s="8">
        <v>1.5180599999999999E-3</v>
      </c>
      <c r="D448" s="9">
        <f t="shared" si="9"/>
        <v>0.58291451398555749</v>
      </c>
      <c r="E448">
        <v>0.7628179661997716</v>
      </c>
      <c r="F448">
        <v>7.9630391083304636E-2</v>
      </c>
    </row>
    <row r="449" spans="1:6" x14ac:dyDescent="0.3">
      <c r="A449">
        <v>1</v>
      </c>
      <c r="B449">
        <v>30</v>
      </c>
      <c r="C449" s="8">
        <v>1.5180599999999999E-3</v>
      </c>
      <c r="D449" s="9">
        <f t="shared" si="9"/>
        <v>0.58291451398555749</v>
      </c>
      <c r="E449">
        <v>0.83014275876512056</v>
      </c>
      <c r="F449">
        <v>-0.37697990605051046</v>
      </c>
    </row>
    <row r="450" spans="1:6" x14ac:dyDescent="0.3">
      <c r="A450">
        <v>1</v>
      </c>
      <c r="B450">
        <v>40</v>
      </c>
      <c r="C450" s="8">
        <v>1.0389860000000001E-2</v>
      </c>
      <c r="D450" s="9">
        <f t="shared" ref="D450:D505" si="10">(A450)/((9.81*B450*10^-2))^(1/2)</f>
        <v>0.50481877734615221</v>
      </c>
      <c r="E450">
        <v>0</v>
      </c>
      <c r="F450">
        <v>49.81664359809659</v>
      </c>
    </row>
    <row r="451" spans="1:6" x14ac:dyDescent="0.3">
      <c r="A451">
        <v>1</v>
      </c>
      <c r="B451">
        <v>40</v>
      </c>
      <c r="C451" s="8">
        <v>1.0389860000000001E-2</v>
      </c>
      <c r="D451" s="9">
        <f t="shared" si="10"/>
        <v>0.50481877734615221</v>
      </c>
      <c r="E451">
        <v>0.27929524932523897</v>
      </c>
      <c r="F451">
        <v>12.232525037691065</v>
      </c>
    </row>
    <row r="452" spans="1:6" x14ac:dyDescent="0.3">
      <c r="A452">
        <v>1</v>
      </c>
      <c r="B452">
        <v>40</v>
      </c>
      <c r="C452" s="8">
        <v>1.0389860000000001E-2</v>
      </c>
      <c r="D452" s="9">
        <f t="shared" si="10"/>
        <v>0.50481877734615221</v>
      </c>
      <c r="E452">
        <v>0.42928714248138572</v>
      </c>
      <c r="F452">
        <v>5.0115716987706422</v>
      </c>
    </row>
    <row r="453" spans="1:6" x14ac:dyDescent="0.3">
      <c r="A453">
        <v>1</v>
      </c>
      <c r="B453">
        <v>40</v>
      </c>
      <c r="C453" s="8">
        <v>1.0389860000000001E-2</v>
      </c>
      <c r="D453" s="9">
        <f t="shared" si="10"/>
        <v>0.50481877734615221</v>
      </c>
      <c r="E453">
        <v>0.73508957982128864</v>
      </c>
      <c r="F453">
        <v>1.5782394518502811</v>
      </c>
    </row>
    <row r="454" spans="1:6" x14ac:dyDescent="0.3">
      <c r="A454">
        <v>1</v>
      </c>
      <c r="B454">
        <v>40</v>
      </c>
      <c r="C454" s="8">
        <v>1.0389860000000001E-2</v>
      </c>
      <c r="D454" s="9">
        <f t="shared" si="10"/>
        <v>0.50481877734615221</v>
      </c>
      <c r="E454">
        <v>0.93098416441746312</v>
      </c>
      <c r="F454">
        <v>-0.46995494311038188</v>
      </c>
    </row>
    <row r="455" spans="1:6" x14ac:dyDescent="0.3">
      <c r="A455">
        <v>1</v>
      </c>
      <c r="B455">
        <v>40</v>
      </c>
      <c r="C455" s="8">
        <v>1.0389860000000001E-2</v>
      </c>
      <c r="D455" s="9">
        <f t="shared" si="10"/>
        <v>0.50481877734615221</v>
      </c>
      <c r="E455">
        <v>1.1611441383984471</v>
      </c>
      <c r="F455">
        <v>-2.4469666371423102</v>
      </c>
    </row>
    <row r="456" spans="1:6" x14ac:dyDescent="0.3">
      <c r="A456">
        <v>1</v>
      </c>
      <c r="B456">
        <v>40</v>
      </c>
      <c r="C456" s="8">
        <v>1.0389860000000001E-2</v>
      </c>
      <c r="D456" s="9">
        <f t="shared" si="10"/>
        <v>0.50481877734615221</v>
      </c>
      <c r="E456">
        <v>1.2560607453774515</v>
      </c>
      <c r="F456">
        <v>-3.5071893939566201</v>
      </c>
    </row>
    <row r="457" spans="1:6" x14ac:dyDescent="0.3">
      <c r="A457">
        <v>1</v>
      </c>
      <c r="B457">
        <v>40</v>
      </c>
      <c r="C457" s="8">
        <v>5.1949300000000004E-3</v>
      </c>
      <c r="D457" s="9">
        <f t="shared" si="10"/>
        <v>0.50481877734615221</v>
      </c>
      <c r="E457">
        <v>0.15516402740291055</v>
      </c>
      <c r="F457">
        <v>49.748237467901191</v>
      </c>
    </row>
    <row r="458" spans="1:6" x14ac:dyDescent="0.3">
      <c r="A458">
        <v>1</v>
      </c>
      <c r="B458">
        <v>40</v>
      </c>
      <c r="C458" s="8">
        <v>5.1949300000000004E-3</v>
      </c>
      <c r="D458" s="9">
        <f t="shared" si="10"/>
        <v>0.50481877734615221</v>
      </c>
      <c r="E458">
        <v>0.38403096782220358</v>
      </c>
      <c r="F458">
        <v>12.035130598245978</v>
      </c>
    </row>
    <row r="459" spans="1:6" x14ac:dyDescent="0.3">
      <c r="A459">
        <v>1</v>
      </c>
      <c r="B459">
        <v>40</v>
      </c>
      <c r="C459" s="8">
        <v>5.1949300000000004E-3</v>
      </c>
      <c r="D459" s="9">
        <f t="shared" si="10"/>
        <v>0.50481877734615221</v>
      </c>
      <c r="E459">
        <v>0.52755769316989565</v>
      </c>
      <c r="F459">
        <v>4.7444077569519569</v>
      </c>
    </row>
    <row r="460" spans="1:6" x14ac:dyDescent="0.3">
      <c r="A460">
        <v>1</v>
      </c>
      <c r="B460">
        <v>40</v>
      </c>
      <c r="C460" s="8">
        <v>5.1949300000000004E-3</v>
      </c>
      <c r="D460" s="9">
        <f t="shared" si="10"/>
        <v>0.50481877734615221</v>
      </c>
      <c r="E460">
        <v>0.74575710670523865</v>
      </c>
      <c r="F460">
        <v>1.5333559452529348</v>
      </c>
    </row>
    <row r="461" spans="1:6" x14ac:dyDescent="0.3">
      <c r="A461">
        <v>1</v>
      </c>
      <c r="B461">
        <v>40</v>
      </c>
      <c r="C461" s="8">
        <v>5.1949300000000004E-3</v>
      </c>
      <c r="D461" s="9">
        <f t="shared" si="10"/>
        <v>0.50481877734615221</v>
      </c>
      <c r="E461">
        <v>0.96899935113117619</v>
      </c>
      <c r="F461">
        <v>-0.6751750438498243</v>
      </c>
    </row>
    <row r="462" spans="1:6" x14ac:dyDescent="0.3">
      <c r="A462">
        <v>1</v>
      </c>
      <c r="B462">
        <v>40</v>
      </c>
      <c r="C462" s="8">
        <v>5.1949300000000004E-3</v>
      </c>
      <c r="D462" s="9">
        <f t="shared" si="10"/>
        <v>0.50481877734615221</v>
      </c>
      <c r="E462">
        <v>0.99369629215947264</v>
      </c>
      <c r="F462">
        <v>-1.4217689518509065</v>
      </c>
    </row>
    <row r="463" spans="1:6" x14ac:dyDescent="0.3">
      <c r="A463">
        <v>1</v>
      </c>
      <c r="B463">
        <v>40</v>
      </c>
      <c r="C463" s="8">
        <v>5.1949300000000004E-3</v>
      </c>
      <c r="D463" s="9">
        <f t="shared" si="10"/>
        <v>0.50481877734615221</v>
      </c>
      <c r="E463">
        <v>1.0061912185158128</v>
      </c>
      <c r="F463">
        <v>-1.9077337416331761</v>
      </c>
    </row>
    <row r="464" spans="1:6" x14ac:dyDescent="0.3">
      <c r="A464">
        <v>1</v>
      </c>
      <c r="B464">
        <v>40</v>
      </c>
      <c r="C464" s="8">
        <v>2.5974700000000002E-3</v>
      </c>
      <c r="D464" s="9">
        <f t="shared" si="10"/>
        <v>0.50481877734615221</v>
      </c>
      <c r="E464">
        <v>0.15516402740291055</v>
      </c>
      <c r="F464">
        <v>49.748237467901191</v>
      </c>
    </row>
    <row r="465" spans="1:6" x14ac:dyDescent="0.3">
      <c r="A465">
        <v>1</v>
      </c>
      <c r="B465">
        <v>40</v>
      </c>
      <c r="C465" s="8">
        <v>2.5974700000000002E-3</v>
      </c>
      <c r="D465" s="9">
        <f t="shared" si="10"/>
        <v>0.50481877734615221</v>
      </c>
      <c r="E465">
        <v>0.38015186713713078</v>
      </c>
      <c r="F465">
        <v>12.043553103026285</v>
      </c>
    </row>
    <row r="466" spans="1:6" x14ac:dyDescent="0.3">
      <c r="A466">
        <v>1</v>
      </c>
      <c r="B466">
        <v>40</v>
      </c>
      <c r="C466" s="8">
        <v>2.5974700000000002E-3</v>
      </c>
      <c r="D466" s="9">
        <f t="shared" si="10"/>
        <v>0.50481877734615221</v>
      </c>
      <c r="E466">
        <v>0.52367859248482296</v>
      </c>
      <c r="F466">
        <v>4.7559940452538028</v>
      </c>
    </row>
    <row r="467" spans="1:6" x14ac:dyDescent="0.3">
      <c r="A467">
        <v>1</v>
      </c>
      <c r="B467">
        <v>40</v>
      </c>
      <c r="C467" s="8">
        <v>2.5974700000000002E-3</v>
      </c>
      <c r="D467" s="9">
        <f t="shared" si="10"/>
        <v>0.50481877734615221</v>
      </c>
      <c r="E467">
        <v>0.66720531783251524</v>
      </c>
      <c r="F467">
        <v>1.8487108775681704</v>
      </c>
    </row>
    <row r="468" spans="1:6" x14ac:dyDescent="0.3">
      <c r="A468">
        <v>1</v>
      </c>
      <c r="B468">
        <v>40</v>
      </c>
      <c r="C468" s="8">
        <v>2.5974700000000002E-3</v>
      </c>
      <c r="D468" s="9">
        <f t="shared" si="10"/>
        <v>0.50481877734615221</v>
      </c>
      <c r="E468">
        <v>0.57333108125375432</v>
      </c>
      <c r="F468">
        <v>1.0587151382128708</v>
      </c>
    </row>
    <row r="469" spans="1:6" x14ac:dyDescent="0.3">
      <c r="A469">
        <v>1</v>
      </c>
      <c r="B469">
        <v>40</v>
      </c>
      <c r="C469" s="8">
        <v>2.5974700000000002E-3</v>
      </c>
      <c r="D469" s="9">
        <f t="shared" si="10"/>
        <v>0.50481877734615221</v>
      </c>
      <c r="E469">
        <v>0.55471139796540514</v>
      </c>
      <c r="F469">
        <v>0.50952255777415367</v>
      </c>
    </row>
    <row r="470" spans="1:6" x14ac:dyDescent="0.3">
      <c r="A470">
        <v>1</v>
      </c>
      <c r="B470">
        <v>40</v>
      </c>
      <c r="C470" s="8">
        <v>2.5974700000000002E-3</v>
      </c>
      <c r="D470" s="9">
        <f t="shared" si="10"/>
        <v>0.50481877734615221</v>
      </c>
      <c r="E470">
        <v>0.65935507000543592</v>
      </c>
      <c r="F470">
        <v>-0.27296816551134173</v>
      </c>
    </row>
    <row r="471" spans="1:6" x14ac:dyDescent="0.3">
      <c r="A471">
        <v>1</v>
      </c>
      <c r="B471">
        <v>40</v>
      </c>
      <c r="C471" s="8">
        <v>1.73164E-3</v>
      </c>
      <c r="D471" s="9">
        <f t="shared" si="10"/>
        <v>0.50481877734615221</v>
      </c>
      <c r="E471">
        <v>0</v>
      </c>
      <c r="F471">
        <v>49.81664359809659</v>
      </c>
    </row>
    <row r="472" spans="1:6" x14ac:dyDescent="0.3">
      <c r="A472">
        <v>1</v>
      </c>
      <c r="B472">
        <v>40</v>
      </c>
      <c r="C472" s="8">
        <v>1.73164E-3</v>
      </c>
      <c r="D472" s="9">
        <f t="shared" si="10"/>
        <v>0.50481877734615221</v>
      </c>
      <c r="E472">
        <v>0.25796019555733879</v>
      </c>
      <c r="F472">
        <v>12.26509276873878</v>
      </c>
    </row>
    <row r="473" spans="1:6" x14ac:dyDescent="0.3">
      <c r="A473">
        <v>1</v>
      </c>
      <c r="B473">
        <v>40</v>
      </c>
      <c r="C473" s="8">
        <v>1.73164E-3</v>
      </c>
      <c r="D473" s="9">
        <f t="shared" si="10"/>
        <v>0.50481877734615221</v>
      </c>
      <c r="E473">
        <v>0.27153704795509337</v>
      </c>
      <c r="F473">
        <v>5.3256888482873332</v>
      </c>
    </row>
    <row r="474" spans="1:6" x14ac:dyDescent="0.3">
      <c r="A474">
        <v>1</v>
      </c>
      <c r="B474">
        <v>40</v>
      </c>
      <c r="C474" s="8">
        <v>1.73164E-3</v>
      </c>
      <c r="D474" s="9">
        <f t="shared" si="10"/>
        <v>0.50481877734615221</v>
      </c>
      <c r="E474">
        <v>0.23662514178943855</v>
      </c>
      <c r="F474">
        <v>2.9544532183453698</v>
      </c>
    </row>
    <row r="475" spans="1:6" x14ac:dyDescent="0.3">
      <c r="A475">
        <v>1</v>
      </c>
      <c r="B475">
        <v>40</v>
      </c>
      <c r="C475" s="8">
        <v>1.73164E-3</v>
      </c>
      <c r="D475" s="9">
        <f t="shared" si="10"/>
        <v>0.50481877734615221</v>
      </c>
      <c r="E475">
        <v>0.35454980261565056</v>
      </c>
      <c r="F475">
        <v>1.6355019467944083</v>
      </c>
    </row>
    <row r="476" spans="1:6" x14ac:dyDescent="0.3">
      <c r="A476">
        <v>1</v>
      </c>
      <c r="B476">
        <v>40</v>
      </c>
      <c r="C476" s="8">
        <v>1.73164E-3</v>
      </c>
      <c r="D476" s="9">
        <f t="shared" si="10"/>
        <v>0.50481877734615221</v>
      </c>
      <c r="E476">
        <v>0.3885565852881217</v>
      </c>
      <c r="F476">
        <v>0.95483102646262874</v>
      </c>
    </row>
    <row r="477" spans="1:6" x14ac:dyDescent="0.3">
      <c r="A477">
        <v>1</v>
      </c>
      <c r="B477">
        <v>40</v>
      </c>
      <c r="C477" s="8">
        <v>1.73164E-3</v>
      </c>
      <c r="D477" s="9">
        <f t="shared" si="10"/>
        <v>0.50481877734615221</v>
      </c>
      <c r="E477">
        <v>0.45472124594227514</v>
      </c>
      <c r="F477">
        <v>0.40141471331746365</v>
      </c>
    </row>
    <row r="478" spans="1:6" x14ac:dyDescent="0.3">
      <c r="A478">
        <v>1</v>
      </c>
      <c r="B478">
        <v>60</v>
      </c>
      <c r="C478" s="8">
        <v>1.2535019999999999E-2</v>
      </c>
      <c r="D478" s="9">
        <f t="shared" si="10"/>
        <v>0.41218280569124832</v>
      </c>
      <c r="E478">
        <v>0</v>
      </c>
      <c r="F478">
        <v>85.296061623683187</v>
      </c>
    </row>
    <row r="479" spans="1:6" x14ac:dyDescent="0.3">
      <c r="A479">
        <v>1</v>
      </c>
      <c r="B479">
        <v>60</v>
      </c>
      <c r="C479" s="8">
        <v>1.2535019999999999E-2</v>
      </c>
      <c r="D479" s="9">
        <f t="shared" si="10"/>
        <v>0.41218280569124832</v>
      </c>
      <c r="E479">
        <v>0.17257871345717332</v>
      </c>
      <c r="F479">
        <v>21.133614106670137</v>
      </c>
    </row>
    <row r="480" spans="1:6" x14ac:dyDescent="0.3">
      <c r="A480">
        <v>1</v>
      </c>
      <c r="B480">
        <v>60</v>
      </c>
      <c r="C480" s="8">
        <v>1.2535019999999999E-2</v>
      </c>
      <c r="D480" s="9">
        <f t="shared" si="10"/>
        <v>0.41218280569124832</v>
      </c>
      <c r="E480">
        <v>0.30567863625420899</v>
      </c>
      <c r="F480">
        <v>8.8799946373160843</v>
      </c>
    </row>
    <row r="481" spans="1:6" x14ac:dyDescent="0.3">
      <c r="A481">
        <v>1</v>
      </c>
      <c r="B481">
        <v>60</v>
      </c>
      <c r="C481" s="8">
        <v>1.2535019999999999E-2</v>
      </c>
      <c r="D481" s="9">
        <f t="shared" si="10"/>
        <v>0.41218280569124832</v>
      </c>
      <c r="E481">
        <v>0.38830210527864001</v>
      </c>
      <c r="F481">
        <v>4.3670972740237364</v>
      </c>
    </row>
    <row r="482" spans="1:6" x14ac:dyDescent="0.3">
      <c r="A482">
        <v>1</v>
      </c>
      <c r="B482">
        <v>60</v>
      </c>
      <c r="C482" s="8">
        <v>1.2535019999999999E-2</v>
      </c>
      <c r="D482" s="9">
        <f t="shared" si="10"/>
        <v>0.41218280569124832</v>
      </c>
      <c r="E482">
        <v>0.46088668182092168</v>
      </c>
      <c r="F482">
        <v>2.053892492755323</v>
      </c>
    </row>
    <row r="483" spans="1:6" x14ac:dyDescent="0.3">
      <c r="A483">
        <v>1</v>
      </c>
      <c r="B483">
        <v>60</v>
      </c>
      <c r="C483" s="8">
        <v>1.2535019999999999E-2</v>
      </c>
      <c r="D483" s="9">
        <f t="shared" si="10"/>
        <v>0.41218280569124832</v>
      </c>
      <c r="E483">
        <v>0.54085943204388631</v>
      </c>
      <c r="F483">
        <v>0.49923746194897489</v>
      </c>
    </row>
    <row r="484" spans="1:6" x14ac:dyDescent="0.3">
      <c r="A484">
        <v>1</v>
      </c>
      <c r="B484">
        <v>60</v>
      </c>
      <c r="C484" s="8">
        <v>1.2535019999999999E-2</v>
      </c>
      <c r="D484" s="9">
        <f t="shared" si="10"/>
        <v>0.41218280569124832</v>
      </c>
      <c r="E484">
        <v>0.49241280798411646</v>
      </c>
      <c r="F484">
        <v>0.14908755867476359</v>
      </c>
    </row>
    <row r="485" spans="1:6" x14ac:dyDescent="0.3">
      <c r="A485">
        <v>1</v>
      </c>
      <c r="B485">
        <v>60</v>
      </c>
      <c r="C485" s="8">
        <v>6.2675099999999996E-3</v>
      </c>
      <c r="D485" s="9">
        <f t="shared" si="10"/>
        <v>0.41218280569124832</v>
      </c>
      <c r="E485">
        <v>0.13535585369190067</v>
      </c>
      <c r="F485">
        <v>85.178936641445162</v>
      </c>
    </row>
    <row r="486" spans="1:6" x14ac:dyDescent="0.3">
      <c r="A486">
        <v>1</v>
      </c>
      <c r="B486">
        <v>60</v>
      </c>
      <c r="C486" s="8">
        <v>6.2675099999999996E-3</v>
      </c>
      <c r="D486" s="9">
        <f t="shared" si="10"/>
        <v>0.41218280569124832</v>
      </c>
      <c r="E486">
        <v>0.18442235065521465</v>
      </c>
      <c r="F486">
        <v>21.106583856863022</v>
      </c>
    </row>
    <row r="487" spans="1:6" x14ac:dyDescent="0.3">
      <c r="A487">
        <v>1</v>
      </c>
      <c r="B487">
        <v>60</v>
      </c>
      <c r="C487" s="8">
        <v>6.2675099999999996E-3</v>
      </c>
      <c r="D487" s="9">
        <f t="shared" si="10"/>
        <v>0.41218280569124832</v>
      </c>
      <c r="E487">
        <v>0.32372608341312908</v>
      </c>
      <c r="F487">
        <v>8.8073771483285217</v>
      </c>
    </row>
    <row r="488" spans="1:6" x14ac:dyDescent="0.3">
      <c r="A488">
        <v>1</v>
      </c>
      <c r="B488">
        <v>60</v>
      </c>
      <c r="C488" s="8">
        <v>6.2675099999999996E-3</v>
      </c>
      <c r="D488" s="9">
        <f t="shared" si="10"/>
        <v>0.41218280569124832</v>
      </c>
      <c r="E488">
        <v>0.35953898636911114</v>
      </c>
      <c r="F488">
        <v>4.5046093234825451</v>
      </c>
    </row>
    <row r="489" spans="1:6" x14ac:dyDescent="0.3">
      <c r="A489">
        <v>1</v>
      </c>
      <c r="B489">
        <v>60</v>
      </c>
      <c r="C489" s="8">
        <v>6.2675099999999996E-3</v>
      </c>
      <c r="D489" s="9">
        <f t="shared" si="10"/>
        <v>0.41218280569124832</v>
      </c>
      <c r="E489">
        <v>0.35260199886740129</v>
      </c>
      <c r="F489">
        <v>2.6170294073556586</v>
      </c>
    </row>
    <row r="490" spans="1:6" x14ac:dyDescent="0.3">
      <c r="A490">
        <v>1</v>
      </c>
      <c r="B490">
        <v>60</v>
      </c>
      <c r="C490" s="8">
        <v>6.2675099999999996E-3</v>
      </c>
      <c r="D490" s="9">
        <f t="shared" si="10"/>
        <v>0.41218280569124832</v>
      </c>
      <c r="E490">
        <v>0.38012435578475434</v>
      </c>
      <c r="F490">
        <v>1.4456012181725761</v>
      </c>
    </row>
    <row r="491" spans="1:6" x14ac:dyDescent="0.3">
      <c r="A491">
        <v>1</v>
      </c>
      <c r="B491">
        <v>60</v>
      </c>
      <c r="C491" s="8">
        <v>6.2675099999999996E-3</v>
      </c>
      <c r="D491" s="9">
        <f t="shared" si="10"/>
        <v>0.41218280569124832</v>
      </c>
      <c r="E491">
        <v>0.36775738326650792</v>
      </c>
      <c r="F491">
        <v>0.83456161822528951</v>
      </c>
    </row>
    <row r="492" spans="1:6" x14ac:dyDescent="0.3">
      <c r="A492">
        <v>1</v>
      </c>
      <c r="B492">
        <v>60</v>
      </c>
      <c r="C492" s="8">
        <v>3.1337600000000002E-3</v>
      </c>
      <c r="D492" s="9">
        <f t="shared" si="10"/>
        <v>0.41218280569124832</v>
      </c>
      <c r="E492">
        <v>0</v>
      </c>
      <c r="F492">
        <v>85.296061623683187</v>
      </c>
    </row>
    <row r="493" spans="1:6" x14ac:dyDescent="0.3">
      <c r="A493">
        <v>1</v>
      </c>
      <c r="B493">
        <v>60</v>
      </c>
      <c r="C493" s="8">
        <v>3.1337600000000002E-3</v>
      </c>
      <c r="D493" s="9">
        <f t="shared" si="10"/>
        <v>0.41218280569124832</v>
      </c>
      <c r="E493">
        <v>0</v>
      </c>
      <c r="F493">
        <v>21.324015405920797</v>
      </c>
    </row>
    <row r="494" spans="1:6" x14ac:dyDescent="0.3">
      <c r="A494">
        <v>1</v>
      </c>
      <c r="B494">
        <v>60</v>
      </c>
      <c r="C494" s="8">
        <v>3.1337600000000002E-3</v>
      </c>
      <c r="D494" s="9">
        <f t="shared" si="10"/>
        <v>0.41218280569124832</v>
      </c>
      <c r="E494">
        <v>4.5118617897300227E-2</v>
      </c>
      <c r="F494">
        <v>9.4643262934939063</v>
      </c>
    </row>
    <row r="495" spans="1:6" x14ac:dyDescent="0.3">
      <c r="A495">
        <v>1</v>
      </c>
      <c r="B495">
        <v>60</v>
      </c>
      <c r="C495" s="8">
        <v>3.1337600000000002E-3</v>
      </c>
      <c r="D495" s="9">
        <f t="shared" si="10"/>
        <v>0.41218280569124832</v>
      </c>
      <c r="E495">
        <v>8.8827278985309802E-2</v>
      </c>
      <c r="F495">
        <v>5.2805623308093379</v>
      </c>
    </row>
    <row r="496" spans="1:6" x14ac:dyDescent="0.3">
      <c r="A496">
        <v>1</v>
      </c>
      <c r="B496">
        <v>60</v>
      </c>
      <c r="C496" s="8">
        <v>3.1337600000000002E-3</v>
      </c>
      <c r="D496" s="9">
        <f t="shared" si="10"/>
        <v>0.41218280569124832</v>
      </c>
      <c r="E496">
        <v>9.542587685278997E-2</v>
      </c>
      <c r="F496">
        <v>3.3536284206504816</v>
      </c>
    </row>
    <row r="497" spans="1:6" x14ac:dyDescent="0.3">
      <c r="A497">
        <v>1</v>
      </c>
      <c r="B497">
        <v>60</v>
      </c>
      <c r="C497" s="8">
        <v>3.1337600000000002E-3</v>
      </c>
      <c r="D497" s="9">
        <f t="shared" si="10"/>
        <v>0.41218280569124832</v>
      </c>
      <c r="E497">
        <v>0.11618044108554806</v>
      </c>
      <c r="F497">
        <v>2.2830448411743234</v>
      </c>
    </row>
    <row r="498" spans="1:6" x14ac:dyDescent="0.3">
      <c r="A498">
        <v>1</v>
      </c>
      <c r="B498">
        <v>60</v>
      </c>
      <c r="C498" s="8">
        <v>3.1337600000000002E-3</v>
      </c>
      <c r="D498" s="9">
        <f t="shared" si="10"/>
        <v>0.41218280569124832</v>
      </c>
      <c r="E498">
        <v>0.10555114506740031</v>
      </c>
      <c r="F498">
        <v>1.6279444586757834</v>
      </c>
    </row>
    <row r="499" spans="1:6" x14ac:dyDescent="0.3">
      <c r="A499">
        <v>1</v>
      </c>
      <c r="B499">
        <v>60</v>
      </c>
      <c r="C499" s="8">
        <v>2.08917E-3</v>
      </c>
      <c r="D499" s="9">
        <f t="shared" si="10"/>
        <v>0.41218280569124832</v>
      </c>
      <c r="E499">
        <v>0</v>
      </c>
      <c r="F499">
        <v>85.296061623683187</v>
      </c>
    </row>
    <row r="500" spans="1:6" x14ac:dyDescent="0.3">
      <c r="A500">
        <v>1</v>
      </c>
      <c r="B500">
        <v>60</v>
      </c>
      <c r="C500" s="8">
        <v>2.08917E-3</v>
      </c>
      <c r="D500" s="9">
        <f t="shared" si="10"/>
        <v>0.41218280569124832</v>
      </c>
      <c r="E500">
        <v>0</v>
      </c>
      <c r="F500">
        <v>21.324015405920797</v>
      </c>
    </row>
    <row r="501" spans="1:6" x14ac:dyDescent="0.3">
      <c r="A501">
        <v>1</v>
      </c>
      <c r="B501">
        <v>60</v>
      </c>
      <c r="C501" s="8">
        <v>2.08917E-3</v>
      </c>
      <c r="D501" s="9">
        <f t="shared" si="10"/>
        <v>0.41218280569124832</v>
      </c>
      <c r="E501">
        <v>0</v>
      </c>
      <c r="F501">
        <v>9.4773401804092412</v>
      </c>
    </row>
    <row r="502" spans="1:6" x14ac:dyDescent="0.3">
      <c r="A502">
        <v>1</v>
      </c>
      <c r="B502">
        <v>60</v>
      </c>
      <c r="C502" s="8">
        <v>2.08917E-3</v>
      </c>
      <c r="D502" s="9">
        <f t="shared" si="10"/>
        <v>0.41218280569124832</v>
      </c>
      <c r="E502">
        <v>0</v>
      </c>
      <c r="F502">
        <v>5.3310038514801992</v>
      </c>
    </row>
    <row r="503" spans="1:6" x14ac:dyDescent="0.3">
      <c r="A503">
        <v>1</v>
      </c>
      <c r="B503">
        <v>60</v>
      </c>
      <c r="C503" s="8">
        <v>2.08917E-3</v>
      </c>
      <c r="D503" s="9">
        <f t="shared" si="10"/>
        <v>0.41218280569124832</v>
      </c>
      <c r="E503">
        <v>0</v>
      </c>
      <c r="F503">
        <v>3.4118424649473273</v>
      </c>
    </row>
    <row r="504" spans="1:6" x14ac:dyDescent="0.3">
      <c r="A504">
        <v>1</v>
      </c>
      <c r="B504">
        <v>60</v>
      </c>
      <c r="C504" s="8">
        <v>2.08917E-3</v>
      </c>
      <c r="D504" s="9">
        <f t="shared" si="10"/>
        <v>0.41218280569124832</v>
      </c>
      <c r="E504">
        <v>0</v>
      </c>
      <c r="F504">
        <v>2.3693350451023103</v>
      </c>
    </row>
    <row r="505" spans="1:6" x14ac:dyDescent="0.3">
      <c r="A505">
        <v>1</v>
      </c>
      <c r="B505">
        <v>60</v>
      </c>
      <c r="C505" s="8">
        <v>2.08917E-3</v>
      </c>
      <c r="D505" s="9">
        <f t="shared" si="10"/>
        <v>0.41218280569124832</v>
      </c>
      <c r="E505">
        <v>0</v>
      </c>
      <c r="F505">
        <v>1.6991676372473032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combined</vt:lpstr>
      <vt:lpstr>extended</vt:lpstr>
      <vt:lpstr>dim</vt:lpstr>
      <vt:lpstr>dim-final</vt:lpstr>
      <vt:lpstr>non-dim</vt:lpstr>
      <vt:lpstr>non-dim-final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Sujal Mittal</dc:creator>
  <cp:lastModifiedBy>Sujal Mittal</cp:lastModifiedBy>
  <dcterms:created xsi:type="dcterms:W3CDTF">2025-06-05T06:07:50Z</dcterms:created>
  <dcterms:modified xsi:type="dcterms:W3CDTF">2025-06-14T06:23:25Z</dcterms:modified>
</cp:coreProperties>
</file>