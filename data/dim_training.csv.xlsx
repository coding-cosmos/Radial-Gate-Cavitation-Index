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l\DEV\Project Civil\data\"/>
    </mc:Choice>
  </mc:AlternateContent>
  <xr:revisionPtr revIDLastSave="0" documentId="13_ncr:1_{1163B87B-A132-45F1-BBDD-785A05C8E69F}" xr6:coauthVersionLast="47" xr6:coauthVersionMax="47" xr10:uidLastSave="{00000000-0000-0000-0000-000000000000}"/>
  <bookViews>
    <workbookView xWindow="-108" yWindow="-108" windowWidth="23256" windowHeight="13176" xr2:uid="{0C128FE8-DBC4-4E14-B1B0-C3BA163F2B70}"/>
  </bookViews>
  <sheets>
    <sheet name="dim_training" sheetId="1" r:id="rId1"/>
    <sheet name="XLSTAT_20250614_143753_1_HID" sheetId="6" state="hidden" r:id="rId2"/>
    <sheet name="Nonlinear regression" sheetId="4" r:id="rId3"/>
    <sheet name="Linear regression" sheetId="2" r:id="rId4"/>
    <sheet name="XLSTAT_20250614_141341_1_HID" sheetId="3" state="hidden" r:id="rId5"/>
  </sheets>
  <definedNames>
    <definedName name="tab20250614_141341_RunProcREG_1_69" localSheetId="3" hidden="1">'Linear regression'!$B$126:$C$529</definedName>
    <definedName name="tab20250614_141341_RunProcREG_1_78" localSheetId="3" hidden="1">'Linear regression'!$B$62:$H$65</definedName>
    <definedName name="tab20250614_141341_RunProcREG_1_89" localSheetId="3" hidden="1">'Linear regression'!$B$72:$I$81</definedName>
    <definedName name="tab20250614_141341_RunProcREG_1_91" localSheetId="3" hidden="1">'Linear regression'!$B$44:$C$57</definedName>
    <definedName name="tab20250614_141341_RunProcREG_2_69" localSheetId="3" hidden="1">'Linear regression'!$D$126:$D$529</definedName>
    <definedName name="tab20250614_141341_RunProcREG_2_89" localSheetId="3" hidden="1">'Linear regression'!$B$92:$I$100</definedName>
    <definedName name="tab20250614_141341_RunProcREG_3_69" localSheetId="3" hidden="1">'Linear regression'!$E$126:$E$529</definedName>
    <definedName name="tab20250614_141341_RunProcREG_4_69" localSheetId="3" hidden="1">'Linear regression'!$F$126:$G$529</definedName>
    <definedName name="tab20250614_141341_RunProcREG_5_69" localSheetId="3" hidden="1">'Linear regression'!$H$126:$M$529</definedName>
    <definedName name="xdata1" localSheetId="4" hidden="1">XLSTAT_20250614_141341_1_HID!$C$1:$C$70</definedName>
    <definedName name="xdata1" localSheetId="1" hidden="1">XLSTAT_20250614_143753_1_HID!$C$1:$C$70</definedName>
    <definedName name="xdata2" localSheetId="4" hidden="1">XLSTAT_20250614_141341_1_HID!$G$1:$G$70</definedName>
    <definedName name="xdata2" localSheetId="1" hidden="1">XLSTAT_20250614_143753_1_HID!$G$1:$G$70</definedName>
    <definedName name="ydata1" localSheetId="4" hidden="1">XLSTAT_20250614_141341_1_HID!$D$1:$D$70</definedName>
    <definedName name="ydata1" localSheetId="1" hidden="1">XLSTAT_20250614_143753_1_HID!$D$1:$D$70</definedName>
    <definedName name="ydata2" localSheetId="4" hidden="1">XLSTAT_20250614_141341_1_HID!$H$1:$H$70</definedName>
    <definedName name="ydata2" localSheetId="1" hidden="1">XLSTAT_20250614_143753_1_HID!$H$1:$H$70</definedName>
  </definedNames>
  <calcPr calcId="191029"/>
</workbook>
</file>

<file path=xl/calcChain.xml><?xml version="1.0" encoding="utf-8"?>
<calcChain xmlns="http://schemas.openxmlformats.org/spreadsheetml/2006/main">
  <c r="H1" i="6" l="1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G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D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C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H4" i="3"/>
  <c r="H5" i="3"/>
  <c r="H6" i="3"/>
  <c r="H12" i="3"/>
  <c r="H13" i="3"/>
  <c r="H14" i="3"/>
  <c r="H20" i="3"/>
  <c r="H21" i="3"/>
  <c r="H22" i="3"/>
  <c r="H28" i="3"/>
  <c r="H29" i="3"/>
  <c r="H30" i="3"/>
  <c r="H36" i="3"/>
  <c r="H37" i="3"/>
  <c r="H38" i="3"/>
  <c r="H44" i="3"/>
  <c r="H45" i="3"/>
  <c r="H46" i="3"/>
  <c r="H52" i="3"/>
  <c r="H53" i="3"/>
  <c r="H54" i="3"/>
  <c r="H60" i="3"/>
  <c r="H61" i="3"/>
  <c r="H62" i="3"/>
  <c r="H68" i="3"/>
  <c r="H69" i="3"/>
  <c r="H70" i="3"/>
  <c r="G1" i="3"/>
  <c r="H1" i="3" s="1"/>
  <c r="G2" i="3"/>
  <c r="H2" i="3" s="1"/>
  <c r="G3" i="3"/>
  <c r="H3" i="3" s="1"/>
  <c r="G4" i="3"/>
  <c r="G5" i="3"/>
  <c r="G6" i="3"/>
  <c r="G7" i="3"/>
  <c r="H7" i="3" s="1"/>
  <c r="G8" i="3"/>
  <c r="H8" i="3" s="1"/>
  <c r="G9" i="3"/>
  <c r="H9" i="3" s="1"/>
  <c r="G10" i="3"/>
  <c r="H10" i="3" s="1"/>
  <c r="G11" i="3"/>
  <c r="H11" i="3" s="1"/>
  <c r="G12" i="3"/>
  <c r="G13" i="3"/>
  <c r="G14" i="3"/>
  <c r="G15" i="3"/>
  <c r="H15" i="3" s="1"/>
  <c r="G16" i="3"/>
  <c r="H16" i="3" s="1"/>
  <c r="G17" i="3"/>
  <c r="H17" i="3" s="1"/>
  <c r="G18" i="3"/>
  <c r="H18" i="3" s="1"/>
  <c r="G19" i="3"/>
  <c r="H19" i="3" s="1"/>
  <c r="G20" i="3"/>
  <c r="G21" i="3"/>
  <c r="G22" i="3"/>
  <c r="G23" i="3"/>
  <c r="H23" i="3" s="1"/>
  <c r="G24" i="3"/>
  <c r="H24" i="3" s="1"/>
  <c r="G25" i="3"/>
  <c r="H25" i="3" s="1"/>
  <c r="G26" i="3"/>
  <c r="H26" i="3" s="1"/>
  <c r="G27" i="3"/>
  <c r="H27" i="3" s="1"/>
  <c r="G28" i="3"/>
  <c r="G29" i="3"/>
  <c r="G30" i="3"/>
  <c r="G31" i="3"/>
  <c r="H31" i="3" s="1"/>
  <c r="G32" i="3"/>
  <c r="H32" i="3" s="1"/>
  <c r="G33" i="3"/>
  <c r="H33" i="3" s="1"/>
  <c r="G34" i="3"/>
  <c r="H34" i="3" s="1"/>
  <c r="G35" i="3"/>
  <c r="H35" i="3" s="1"/>
  <c r="G36" i="3"/>
  <c r="G37" i="3"/>
  <c r="G38" i="3"/>
  <c r="G39" i="3"/>
  <c r="H39" i="3" s="1"/>
  <c r="G40" i="3"/>
  <c r="H40" i="3" s="1"/>
  <c r="G41" i="3"/>
  <c r="H41" i="3" s="1"/>
  <c r="G42" i="3"/>
  <c r="H42" i="3" s="1"/>
  <c r="G43" i="3"/>
  <c r="H43" i="3" s="1"/>
  <c r="G44" i="3"/>
  <c r="G45" i="3"/>
  <c r="G46" i="3"/>
  <c r="G47" i="3"/>
  <c r="H47" i="3" s="1"/>
  <c r="G48" i="3"/>
  <c r="H48" i="3" s="1"/>
  <c r="G49" i="3"/>
  <c r="H49" i="3" s="1"/>
  <c r="G50" i="3"/>
  <c r="H50" i="3" s="1"/>
  <c r="G51" i="3"/>
  <c r="H51" i="3" s="1"/>
  <c r="G52" i="3"/>
  <c r="G53" i="3"/>
  <c r="G54" i="3"/>
  <c r="G55" i="3"/>
  <c r="H55" i="3" s="1"/>
  <c r="G56" i="3"/>
  <c r="H56" i="3" s="1"/>
  <c r="G57" i="3"/>
  <c r="H57" i="3" s="1"/>
  <c r="G58" i="3"/>
  <c r="H58" i="3" s="1"/>
  <c r="G59" i="3"/>
  <c r="H59" i="3" s="1"/>
  <c r="G60" i="3"/>
  <c r="G61" i="3"/>
  <c r="G62" i="3"/>
  <c r="G63" i="3"/>
  <c r="H63" i="3" s="1"/>
  <c r="G64" i="3"/>
  <c r="H64" i="3" s="1"/>
  <c r="G65" i="3"/>
  <c r="H65" i="3" s="1"/>
  <c r="G66" i="3"/>
  <c r="H66" i="3" s="1"/>
  <c r="G67" i="3"/>
  <c r="H67" i="3" s="1"/>
  <c r="G68" i="3"/>
  <c r="G69" i="3"/>
  <c r="G70" i="3"/>
  <c r="D1" i="3"/>
  <c r="D2" i="3"/>
  <c r="D8" i="3"/>
  <c r="D9" i="3"/>
  <c r="D10" i="3"/>
  <c r="D16" i="3"/>
  <c r="D17" i="3"/>
  <c r="D18" i="3"/>
  <c r="D24" i="3"/>
  <c r="D25" i="3"/>
  <c r="D26" i="3"/>
  <c r="D32" i="3"/>
  <c r="D33" i="3"/>
  <c r="D34" i="3"/>
  <c r="D40" i="3"/>
  <c r="D41" i="3"/>
  <c r="D42" i="3"/>
  <c r="D48" i="3"/>
  <c r="D49" i="3"/>
  <c r="D50" i="3"/>
  <c r="D56" i="3"/>
  <c r="D57" i="3"/>
  <c r="D58" i="3"/>
  <c r="D64" i="3"/>
  <c r="D65" i="3"/>
  <c r="D66" i="3"/>
  <c r="C1" i="3"/>
  <c r="C2" i="3"/>
  <c r="C3" i="3"/>
  <c r="D3" i="3" s="1"/>
  <c r="C4" i="3"/>
  <c r="D4" i="3" s="1"/>
  <c r="C5" i="3"/>
  <c r="D5" i="3" s="1"/>
  <c r="C6" i="3"/>
  <c r="D6" i="3" s="1"/>
  <c r="C7" i="3"/>
  <c r="D7" i="3" s="1"/>
  <c r="C8" i="3"/>
  <c r="C9" i="3"/>
  <c r="C10" i="3"/>
  <c r="C11" i="3"/>
  <c r="D11" i="3" s="1"/>
  <c r="C12" i="3"/>
  <c r="D12" i="3" s="1"/>
  <c r="C13" i="3"/>
  <c r="D13" i="3" s="1"/>
  <c r="C14" i="3"/>
  <c r="D14" i="3" s="1"/>
  <c r="C15" i="3"/>
  <c r="D15" i="3" s="1"/>
  <c r="C16" i="3"/>
  <c r="C17" i="3"/>
  <c r="C18" i="3"/>
  <c r="C19" i="3"/>
  <c r="D19" i="3" s="1"/>
  <c r="C20" i="3"/>
  <c r="D20" i="3" s="1"/>
  <c r="C21" i="3"/>
  <c r="D21" i="3" s="1"/>
  <c r="C22" i="3"/>
  <c r="D22" i="3" s="1"/>
  <c r="C23" i="3"/>
  <c r="D23" i="3" s="1"/>
  <c r="C24" i="3"/>
  <c r="C25" i="3"/>
  <c r="C26" i="3"/>
  <c r="C27" i="3"/>
  <c r="D27" i="3" s="1"/>
  <c r="C28" i="3"/>
  <c r="D28" i="3" s="1"/>
  <c r="C29" i="3"/>
  <c r="D29" i="3" s="1"/>
  <c r="C30" i="3"/>
  <c r="D30" i="3" s="1"/>
  <c r="C31" i="3"/>
  <c r="D31" i="3" s="1"/>
  <c r="C32" i="3"/>
  <c r="C33" i="3"/>
  <c r="C34" i="3"/>
  <c r="C35" i="3"/>
  <c r="D35" i="3" s="1"/>
  <c r="C36" i="3"/>
  <c r="D36" i="3" s="1"/>
  <c r="C37" i="3"/>
  <c r="D37" i="3" s="1"/>
  <c r="C38" i="3"/>
  <c r="D38" i="3" s="1"/>
  <c r="C39" i="3"/>
  <c r="D39" i="3" s="1"/>
  <c r="C40" i="3"/>
  <c r="C41" i="3"/>
  <c r="C42" i="3"/>
  <c r="C43" i="3"/>
  <c r="D43" i="3" s="1"/>
  <c r="C44" i="3"/>
  <c r="D44" i="3" s="1"/>
  <c r="C45" i="3"/>
  <c r="D45" i="3" s="1"/>
  <c r="C46" i="3"/>
  <c r="D46" i="3" s="1"/>
  <c r="C47" i="3"/>
  <c r="D47" i="3" s="1"/>
  <c r="C48" i="3"/>
  <c r="C49" i="3"/>
  <c r="C50" i="3"/>
  <c r="C51" i="3"/>
  <c r="D51" i="3" s="1"/>
  <c r="C52" i="3"/>
  <c r="D52" i="3" s="1"/>
  <c r="C53" i="3"/>
  <c r="D53" i="3" s="1"/>
  <c r="C54" i="3"/>
  <c r="D54" i="3" s="1"/>
  <c r="C55" i="3"/>
  <c r="D55" i="3" s="1"/>
  <c r="C56" i="3"/>
  <c r="C57" i="3"/>
  <c r="C58" i="3"/>
  <c r="C59" i="3"/>
  <c r="D59" i="3" s="1"/>
  <c r="C60" i="3"/>
  <c r="D60" i="3" s="1"/>
  <c r="C61" i="3"/>
  <c r="D61" i="3" s="1"/>
  <c r="C62" i="3"/>
  <c r="D62" i="3" s="1"/>
  <c r="C63" i="3"/>
  <c r="D63" i="3" s="1"/>
  <c r="C64" i="3"/>
  <c r="C65" i="3"/>
  <c r="C66" i="3"/>
  <c r="C67" i="3"/>
  <c r="D67" i="3" s="1"/>
  <c r="C68" i="3"/>
  <c r="D68" i="3" s="1"/>
  <c r="C69" i="3"/>
  <c r="D69" i="3" s="1"/>
  <c r="C70" i="3"/>
  <c r="D70" i="3" s="1"/>
</calcChain>
</file>

<file path=xl/sharedStrings.xml><?xml version="1.0" encoding="utf-8"?>
<sst xmlns="http://schemas.openxmlformats.org/spreadsheetml/2006/main" count="1070" uniqueCount="525">
  <si>
    <t>AR</t>
  </si>
  <si>
    <t>L</t>
  </si>
  <si>
    <t>phi</t>
  </si>
  <si>
    <t>QW</t>
  </si>
  <si>
    <t>Qa</t>
  </si>
  <si>
    <t>h</t>
  </si>
  <si>
    <t>Va</t>
  </si>
  <si>
    <t>R</t>
  </si>
  <si>
    <t>sigma</t>
  </si>
  <si>
    <t>You are using the XLSTAT trial version. Number of days remaining until the trial expires: 10</t>
  </si>
  <si>
    <t>Y / Dependent variables: Workbook = dim_training.csv.xlsx / Sheet = dim_training / Range = 'dim_training'!$I:$I / 403 rows and 1 column</t>
  </si>
  <si>
    <t>X / Quantitative: Workbook = dim_training.csv.xlsx / Sheet = dim_training / Range = 'dim_training'!$A:$H / 403 rows and 8 columns</t>
  </si>
  <si>
    <t>Confidence interval (%): 95</t>
  </si>
  <si>
    <t>Tolerance: 0.0001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</si>
  <si>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</si>
  <si>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</si>
  <si>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</si>
  <si>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</si>
  <si>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</si>
  <si>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</si>
  <si>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</si>
  <si>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</si>
  <si>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</si>
  <si>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Correlation matrix:</t>
  </si>
  <si>
    <t>Regression of variable sigma:</t>
  </si>
  <si>
    <t>Goodness of fit statistics (sigma):</t>
  </si>
  <si>
    <t>Sum of weights</t>
  </si>
  <si>
    <t>DF</t>
  </si>
  <si>
    <t>R²</t>
  </si>
  <si>
    <t>Adjusted R²</t>
  </si>
  <si>
    <t>MSE</t>
  </si>
  <si>
    <t>RMSE</t>
  </si>
  <si>
    <t>MAPE</t>
  </si>
  <si>
    <t>DW</t>
  </si>
  <si>
    <t>Cp</t>
  </si>
  <si>
    <t>AIC</t>
  </si>
  <si>
    <t>AICC</t>
  </si>
  <si>
    <t>SBC</t>
  </si>
  <si>
    <t>PC</t>
  </si>
  <si>
    <t>Analysis of variance (sigma):</t>
  </si>
  <si>
    <t>Source</t>
  </si>
  <si>
    <t>Sum of squares</t>
  </si>
  <si>
    <t>Mean squares</t>
  </si>
  <si>
    <t>F</t>
  </si>
  <si>
    <t>Pr &gt; F</t>
  </si>
  <si>
    <t>p-values signification codes</t>
  </si>
  <si>
    <t>Model</t>
  </si>
  <si>
    <t>Error</t>
  </si>
  <si>
    <t>Corrected Total</t>
  </si>
  <si>
    <t>***</t>
  </si>
  <si>
    <t/>
  </si>
  <si>
    <t>Computed against model Y=Mean(Y)</t>
  </si>
  <si>
    <t>Signification codes: 0 &lt; *** &lt; 0.001 &lt; ** &lt; 0.01 &lt; * &lt; 0.05 &lt; . &lt; 0.1 &lt; ° &lt; 1</t>
  </si>
  <si>
    <t>Model parameters (sigma):</t>
  </si>
  <si>
    <t>Value</t>
  </si>
  <si>
    <t>Standard error</t>
  </si>
  <si>
    <t>t</t>
  </si>
  <si>
    <t>Pr &gt; |t|</t>
  </si>
  <si>
    <t>Lower bound (95%)</t>
  </si>
  <si>
    <t>Upper bound (95%)</t>
  </si>
  <si>
    <t>Intercept</t>
  </si>
  <si>
    <t>°</t>
  </si>
  <si>
    <t>*</t>
  </si>
  <si>
    <t>Equation of the model (sigma):</t>
  </si>
  <si>
    <t>sigma = 3.25225587993172+1.19491738021892*AR-4.17496638605989E-02*L+0.717809007582552*phi-2.07318591572856*QW+0.157557086398089*Qa-5.96416596841267E-02*h+732.617525845937*R</t>
  </si>
  <si>
    <t>Standardized coefficients (sigma):</t>
  </si>
  <si>
    <t xml:space="preserve"> </t>
  </si>
  <si>
    <t>Predictions and residuals (sigma):</t>
  </si>
  <si>
    <t>Observation</t>
  </si>
  <si>
    <t>Weight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</si>
  <si>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</si>
  <si>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</si>
  <si>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</si>
  <si>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</si>
  <si>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</si>
  <si>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</si>
  <si>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</si>
  <si>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</si>
  <si>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</si>
  <si>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</si>
  <si>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</si>
  <si>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</si>
  <si>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</si>
  <si>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</si>
  <si>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</si>
  <si>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</si>
  <si>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</si>
  <si>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</si>
  <si>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</si>
  <si>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</si>
  <si>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</si>
  <si>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</si>
  <si>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</si>
  <si>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</si>
  <si>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</si>
  <si>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</si>
  <si>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</si>
  <si>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</si>
  <si>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</si>
  <si>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</si>
  <si>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</si>
  <si>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</si>
  <si>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</si>
  <si>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</si>
  <si>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</si>
  <si>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</si>
  <si>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</si>
  <si>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</si>
  <si>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</si>
  <si>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</si>
  <si>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</si>
  <si>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</si>
  <si>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</si>
  <si>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</si>
  <si>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</si>
  <si>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</si>
  <si>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</si>
  <si>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</si>
  <si>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</si>
  <si>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</si>
  <si>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</si>
  <si>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</si>
  <si>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</si>
  <si>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</si>
  <si>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</si>
  <si>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</si>
  <si>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</si>
  <si>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</si>
  <si>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</si>
  <si>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</si>
  <si>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</si>
  <si>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</si>
  <si>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</si>
  <si>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</si>
  <si>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</si>
  <si>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</si>
  <si>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</si>
  <si>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</si>
  <si>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</si>
  <si>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</si>
  <si>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</si>
  <si>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</si>
  <si>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</si>
  <si>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</si>
  <si>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</si>
  <si>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</si>
  <si>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</si>
  <si>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</si>
  <si>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</si>
  <si>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</si>
  <si>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</si>
  <si>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</si>
  <si>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</si>
  <si>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</si>
  <si>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</si>
  <si>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</si>
  <si>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</si>
  <si>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</si>
  <si>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</si>
  <si>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</si>
  <si>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</si>
  <si>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</si>
  <si>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</si>
  <si>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</si>
  <si>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</si>
  <si>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</si>
  <si>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</si>
  <si>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</si>
  <si>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</si>
  <si>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</si>
  <si>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Obs101</t>
  </si>
  <si>
    <t>Obs102</t>
  </si>
  <si>
    <t>Obs103</t>
  </si>
  <si>
    <t>Obs104</t>
  </si>
  <si>
    <t>Obs105</t>
  </si>
  <si>
    <t>Obs106</t>
  </si>
  <si>
    <t>Obs107</t>
  </si>
  <si>
    <t>Obs108</t>
  </si>
  <si>
    <t>Obs109</t>
  </si>
  <si>
    <t>Obs110</t>
  </si>
  <si>
    <t>Obs111</t>
  </si>
  <si>
    <t>Obs112</t>
  </si>
  <si>
    <t>Obs113</t>
  </si>
  <si>
    <t>Obs114</t>
  </si>
  <si>
    <t>Obs115</t>
  </si>
  <si>
    <t>Obs116</t>
  </si>
  <si>
    <t>Obs117</t>
  </si>
  <si>
    <t>Obs118</t>
  </si>
  <si>
    <t>Obs119</t>
  </si>
  <si>
    <t>Obs120</t>
  </si>
  <si>
    <t>Obs121</t>
  </si>
  <si>
    <t>Obs122</t>
  </si>
  <si>
    <t>Obs123</t>
  </si>
  <si>
    <t>Obs124</t>
  </si>
  <si>
    <t>Obs125</t>
  </si>
  <si>
    <t>Obs126</t>
  </si>
  <si>
    <t>Obs127</t>
  </si>
  <si>
    <t>Obs128</t>
  </si>
  <si>
    <t>Obs129</t>
  </si>
  <si>
    <t>Obs130</t>
  </si>
  <si>
    <t>Obs131</t>
  </si>
  <si>
    <t>Obs132</t>
  </si>
  <si>
    <t>Obs133</t>
  </si>
  <si>
    <t>Obs134</t>
  </si>
  <si>
    <t>Obs135</t>
  </si>
  <si>
    <t>Obs136</t>
  </si>
  <si>
    <t>Obs137</t>
  </si>
  <si>
    <t>Obs138</t>
  </si>
  <si>
    <t>Obs139</t>
  </si>
  <si>
    <t>Obs140</t>
  </si>
  <si>
    <t>Obs141</t>
  </si>
  <si>
    <t>Obs142</t>
  </si>
  <si>
    <t>Obs143</t>
  </si>
  <si>
    <t>Obs144</t>
  </si>
  <si>
    <t>Obs145</t>
  </si>
  <si>
    <t>Obs146</t>
  </si>
  <si>
    <t>Obs147</t>
  </si>
  <si>
    <t>Obs148</t>
  </si>
  <si>
    <t>Obs149</t>
  </si>
  <si>
    <t>Obs150</t>
  </si>
  <si>
    <t>Obs151</t>
  </si>
  <si>
    <t>Obs152</t>
  </si>
  <si>
    <t>Obs153</t>
  </si>
  <si>
    <t>Obs154</t>
  </si>
  <si>
    <t>Obs155</t>
  </si>
  <si>
    <t>Obs156</t>
  </si>
  <si>
    <t>Obs157</t>
  </si>
  <si>
    <t>Obs158</t>
  </si>
  <si>
    <t>Obs159</t>
  </si>
  <si>
    <t>Obs160</t>
  </si>
  <si>
    <t>Obs161</t>
  </si>
  <si>
    <t>Obs162</t>
  </si>
  <si>
    <t>Obs163</t>
  </si>
  <si>
    <t>Obs164</t>
  </si>
  <si>
    <t>Obs165</t>
  </si>
  <si>
    <t>Obs166</t>
  </si>
  <si>
    <t>Obs167</t>
  </si>
  <si>
    <t>Obs168</t>
  </si>
  <si>
    <t>Obs169</t>
  </si>
  <si>
    <t>Obs170</t>
  </si>
  <si>
    <t>Obs171</t>
  </si>
  <si>
    <t>Obs172</t>
  </si>
  <si>
    <t>Obs173</t>
  </si>
  <si>
    <t>Obs174</t>
  </si>
  <si>
    <t>Obs175</t>
  </si>
  <si>
    <t>Obs176</t>
  </si>
  <si>
    <t>Obs177</t>
  </si>
  <si>
    <t>Obs178</t>
  </si>
  <si>
    <t>Obs179</t>
  </si>
  <si>
    <t>Obs180</t>
  </si>
  <si>
    <t>Obs181</t>
  </si>
  <si>
    <t>Obs182</t>
  </si>
  <si>
    <t>Obs183</t>
  </si>
  <si>
    <t>Obs184</t>
  </si>
  <si>
    <t>Obs185</t>
  </si>
  <si>
    <t>Obs186</t>
  </si>
  <si>
    <t>Obs187</t>
  </si>
  <si>
    <t>Obs188</t>
  </si>
  <si>
    <t>Obs189</t>
  </si>
  <si>
    <t>Obs190</t>
  </si>
  <si>
    <t>Obs191</t>
  </si>
  <si>
    <t>Obs192</t>
  </si>
  <si>
    <t>Obs193</t>
  </si>
  <si>
    <t>Obs194</t>
  </si>
  <si>
    <t>Obs195</t>
  </si>
  <si>
    <t>Obs196</t>
  </si>
  <si>
    <t>Obs197</t>
  </si>
  <si>
    <t>Obs198</t>
  </si>
  <si>
    <t>Obs199</t>
  </si>
  <si>
    <t>Obs200</t>
  </si>
  <si>
    <t>Obs201</t>
  </si>
  <si>
    <t>Obs202</t>
  </si>
  <si>
    <t>Obs203</t>
  </si>
  <si>
    <t>Obs204</t>
  </si>
  <si>
    <t>Obs205</t>
  </si>
  <si>
    <t>Obs206</t>
  </si>
  <si>
    <t>Obs207</t>
  </si>
  <si>
    <t>Obs208</t>
  </si>
  <si>
    <t>Obs209</t>
  </si>
  <si>
    <t>Obs210</t>
  </si>
  <si>
    <t>Obs211</t>
  </si>
  <si>
    <t>Obs212</t>
  </si>
  <si>
    <t>Obs213</t>
  </si>
  <si>
    <t>Obs214</t>
  </si>
  <si>
    <t>Obs215</t>
  </si>
  <si>
    <t>Obs216</t>
  </si>
  <si>
    <t>Obs217</t>
  </si>
  <si>
    <t>Obs218</t>
  </si>
  <si>
    <t>Obs219</t>
  </si>
  <si>
    <t>Obs220</t>
  </si>
  <si>
    <t>Obs221</t>
  </si>
  <si>
    <t>Obs222</t>
  </si>
  <si>
    <t>Obs223</t>
  </si>
  <si>
    <t>Obs224</t>
  </si>
  <si>
    <t>Obs225</t>
  </si>
  <si>
    <t>Obs226</t>
  </si>
  <si>
    <t>Obs227</t>
  </si>
  <si>
    <t>Obs228</t>
  </si>
  <si>
    <t>Obs229</t>
  </si>
  <si>
    <t>Obs230</t>
  </si>
  <si>
    <t>Obs231</t>
  </si>
  <si>
    <t>Obs232</t>
  </si>
  <si>
    <t>Obs233</t>
  </si>
  <si>
    <t>Obs234</t>
  </si>
  <si>
    <t>Obs235</t>
  </si>
  <si>
    <t>Obs236</t>
  </si>
  <si>
    <t>Obs237</t>
  </si>
  <si>
    <t>Obs238</t>
  </si>
  <si>
    <t>Obs239</t>
  </si>
  <si>
    <t>Obs240</t>
  </si>
  <si>
    <t>Obs241</t>
  </si>
  <si>
    <t>Obs242</t>
  </si>
  <si>
    <t>Obs243</t>
  </si>
  <si>
    <t>Obs244</t>
  </si>
  <si>
    <t>Obs245</t>
  </si>
  <si>
    <t>Obs246</t>
  </si>
  <si>
    <t>Obs247</t>
  </si>
  <si>
    <t>Obs248</t>
  </si>
  <si>
    <t>Obs249</t>
  </si>
  <si>
    <t>Obs250</t>
  </si>
  <si>
    <t>Obs251</t>
  </si>
  <si>
    <t>Obs252</t>
  </si>
  <si>
    <t>Obs253</t>
  </si>
  <si>
    <t>Obs254</t>
  </si>
  <si>
    <t>Obs255</t>
  </si>
  <si>
    <t>Obs256</t>
  </si>
  <si>
    <t>Obs257</t>
  </si>
  <si>
    <t>Obs258</t>
  </si>
  <si>
    <t>Obs259</t>
  </si>
  <si>
    <t>Obs260</t>
  </si>
  <si>
    <t>Obs261</t>
  </si>
  <si>
    <t>Obs262</t>
  </si>
  <si>
    <t>Obs263</t>
  </si>
  <si>
    <t>Obs264</t>
  </si>
  <si>
    <t>Obs265</t>
  </si>
  <si>
    <t>Obs266</t>
  </si>
  <si>
    <t>Obs267</t>
  </si>
  <si>
    <t>Obs268</t>
  </si>
  <si>
    <t>Obs269</t>
  </si>
  <si>
    <t>Obs270</t>
  </si>
  <si>
    <t>Obs271</t>
  </si>
  <si>
    <t>Obs272</t>
  </si>
  <si>
    <t>Obs273</t>
  </si>
  <si>
    <t>Obs274</t>
  </si>
  <si>
    <t>Obs275</t>
  </si>
  <si>
    <t>Obs276</t>
  </si>
  <si>
    <t>Obs277</t>
  </si>
  <si>
    <t>Obs278</t>
  </si>
  <si>
    <t>Obs279</t>
  </si>
  <si>
    <t>Obs280</t>
  </si>
  <si>
    <t>Obs281</t>
  </si>
  <si>
    <t>Obs282</t>
  </si>
  <si>
    <t>Obs283</t>
  </si>
  <si>
    <t>Obs284</t>
  </si>
  <si>
    <t>Obs285</t>
  </si>
  <si>
    <t>Obs286</t>
  </si>
  <si>
    <t>Obs287</t>
  </si>
  <si>
    <t>Obs288</t>
  </si>
  <si>
    <t>Obs289</t>
  </si>
  <si>
    <t>Obs290</t>
  </si>
  <si>
    <t>Obs291</t>
  </si>
  <si>
    <t>Obs292</t>
  </si>
  <si>
    <t>Obs293</t>
  </si>
  <si>
    <t>Obs294</t>
  </si>
  <si>
    <t>Obs295</t>
  </si>
  <si>
    <t>Obs296</t>
  </si>
  <si>
    <t>Obs297</t>
  </si>
  <si>
    <t>Obs298</t>
  </si>
  <si>
    <t>Obs299</t>
  </si>
  <si>
    <t>Obs300</t>
  </si>
  <si>
    <t>Obs301</t>
  </si>
  <si>
    <t>Obs302</t>
  </si>
  <si>
    <t>Obs303</t>
  </si>
  <si>
    <t>Obs304</t>
  </si>
  <si>
    <t>Obs305</t>
  </si>
  <si>
    <t>Obs306</t>
  </si>
  <si>
    <t>Obs307</t>
  </si>
  <si>
    <t>Obs308</t>
  </si>
  <si>
    <t>Obs309</t>
  </si>
  <si>
    <t>Obs310</t>
  </si>
  <si>
    <t>Obs311</t>
  </si>
  <si>
    <t>Obs312</t>
  </si>
  <si>
    <t>Obs313</t>
  </si>
  <si>
    <t>Obs314</t>
  </si>
  <si>
    <t>Obs315</t>
  </si>
  <si>
    <t>Obs316</t>
  </si>
  <si>
    <t>Obs317</t>
  </si>
  <si>
    <t>Obs318</t>
  </si>
  <si>
    <t>Obs319</t>
  </si>
  <si>
    <t>Obs320</t>
  </si>
  <si>
    <t>Obs321</t>
  </si>
  <si>
    <t>Obs322</t>
  </si>
  <si>
    <t>Obs323</t>
  </si>
  <si>
    <t>Obs324</t>
  </si>
  <si>
    <t>Obs325</t>
  </si>
  <si>
    <t>Obs326</t>
  </si>
  <si>
    <t>Obs327</t>
  </si>
  <si>
    <t>Obs328</t>
  </si>
  <si>
    <t>Obs329</t>
  </si>
  <si>
    <t>Obs330</t>
  </si>
  <si>
    <t>Obs331</t>
  </si>
  <si>
    <t>Obs332</t>
  </si>
  <si>
    <t>Obs333</t>
  </si>
  <si>
    <t>Obs334</t>
  </si>
  <si>
    <t>Obs335</t>
  </si>
  <si>
    <t>Obs336</t>
  </si>
  <si>
    <t>Obs337</t>
  </si>
  <si>
    <t>Obs338</t>
  </si>
  <si>
    <t>Obs339</t>
  </si>
  <si>
    <t>Obs340</t>
  </si>
  <si>
    <t>Obs341</t>
  </si>
  <si>
    <t>Obs342</t>
  </si>
  <si>
    <t>Obs343</t>
  </si>
  <si>
    <t>Obs344</t>
  </si>
  <si>
    <t>Obs345</t>
  </si>
  <si>
    <t>Obs346</t>
  </si>
  <si>
    <t>Obs347</t>
  </si>
  <si>
    <t>Obs348</t>
  </si>
  <si>
    <t>Obs349</t>
  </si>
  <si>
    <t>Obs350</t>
  </si>
  <si>
    <t>Obs351</t>
  </si>
  <si>
    <t>Obs352</t>
  </si>
  <si>
    <t>Obs353</t>
  </si>
  <si>
    <t>Obs354</t>
  </si>
  <si>
    <t>Obs355</t>
  </si>
  <si>
    <t>Obs356</t>
  </si>
  <si>
    <t>Obs357</t>
  </si>
  <si>
    <t>Obs358</t>
  </si>
  <si>
    <t>Obs359</t>
  </si>
  <si>
    <t>Obs360</t>
  </si>
  <si>
    <t>Obs361</t>
  </si>
  <si>
    <t>Obs362</t>
  </si>
  <si>
    <t>Obs363</t>
  </si>
  <si>
    <t>Obs364</t>
  </si>
  <si>
    <t>Obs365</t>
  </si>
  <si>
    <t>Obs366</t>
  </si>
  <si>
    <t>Obs367</t>
  </si>
  <si>
    <t>Obs368</t>
  </si>
  <si>
    <t>Obs369</t>
  </si>
  <si>
    <t>Obs370</t>
  </si>
  <si>
    <t>Obs371</t>
  </si>
  <si>
    <t>Obs372</t>
  </si>
  <si>
    <t>Obs373</t>
  </si>
  <si>
    <t>Obs374</t>
  </si>
  <si>
    <t>Obs375</t>
  </si>
  <si>
    <t>Obs376</t>
  </si>
  <si>
    <t>Obs377</t>
  </si>
  <si>
    <t>Obs378</t>
  </si>
  <si>
    <t>Obs379</t>
  </si>
  <si>
    <t>Obs380</t>
  </si>
  <si>
    <t>Obs381</t>
  </si>
  <si>
    <t>Obs382</t>
  </si>
  <si>
    <t>Obs383</t>
  </si>
  <si>
    <t>Obs384</t>
  </si>
  <si>
    <t>Obs385</t>
  </si>
  <si>
    <t>Obs386</t>
  </si>
  <si>
    <t>Obs387</t>
  </si>
  <si>
    <t>Obs388</t>
  </si>
  <si>
    <t>Obs389</t>
  </si>
  <si>
    <t>Obs390</t>
  </si>
  <si>
    <t>Obs391</t>
  </si>
  <si>
    <t>Obs392</t>
  </si>
  <si>
    <t>Obs393</t>
  </si>
  <si>
    <t>Obs394</t>
  </si>
  <si>
    <t>Obs395</t>
  </si>
  <si>
    <t>Obs396</t>
  </si>
  <si>
    <t>Obs397</t>
  </si>
  <si>
    <t>Obs398</t>
  </si>
  <si>
    <t>Obs399</t>
  </si>
  <si>
    <t>Obs400</t>
  </si>
  <si>
    <t>Obs401</t>
  </si>
  <si>
    <t>Obs402</t>
  </si>
  <si>
    <t>Obs403</t>
  </si>
  <si>
    <t>Pred(sigma)</t>
  </si>
  <si>
    <t>Residual</t>
  </si>
  <si>
    <t>Std. residual</t>
  </si>
  <si>
    <t>Std. dev. on pred. (Mean)</t>
  </si>
  <si>
    <t>Lower bound 95% (Mean)</t>
  </si>
  <si>
    <t>Upper bound 95% (Mean)</t>
  </si>
  <si>
    <t>Std. dev. on pred. (Observation)</t>
  </si>
  <si>
    <t>Lower bound 95% (Observation)</t>
  </si>
  <si>
    <t>Upper bound 95% (Observation)</t>
  </si>
  <si>
    <r>
      <t>XLSTAT 2025.1.1.1429 - Linear regression - Start time: 14/06/2025 at 14:14:12 / End time: 14/06/2025 at 14:14:13</t>
    </r>
    <r>
      <rPr>
        <sz val="11"/>
        <color rgb="FFFFFFFF"/>
        <rFont val="Aptos Narrow"/>
        <family val="2"/>
        <scheme val="minor"/>
      </rPr>
      <t xml:space="preserve"> / Microsoft Excel 16.018827</t>
    </r>
  </si>
  <si>
    <t>LR</t>
  </si>
  <si>
    <t>NLR</t>
  </si>
  <si>
    <t>Stop conditions: Iterations: 200 Convergence: 0.00001</t>
  </si>
  <si>
    <t>Polynomial equations: Second order = pr1+pr2*X1+pr3*X2+pr4*X3+pr5*X4+pr6*X5+pr7*X6+pr8*X7+pr9*X8+pr10*X1^2+pr11*X2^2+pr12*X3^2+pr13*X4^2+pr14*X5^2+pr15*X6^2+pr16*X7^2+pr17*X8^2</t>
  </si>
  <si>
    <t>Nonlinear regression of variable sigma</t>
  </si>
  <si>
    <t>Goodness of fit statistics:</t>
  </si>
  <si>
    <t>Statistic</t>
  </si>
  <si>
    <t>Full</t>
  </si>
  <si>
    <t>SSE</t>
  </si>
  <si>
    <t>Iterations</t>
  </si>
  <si>
    <t>Model parameters:</t>
  </si>
  <si>
    <t>Parameters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</si>
  <si>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</si>
  <si>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</si>
  <si>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</si>
  <si>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</si>
  <si>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</si>
  <si>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</si>
  <si>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</si>
  <si>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</si>
  <si>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</si>
  <si>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</si>
  <si>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</si>
  <si>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</si>
  <si>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</si>
  <si>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</si>
  <si>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</si>
  <si>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</si>
  <si>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</si>
  <si>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Equation of the model:</t>
  </si>
  <si>
    <t>sigma = 86.5155-191.292*AR-5.29631*L+0.866405*phi-7.02683*QW+12.2834*Qa-0.0506074*h-18.0116*Va+7184.28*R+85.9948*AR^2+0.741556*L^2+0.00055317*phi^2+0.136388*QW^2-2.61108*Qa^2+0.468339*h^2+6.59378*Va^2-406708*R^2</t>
  </si>
  <si>
    <t>Predictions and residuals:</t>
  </si>
  <si>
    <t>Residuals</t>
  </si>
  <si>
    <r>
      <t>XLSTAT 2025.1.1.1429 - Nonlinear regression - Start time: 14/06/2025 at 14:18:42 / End time: 14/06/2025 at 14:18:43</t>
    </r>
    <r>
      <rPr>
        <sz val="11"/>
        <color rgb="FFFFFFFF"/>
        <rFont val="Aptos Narrow"/>
        <family val="2"/>
        <scheme val="minor"/>
      </rPr>
      <t xml:space="preserve"> / Microsoft Excel 16.018827</t>
    </r>
  </si>
  <si>
    <t>Ideal</t>
  </si>
  <si>
    <t>x</t>
  </si>
  <si>
    <t>y</t>
  </si>
  <si>
    <t>GBM</t>
  </si>
  <si>
    <t>XGB</t>
  </si>
  <si>
    <t>RF</t>
  </si>
  <si>
    <t>CATB</t>
  </si>
  <si>
    <t>XRT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</si>
</sst>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&lt;0.0001]&quot;&lt;0.0001&quot;;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941"/>
      <name val="Aptos Narrow"/>
      <family val="2"/>
      <scheme val="minor"/>
    </font>
    <font>
      <sz val="11"/>
      <color rgb="FF007800"/>
      <name val="Aptos Narrow"/>
      <family val="2"/>
      <scheme val="minor"/>
    </font>
    <font>
      <b/>
      <sz val="11"/>
      <color rgb="FF0078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894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521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33" borderId="0" xfId="0" applyFont="1" applyFill="1" applyAlignment="1">
      <alignment vertical="center"/>
    </xf>
    <xf numFmtId="0" fontId="16" fillId="0" borderId="0" xfId="0" applyFont="1"/>
    <xf numFmtId="49" fontId="0" fillId="0" borderId="0" xfId="0" applyNumberFormat="1"/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20" fillId="0" borderId="11" xfId="0" applyNumberFormat="1" applyFont="1" applyBorder="1"/>
    <xf numFmtId="49" fontId="0" fillId="0" borderId="12" xfId="0" applyNumberFormat="1" applyBorder="1"/>
    <xf numFmtId="0" fontId="20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64" fontId="20" fillId="0" borderId="1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 wrapText="1"/>
    </xf>
    <xf numFmtId="49" fontId="0" fillId="0" borderId="11" xfId="0" applyNumberFormat="1" applyBorder="1"/>
    <xf numFmtId="49" fontId="21" fillId="0" borderId="12" xfId="0" applyNumberFormat="1" applyFont="1" applyBorder="1"/>
    <xf numFmtId="164" fontId="0" fillId="0" borderId="11" xfId="0" applyNumberFormat="1" applyBorder="1" applyAlignment="1">
      <alignment horizontal="center"/>
    </xf>
    <xf numFmtId="164" fontId="21" fillId="0" borderId="11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2" fillId="0" borderId="12" xfId="0" applyFont="1" applyBorder="1" applyAlignment="1">
      <alignment horizontal="center"/>
    </xf>
    <xf numFmtId="49" fontId="0" fillId="0" borderId="10" xfId="0" applyNumberFormat="1" applyBorder="1"/>
    <xf numFmtId="0" fontId="0" fillId="0" borderId="10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2" xfId="0" applyNumberFormat="1" applyBorder="1" applyAlignment="1">
      <alignment horizontal="center"/>
    </xf>
    <xf numFmtId="0" fontId="23" fillId="0" borderId="0" xfId="0" applyFont="1"/>
    <xf numFmtId="0" fontId="0" fillId="0" borderId="11" xfId="0" applyBorder="1" applyAlignment="1">
      <alignment horizontal="center"/>
    </xf>
    <xf numFmtId="0" fontId="24" fillId="0" borderId="0" xfId="0" applyFont="1"/>
    <xf numFmtId="49" fontId="20" fillId="0" borderId="10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/>
    <xf numFmtId="164" fontId="20" fillId="0" borderId="12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64" fontId="25" fillId="0" borderId="12" xfId="0" applyNumberFormat="1" applyFont="1" applyBorder="1" applyAlignment="1">
      <alignment horizontal="center"/>
    </xf>
    <xf numFmtId="0" fontId="19" fillId="3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Training (Dimensional)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10928590822701"/>
          <c:y val="0.16606774590598231"/>
          <c:w val="0.83974368721151238"/>
          <c:h val="0.72882135491811961"/>
        </c:manualLayout>
      </c:layout>
      <c:scatterChart>
        <c:scatterStyle val="lineMarker"/>
        <c:varyColors val="0"/>
        <c:ser>
          <c:idx val="0"/>
          <c:order val="0"/>
          <c:tx>
            <c:v>GBM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dim_training!$J$2:$J$404</c:f>
              <c:numCache>
                <c:formatCode>General</c:formatCode>
                <c:ptCount val="403"/>
                <c:pt idx="0">
                  <c:v>-2.62562891678497</c:v>
                </c:pt>
                <c:pt idx="1">
                  <c:v>8.5243398563521993</c:v>
                </c:pt>
                <c:pt idx="2">
                  <c:v>4.7748928557286199</c:v>
                </c:pt>
                <c:pt idx="3">
                  <c:v>5.2202420491443799</c:v>
                </c:pt>
                <c:pt idx="4">
                  <c:v>-1.07318733894333</c:v>
                </c:pt>
                <c:pt idx="5">
                  <c:v>-1.8297980924973201</c:v>
                </c:pt>
                <c:pt idx="6">
                  <c:v>9.3570229365178097</c:v>
                </c:pt>
                <c:pt idx="7">
                  <c:v>2.3713018007909898</c:v>
                </c:pt>
                <c:pt idx="8">
                  <c:v>38.577987908988398</c:v>
                </c:pt>
                <c:pt idx="9">
                  <c:v>1.6387597019648299</c:v>
                </c:pt>
                <c:pt idx="10">
                  <c:v>2.19083103690155</c:v>
                </c:pt>
                <c:pt idx="11">
                  <c:v>3.4797956455321502</c:v>
                </c:pt>
                <c:pt idx="12">
                  <c:v>-1.0037024442384901</c:v>
                </c:pt>
                <c:pt idx="13">
                  <c:v>1.9851208719210001</c:v>
                </c:pt>
                <c:pt idx="14">
                  <c:v>-1.8554731005677501</c:v>
                </c:pt>
                <c:pt idx="15">
                  <c:v>-0.98752692663495201</c:v>
                </c:pt>
                <c:pt idx="16">
                  <c:v>-1.2045901562274901</c:v>
                </c:pt>
                <c:pt idx="17">
                  <c:v>86.827323691173902</c:v>
                </c:pt>
                <c:pt idx="18">
                  <c:v>38.399451943922202</c:v>
                </c:pt>
                <c:pt idx="19">
                  <c:v>-4.0608982690937001</c:v>
                </c:pt>
                <c:pt idx="20">
                  <c:v>-1.15422333060761</c:v>
                </c:pt>
                <c:pt idx="21">
                  <c:v>-0.28784322789176497</c:v>
                </c:pt>
                <c:pt idx="22">
                  <c:v>0.39493809509167299</c:v>
                </c:pt>
                <c:pt idx="23">
                  <c:v>31.7950565662927</c:v>
                </c:pt>
                <c:pt idx="24">
                  <c:v>0.57307783391113698</c:v>
                </c:pt>
                <c:pt idx="25">
                  <c:v>-0.17891931424477001</c:v>
                </c:pt>
                <c:pt idx="26">
                  <c:v>19.943375338957502</c:v>
                </c:pt>
                <c:pt idx="27">
                  <c:v>21.695586243162701</c:v>
                </c:pt>
                <c:pt idx="28">
                  <c:v>53.6811058173014</c:v>
                </c:pt>
                <c:pt idx="29">
                  <c:v>53.7172729034775</c:v>
                </c:pt>
                <c:pt idx="30">
                  <c:v>49.787120091844798</c:v>
                </c:pt>
                <c:pt idx="31">
                  <c:v>1.78023108534535</c:v>
                </c:pt>
                <c:pt idx="32">
                  <c:v>13.2056774735214</c:v>
                </c:pt>
                <c:pt idx="33">
                  <c:v>21.500066398316701</c:v>
                </c:pt>
                <c:pt idx="34">
                  <c:v>3.2539374924614899</c:v>
                </c:pt>
                <c:pt idx="35">
                  <c:v>6.2712140533667302</c:v>
                </c:pt>
                <c:pt idx="36">
                  <c:v>9.6184554188326601</c:v>
                </c:pt>
                <c:pt idx="37">
                  <c:v>-2.1562082819839099</c:v>
                </c:pt>
                <c:pt idx="38">
                  <c:v>-4.1324259524681703E-2</c:v>
                </c:pt>
                <c:pt idx="39">
                  <c:v>-0.16229718189185199</c:v>
                </c:pt>
                <c:pt idx="40">
                  <c:v>1.66622207826682</c:v>
                </c:pt>
                <c:pt idx="41">
                  <c:v>0.96997253504844205</c:v>
                </c:pt>
                <c:pt idx="42">
                  <c:v>7.3424991235180199</c:v>
                </c:pt>
                <c:pt idx="43">
                  <c:v>-1.21549403828539</c:v>
                </c:pt>
                <c:pt idx="44">
                  <c:v>-0.56382660652502703</c:v>
                </c:pt>
                <c:pt idx="45">
                  <c:v>86.823312903600296</c:v>
                </c:pt>
                <c:pt idx="46">
                  <c:v>-1.6194643440732599</c:v>
                </c:pt>
                <c:pt idx="47">
                  <c:v>1.31778981623542</c:v>
                </c:pt>
                <c:pt idx="48">
                  <c:v>9.4852574719232496</c:v>
                </c:pt>
                <c:pt idx="49">
                  <c:v>-1.3851160576716799</c:v>
                </c:pt>
                <c:pt idx="50">
                  <c:v>7.4007223510140899E-2</c:v>
                </c:pt>
                <c:pt idx="51">
                  <c:v>-1.05884927419196</c:v>
                </c:pt>
                <c:pt idx="52">
                  <c:v>1.5165989770909001</c:v>
                </c:pt>
                <c:pt idx="53">
                  <c:v>1.0179450397910701</c:v>
                </c:pt>
                <c:pt idx="54">
                  <c:v>1.3831585352282101</c:v>
                </c:pt>
                <c:pt idx="55">
                  <c:v>5.3016479790039703</c:v>
                </c:pt>
                <c:pt idx="56">
                  <c:v>-2.3387881612335502</c:v>
                </c:pt>
                <c:pt idx="57">
                  <c:v>3.79523594317554E-2</c:v>
                </c:pt>
                <c:pt idx="58">
                  <c:v>53.530932114424097</c:v>
                </c:pt>
                <c:pt idx="59">
                  <c:v>-0.32363324603528298</c:v>
                </c:pt>
                <c:pt idx="60">
                  <c:v>1.2665718524359799</c:v>
                </c:pt>
                <c:pt idx="61">
                  <c:v>-8.8520290034979104E-2</c:v>
                </c:pt>
                <c:pt idx="62">
                  <c:v>1.2453882490220001</c:v>
                </c:pt>
                <c:pt idx="63">
                  <c:v>-4.6825783130531597</c:v>
                </c:pt>
                <c:pt idx="64">
                  <c:v>7.8493415446755499</c:v>
                </c:pt>
                <c:pt idx="65">
                  <c:v>-0.65309394685180799</c:v>
                </c:pt>
                <c:pt idx="66">
                  <c:v>85.320834777470196</c:v>
                </c:pt>
                <c:pt idx="67">
                  <c:v>-1.49857730637455</c:v>
                </c:pt>
                <c:pt idx="68">
                  <c:v>19.883800185923899</c:v>
                </c:pt>
                <c:pt idx="69">
                  <c:v>4.72973415183833</c:v>
                </c:pt>
                <c:pt idx="70">
                  <c:v>1.31703355196895</c:v>
                </c:pt>
                <c:pt idx="71">
                  <c:v>3.1572487997471099</c:v>
                </c:pt>
                <c:pt idx="72">
                  <c:v>5.2264308406357802</c:v>
                </c:pt>
                <c:pt idx="73">
                  <c:v>12.269988841201901</c:v>
                </c:pt>
                <c:pt idx="74">
                  <c:v>-0.33467412155659898</c:v>
                </c:pt>
                <c:pt idx="75">
                  <c:v>5.5915570280321001</c:v>
                </c:pt>
                <c:pt idx="76">
                  <c:v>19.754071934345198</c:v>
                </c:pt>
                <c:pt idx="77">
                  <c:v>-0.11481180076457601</c:v>
                </c:pt>
                <c:pt idx="78">
                  <c:v>-2.5672524239444701</c:v>
                </c:pt>
                <c:pt idx="79">
                  <c:v>2.34638201790876</c:v>
                </c:pt>
                <c:pt idx="80">
                  <c:v>1.4191181535725701</c:v>
                </c:pt>
                <c:pt idx="81">
                  <c:v>-2.4196188922649098</c:v>
                </c:pt>
                <c:pt idx="82">
                  <c:v>-3.1679871966900799</c:v>
                </c:pt>
                <c:pt idx="83">
                  <c:v>0.72991516510885301</c:v>
                </c:pt>
                <c:pt idx="84">
                  <c:v>-0.35209907698023202</c:v>
                </c:pt>
                <c:pt idx="85">
                  <c:v>12.262807770039601</c:v>
                </c:pt>
                <c:pt idx="86">
                  <c:v>21.615856669099799</c:v>
                </c:pt>
                <c:pt idx="87">
                  <c:v>0.10581432630823601</c:v>
                </c:pt>
                <c:pt idx="88">
                  <c:v>-7.6557720890888206E-2</c:v>
                </c:pt>
                <c:pt idx="89">
                  <c:v>-1.12845963704354</c:v>
                </c:pt>
                <c:pt idx="90">
                  <c:v>19.886689001535899</c:v>
                </c:pt>
                <c:pt idx="91">
                  <c:v>85.303069247202103</c:v>
                </c:pt>
                <c:pt idx="92">
                  <c:v>18.7361837209965</c:v>
                </c:pt>
                <c:pt idx="93">
                  <c:v>4.6384879632352103</c:v>
                </c:pt>
                <c:pt idx="94">
                  <c:v>-1.2832914444338801</c:v>
                </c:pt>
                <c:pt idx="95">
                  <c:v>-1.5049583612989601</c:v>
                </c:pt>
                <c:pt idx="96">
                  <c:v>0.263840500028235</c:v>
                </c:pt>
                <c:pt idx="97">
                  <c:v>-2.5076343123047802</c:v>
                </c:pt>
                <c:pt idx="98">
                  <c:v>1.4687222289697499</c:v>
                </c:pt>
                <c:pt idx="99">
                  <c:v>9.8645694913020492</c:v>
                </c:pt>
                <c:pt idx="100">
                  <c:v>1.1782211437016501</c:v>
                </c:pt>
                <c:pt idx="101">
                  <c:v>-2.48628329882014</c:v>
                </c:pt>
                <c:pt idx="102">
                  <c:v>0.16650500533852999</c:v>
                </c:pt>
                <c:pt idx="103">
                  <c:v>-2.2180345169624598</c:v>
                </c:pt>
                <c:pt idx="104">
                  <c:v>0.44864572574664002</c:v>
                </c:pt>
                <c:pt idx="105">
                  <c:v>3.35523177905901</c:v>
                </c:pt>
                <c:pt idx="106">
                  <c:v>9.6233583802642002</c:v>
                </c:pt>
                <c:pt idx="107">
                  <c:v>1.50557736872674</c:v>
                </c:pt>
                <c:pt idx="108">
                  <c:v>38.503993751966803</c:v>
                </c:pt>
                <c:pt idx="109">
                  <c:v>-0.79860530959229103</c:v>
                </c:pt>
                <c:pt idx="110">
                  <c:v>9.2524997115215797</c:v>
                </c:pt>
                <c:pt idx="111">
                  <c:v>-3.49273671433955</c:v>
                </c:pt>
                <c:pt idx="112">
                  <c:v>10.294609572157499</c:v>
                </c:pt>
                <c:pt idx="113">
                  <c:v>53.716027787035699</c:v>
                </c:pt>
                <c:pt idx="114">
                  <c:v>0.70210284271472601</c:v>
                </c:pt>
                <c:pt idx="115">
                  <c:v>53.526692717934999</c:v>
                </c:pt>
                <c:pt idx="116">
                  <c:v>0.53452433583130499</c:v>
                </c:pt>
                <c:pt idx="117">
                  <c:v>-3.4680321611627898</c:v>
                </c:pt>
                <c:pt idx="118">
                  <c:v>0.42760003274239899</c:v>
                </c:pt>
                <c:pt idx="119">
                  <c:v>0.98022138058863595</c:v>
                </c:pt>
                <c:pt idx="120">
                  <c:v>2.9730202661218401</c:v>
                </c:pt>
                <c:pt idx="121">
                  <c:v>-4.4149683502738304</c:v>
                </c:pt>
                <c:pt idx="122">
                  <c:v>0.41052963193714698</c:v>
                </c:pt>
                <c:pt idx="123">
                  <c:v>0.98071919699288901</c:v>
                </c:pt>
                <c:pt idx="124">
                  <c:v>7.6892413118184804</c:v>
                </c:pt>
                <c:pt idx="125">
                  <c:v>31.831313791085002</c:v>
                </c:pt>
                <c:pt idx="126">
                  <c:v>0.35007024811383303</c:v>
                </c:pt>
                <c:pt idx="127">
                  <c:v>0.66560079313892795</c:v>
                </c:pt>
                <c:pt idx="128">
                  <c:v>3.2522111325612899</c:v>
                </c:pt>
                <c:pt idx="129">
                  <c:v>53.499066212558098</c:v>
                </c:pt>
                <c:pt idx="130">
                  <c:v>-3.1811093043385199</c:v>
                </c:pt>
                <c:pt idx="131">
                  <c:v>2.23062886699736</c:v>
                </c:pt>
                <c:pt idx="132">
                  <c:v>-0.48083730706105299</c:v>
                </c:pt>
                <c:pt idx="133">
                  <c:v>-0.19066748461189301</c:v>
                </c:pt>
                <c:pt idx="134">
                  <c:v>41.960784508183501</c:v>
                </c:pt>
                <c:pt idx="135">
                  <c:v>-1.3927389746749901</c:v>
                </c:pt>
                <c:pt idx="136">
                  <c:v>12.0377715616243</c:v>
                </c:pt>
                <c:pt idx="137">
                  <c:v>-2.26593923236529</c:v>
                </c:pt>
                <c:pt idx="138">
                  <c:v>-0.85600574473938396</c:v>
                </c:pt>
                <c:pt idx="139">
                  <c:v>3.2411698081848699</c:v>
                </c:pt>
                <c:pt idx="140">
                  <c:v>4.4752678801550996</c:v>
                </c:pt>
                <c:pt idx="141">
                  <c:v>1.7567216828847401</c:v>
                </c:pt>
                <c:pt idx="142">
                  <c:v>7.1774091236415996E-2</c:v>
                </c:pt>
                <c:pt idx="143">
                  <c:v>1.2754729433873799</c:v>
                </c:pt>
                <c:pt idx="144">
                  <c:v>9.0492893903084006</c:v>
                </c:pt>
                <c:pt idx="145">
                  <c:v>-0.114054891692314</c:v>
                </c:pt>
                <c:pt idx="146">
                  <c:v>-2.7121309723662899</c:v>
                </c:pt>
                <c:pt idx="147">
                  <c:v>-1.2702491786518899</c:v>
                </c:pt>
                <c:pt idx="148">
                  <c:v>-0.31620727611139299</c:v>
                </c:pt>
                <c:pt idx="149">
                  <c:v>1.0732787265383801</c:v>
                </c:pt>
                <c:pt idx="150">
                  <c:v>21.3355056263823</c:v>
                </c:pt>
                <c:pt idx="151">
                  <c:v>1.8124220583836601</c:v>
                </c:pt>
                <c:pt idx="152">
                  <c:v>1.59391206269005</c:v>
                </c:pt>
                <c:pt idx="153">
                  <c:v>0.63234322620428296</c:v>
                </c:pt>
                <c:pt idx="154">
                  <c:v>-2.80503492139648</c:v>
                </c:pt>
                <c:pt idx="155">
                  <c:v>3.1934468704569698</c:v>
                </c:pt>
                <c:pt idx="156">
                  <c:v>-2.6163285091986102</c:v>
                </c:pt>
                <c:pt idx="157">
                  <c:v>0.70116344977102096</c:v>
                </c:pt>
                <c:pt idx="158">
                  <c:v>1.0946913358705599</c:v>
                </c:pt>
                <c:pt idx="159">
                  <c:v>86.821118153416407</c:v>
                </c:pt>
                <c:pt idx="160">
                  <c:v>0.13349830139989199</c:v>
                </c:pt>
                <c:pt idx="161">
                  <c:v>4.7514852234673501</c:v>
                </c:pt>
                <c:pt idx="162">
                  <c:v>0.51957523058852495</c:v>
                </c:pt>
                <c:pt idx="163">
                  <c:v>18.847103508393001</c:v>
                </c:pt>
                <c:pt idx="164">
                  <c:v>-3.4442038743636498</c:v>
                </c:pt>
                <c:pt idx="165">
                  <c:v>4.6712962784294199</c:v>
                </c:pt>
                <c:pt idx="166">
                  <c:v>8.9910679502090396</c:v>
                </c:pt>
                <c:pt idx="167">
                  <c:v>3.8842804422060899</c:v>
                </c:pt>
                <c:pt idx="168">
                  <c:v>-3.38252919617294</c:v>
                </c:pt>
                <c:pt idx="169">
                  <c:v>0.81299243947246302</c:v>
                </c:pt>
                <c:pt idx="170">
                  <c:v>2.2751275321920099</c:v>
                </c:pt>
                <c:pt idx="171">
                  <c:v>4.54008395458618</c:v>
                </c:pt>
                <c:pt idx="172">
                  <c:v>-0.34243570676794599</c:v>
                </c:pt>
                <c:pt idx="173">
                  <c:v>9.1429361328214895</c:v>
                </c:pt>
                <c:pt idx="174">
                  <c:v>5.3752019750862502E-2</c:v>
                </c:pt>
                <c:pt idx="175">
                  <c:v>3.6396616803444801</c:v>
                </c:pt>
                <c:pt idx="176">
                  <c:v>-1.0510383978352</c:v>
                </c:pt>
                <c:pt idx="177">
                  <c:v>12.825744417087501</c:v>
                </c:pt>
                <c:pt idx="178">
                  <c:v>-1.4999183387433901</c:v>
                </c:pt>
                <c:pt idx="179">
                  <c:v>-1.0344893074178201</c:v>
                </c:pt>
                <c:pt idx="180">
                  <c:v>-1.2017119473642299</c:v>
                </c:pt>
                <c:pt idx="181">
                  <c:v>2.4774761591682402</c:v>
                </c:pt>
                <c:pt idx="182">
                  <c:v>-3.2554121569071</c:v>
                </c:pt>
                <c:pt idx="183">
                  <c:v>8.8767490177450306</c:v>
                </c:pt>
                <c:pt idx="184">
                  <c:v>2.57612425376057</c:v>
                </c:pt>
                <c:pt idx="185">
                  <c:v>2.4010488826079501</c:v>
                </c:pt>
                <c:pt idx="186">
                  <c:v>1.49753303449996</c:v>
                </c:pt>
                <c:pt idx="187">
                  <c:v>-0.782598419990158</c:v>
                </c:pt>
                <c:pt idx="188">
                  <c:v>21.3291351031197</c:v>
                </c:pt>
                <c:pt idx="189">
                  <c:v>6.5741870929742996</c:v>
                </c:pt>
                <c:pt idx="190">
                  <c:v>8.8738324293679103</c:v>
                </c:pt>
                <c:pt idx="191">
                  <c:v>16.0907198902521</c:v>
                </c:pt>
                <c:pt idx="192">
                  <c:v>4.6211237246835202</c:v>
                </c:pt>
                <c:pt idx="193">
                  <c:v>-0.46129255301710798</c:v>
                </c:pt>
                <c:pt idx="194">
                  <c:v>-1.49822876668616</c:v>
                </c:pt>
                <c:pt idx="195">
                  <c:v>53.680230673333298</c:v>
                </c:pt>
                <c:pt idx="196">
                  <c:v>-0.47807991235034197</c:v>
                </c:pt>
                <c:pt idx="197">
                  <c:v>-0.98765097409472502</c:v>
                </c:pt>
                <c:pt idx="198">
                  <c:v>-1.2718760949030301</c:v>
                </c:pt>
                <c:pt idx="199">
                  <c:v>5.3649102683928298</c:v>
                </c:pt>
                <c:pt idx="200">
                  <c:v>8.7697850054341995</c:v>
                </c:pt>
                <c:pt idx="201">
                  <c:v>-3.12887521630527</c:v>
                </c:pt>
                <c:pt idx="202">
                  <c:v>3.34017066795198</c:v>
                </c:pt>
                <c:pt idx="203">
                  <c:v>5.3561341917441396</c:v>
                </c:pt>
                <c:pt idx="204">
                  <c:v>5.4081559551294003</c:v>
                </c:pt>
                <c:pt idx="205">
                  <c:v>2.6068602712442601</c:v>
                </c:pt>
                <c:pt idx="206">
                  <c:v>7.7429735561020703</c:v>
                </c:pt>
                <c:pt idx="207">
                  <c:v>-2.3970636734552002</c:v>
                </c:pt>
                <c:pt idx="208">
                  <c:v>9.2824913065063104</c:v>
                </c:pt>
                <c:pt idx="209">
                  <c:v>2.87049891276118</c:v>
                </c:pt>
                <c:pt idx="210">
                  <c:v>13.0765161719302</c:v>
                </c:pt>
                <c:pt idx="211">
                  <c:v>3.7962883364519602</c:v>
                </c:pt>
                <c:pt idx="212">
                  <c:v>38.567358537675098</c:v>
                </c:pt>
                <c:pt idx="213">
                  <c:v>-3.5931094590138501</c:v>
                </c:pt>
                <c:pt idx="214">
                  <c:v>2.7994818391704199</c:v>
                </c:pt>
                <c:pt idx="215">
                  <c:v>13.0582232204086</c:v>
                </c:pt>
                <c:pt idx="216">
                  <c:v>-0.48380495096060699</c:v>
                </c:pt>
                <c:pt idx="217">
                  <c:v>6.3355776346850696</c:v>
                </c:pt>
                <c:pt idx="218">
                  <c:v>4.0353731614542996</c:v>
                </c:pt>
                <c:pt idx="219">
                  <c:v>-0.16461261369520899</c:v>
                </c:pt>
                <c:pt idx="220">
                  <c:v>-0.95048554925049</c:v>
                </c:pt>
                <c:pt idx="221">
                  <c:v>53.675668384164197</c:v>
                </c:pt>
                <c:pt idx="222">
                  <c:v>26.605073939567699</c:v>
                </c:pt>
                <c:pt idx="223">
                  <c:v>3.0895049427406498</c:v>
                </c:pt>
                <c:pt idx="224">
                  <c:v>4.7641154003460402</c:v>
                </c:pt>
                <c:pt idx="225">
                  <c:v>3.5542316784403098</c:v>
                </c:pt>
                <c:pt idx="226">
                  <c:v>2.60920873712181</c:v>
                </c:pt>
                <c:pt idx="227">
                  <c:v>10.4601585324388</c:v>
                </c:pt>
                <c:pt idx="228">
                  <c:v>-2.6318605909455002</c:v>
                </c:pt>
                <c:pt idx="229">
                  <c:v>-1.1895999137478599</c:v>
                </c:pt>
                <c:pt idx="230">
                  <c:v>4.1805946826158804</c:v>
                </c:pt>
                <c:pt idx="231">
                  <c:v>2.0899651772408201</c:v>
                </c:pt>
                <c:pt idx="232">
                  <c:v>-1.7303229458916201</c:v>
                </c:pt>
                <c:pt idx="233">
                  <c:v>31.821118716560601</c:v>
                </c:pt>
                <c:pt idx="234">
                  <c:v>31.814207369228299</c:v>
                </c:pt>
                <c:pt idx="235">
                  <c:v>1.91238913396262</c:v>
                </c:pt>
                <c:pt idx="236">
                  <c:v>9.2340875551323194</c:v>
                </c:pt>
                <c:pt idx="237">
                  <c:v>0.172770844876832</c:v>
                </c:pt>
                <c:pt idx="238">
                  <c:v>0.19843693255765499</c:v>
                </c:pt>
                <c:pt idx="239">
                  <c:v>-1.7545757283774399</c:v>
                </c:pt>
                <c:pt idx="240">
                  <c:v>-2.2178492833092198</c:v>
                </c:pt>
                <c:pt idx="241">
                  <c:v>3.0417954413429098</c:v>
                </c:pt>
                <c:pt idx="242">
                  <c:v>3.0394678565930699</c:v>
                </c:pt>
                <c:pt idx="243">
                  <c:v>-2.2962641477155099</c:v>
                </c:pt>
                <c:pt idx="244">
                  <c:v>-1.4752789788604099</c:v>
                </c:pt>
                <c:pt idx="245">
                  <c:v>-1.5922211923071E-2</c:v>
                </c:pt>
                <c:pt idx="246">
                  <c:v>-2.1322074192410998</c:v>
                </c:pt>
                <c:pt idx="247">
                  <c:v>-0.91188050914315799</c:v>
                </c:pt>
                <c:pt idx="248">
                  <c:v>-2.1066732814938902</c:v>
                </c:pt>
                <c:pt idx="249">
                  <c:v>-5.0759342523114197E-2</c:v>
                </c:pt>
                <c:pt idx="250">
                  <c:v>5.6018023589814296</c:v>
                </c:pt>
                <c:pt idx="251">
                  <c:v>4.1286782036743599</c:v>
                </c:pt>
                <c:pt idx="252">
                  <c:v>2.1097727360243299</c:v>
                </c:pt>
                <c:pt idx="253">
                  <c:v>-0.67523926021102598</c:v>
                </c:pt>
                <c:pt idx="254">
                  <c:v>-0.48625201089520598</c:v>
                </c:pt>
                <c:pt idx="255">
                  <c:v>-0.47232453857005602</c:v>
                </c:pt>
                <c:pt idx="256">
                  <c:v>3.1995974162469198</c:v>
                </c:pt>
                <c:pt idx="257">
                  <c:v>4.0807610664114797</c:v>
                </c:pt>
                <c:pt idx="258">
                  <c:v>-0.43645167578427202</c:v>
                </c:pt>
                <c:pt idx="259">
                  <c:v>-0.91491615325578302</c:v>
                </c:pt>
                <c:pt idx="260">
                  <c:v>-0.82180078351491603</c:v>
                </c:pt>
                <c:pt idx="261">
                  <c:v>0.78234787551545604</c:v>
                </c:pt>
                <c:pt idx="262">
                  <c:v>42.181162676855699</c:v>
                </c:pt>
                <c:pt idx="263">
                  <c:v>-1.7330971935164099</c:v>
                </c:pt>
                <c:pt idx="264">
                  <c:v>-2.8397725507623099</c:v>
                </c:pt>
                <c:pt idx="265">
                  <c:v>0.784693080285505</c:v>
                </c:pt>
                <c:pt idx="266">
                  <c:v>-2.0508196243258099</c:v>
                </c:pt>
                <c:pt idx="267">
                  <c:v>1.0127483453865</c:v>
                </c:pt>
                <c:pt idx="268">
                  <c:v>9.9190269796247303</c:v>
                </c:pt>
                <c:pt idx="269">
                  <c:v>2.2248982222668099</c:v>
                </c:pt>
                <c:pt idx="270">
                  <c:v>0.53517283955315798</c:v>
                </c:pt>
                <c:pt idx="271">
                  <c:v>5.0375862839461796</c:v>
                </c:pt>
                <c:pt idx="272">
                  <c:v>-1.78965288723237</c:v>
                </c:pt>
                <c:pt idx="273">
                  <c:v>26.732048970334201</c:v>
                </c:pt>
                <c:pt idx="274">
                  <c:v>-0.80369214747959095</c:v>
                </c:pt>
                <c:pt idx="275">
                  <c:v>9.8990109957728301</c:v>
                </c:pt>
                <c:pt idx="276">
                  <c:v>12.914395688642299</c:v>
                </c:pt>
                <c:pt idx="277">
                  <c:v>21.700031503016501</c:v>
                </c:pt>
                <c:pt idx="278">
                  <c:v>8.7680458846190206</c:v>
                </c:pt>
                <c:pt idx="279">
                  <c:v>0.83654849710208101</c:v>
                </c:pt>
                <c:pt idx="280">
                  <c:v>0.15637462750870301</c:v>
                </c:pt>
                <c:pt idx="281">
                  <c:v>5.5275264394982102</c:v>
                </c:pt>
                <c:pt idx="282">
                  <c:v>5.2652731059569398</c:v>
                </c:pt>
                <c:pt idx="283">
                  <c:v>2.0161267221632402</c:v>
                </c:pt>
                <c:pt idx="284">
                  <c:v>4.68036246365818</c:v>
                </c:pt>
                <c:pt idx="285">
                  <c:v>3.3390697531974598</c:v>
                </c:pt>
                <c:pt idx="286">
                  <c:v>0.49869534757065398</c:v>
                </c:pt>
                <c:pt idx="287">
                  <c:v>9.2326762361111907</c:v>
                </c:pt>
                <c:pt idx="288">
                  <c:v>-0.94478941492786594</c:v>
                </c:pt>
                <c:pt idx="289">
                  <c:v>19.956992964631802</c:v>
                </c:pt>
                <c:pt idx="290">
                  <c:v>9.4710075754429806</c:v>
                </c:pt>
                <c:pt idx="291">
                  <c:v>-1.3990251960111699</c:v>
                </c:pt>
                <c:pt idx="292">
                  <c:v>3.9183961985280602</c:v>
                </c:pt>
                <c:pt idx="293">
                  <c:v>12.0302724197738</c:v>
                </c:pt>
                <c:pt idx="294">
                  <c:v>26.6069749184601</c:v>
                </c:pt>
                <c:pt idx="295">
                  <c:v>-3.6230478695320101</c:v>
                </c:pt>
                <c:pt idx="296">
                  <c:v>-0.82156741298443503</c:v>
                </c:pt>
                <c:pt idx="297">
                  <c:v>-0.59592541431989299</c:v>
                </c:pt>
                <c:pt idx="298">
                  <c:v>36.249687004131097</c:v>
                </c:pt>
                <c:pt idx="299">
                  <c:v>3.9199769240530302</c:v>
                </c:pt>
                <c:pt idx="300">
                  <c:v>-3.1678994659697799</c:v>
                </c:pt>
                <c:pt idx="301">
                  <c:v>-1.0319507636346399</c:v>
                </c:pt>
                <c:pt idx="302">
                  <c:v>1.7587005806071601</c:v>
                </c:pt>
                <c:pt idx="303">
                  <c:v>12.737528811185101</c:v>
                </c:pt>
                <c:pt idx="304">
                  <c:v>-1.9212891755131201</c:v>
                </c:pt>
                <c:pt idx="305">
                  <c:v>-2.1634703844238601</c:v>
                </c:pt>
                <c:pt idx="306">
                  <c:v>9.46869324111743</c:v>
                </c:pt>
                <c:pt idx="307">
                  <c:v>49.742956005483599</c:v>
                </c:pt>
                <c:pt idx="308">
                  <c:v>5.0371016009186</c:v>
                </c:pt>
                <c:pt idx="309">
                  <c:v>16.091130307564001</c:v>
                </c:pt>
                <c:pt idx="310">
                  <c:v>0.53154631876971803</c:v>
                </c:pt>
                <c:pt idx="311">
                  <c:v>-1.73310580096741E-3</c:v>
                </c:pt>
                <c:pt idx="312">
                  <c:v>86.827150300293496</c:v>
                </c:pt>
                <c:pt idx="313">
                  <c:v>7.6560692860343398</c:v>
                </c:pt>
                <c:pt idx="314">
                  <c:v>31.793107161362698</c:v>
                </c:pt>
                <c:pt idx="315">
                  <c:v>2.1840750940020501</c:v>
                </c:pt>
                <c:pt idx="316">
                  <c:v>4.6682698558830502</c:v>
                </c:pt>
                <c:pt idx="317">
                  <c:v>21.6404889760557</c:v>
                </c:pt>
                <c:pt idx="318">
                  <c:v>42.051338582718003</c:v>
                </c:pt>
                <c:pt idx="319">
                  <c:v>42.170347755030903</c:v>
                </c:pt>
                <c:pt idx="320">
                  <c:v>-0.95605071280446596</c:v>
                </c:pt>
                <c:pt idx="321">
                  <c:v>-1.94253324703568</c:v>
                </c:pt>
                <c:pt idx="322">
                  <c:v>4.7488514603991501</c:v>
                </c:pt>
                <c:pt idx="323">
                  <c:v>85.287371836232495</c:v>
                </c:pt>
                <c:pt idx="324">
                  <c:v>4.5296867157365401</c:v>
                </c:pt>
                <c:pt idx="325">
                  <c:v>31.799548473499499</c:v>
                </c:pt>
                <c:pt idx="326">
                  <c:v>-1.7382723032812899</c:v>
                </c:pt>
                <c:pt idx="327">
                  <c:v>1.40880768024776</c:v>
                </c:pt>
                <c:pt idx="328">
                  <c:v>1.7447034553743901</c:v>
                </c:pt>
                <c:pt idx="329">
                  <c:v>0.23751472694974701</c:v>
                </c:pt>
                <c:pt idx="330">
                  <c:v>1.1775136872529</c:v>
                </c:pt>
                <c:pt idx="331">
                  <c:v>-2.6884362598492499</c:v>
                </c:pt>
                <c:pt idx="332">
                  <c:v>36.248822925065802</c:v>
                </c:pt>
                <c:pt idx="333">
                  <c:v>1.8468123235639999</c:v>
                </c:pt>
                <c:pt idx="334">
                  <c:v>42.169052093868999</c:v>
                </c:pt>
                <c:pt idx="335">
                  <c:v>0.64530386750431001</c:v>
                </c:pt>
                <c:pt idx="336">
                  <c:v>21.1315901886082</c:v>
                </c:pt>
                <c:pt idx="337">
                  <c:v>0.85985683265416302</c:v>
                </c:pt>
                <c:pt idx="338">
                  <c:v>1.22372110633965</c:v>
                </c:pt>
                <c:pt idx="339">
                  <c:v>-4.0068167643301802</c:v>
                </c:pt>
                <c:pt idx="340">
                  <c:v>6.7759539645462094E-2</c:v>
                </c:pt>
                <c:pt idx="341">
                  <c:v>-2.0840527330110099</c:v>
                </c:pt>
                <c:pt idx="342">
                  <c:v>86.839463957635004</c:v>
                </c:pt>
                <c:pt idx="343">
                  <c:v>0.71295860998040095</c:v>
                </c:pt>
                <c:pt idx="344">
                  <c:v>5.8618397896030398E-2</c:v>
                </c:pt>
                <c:pt idx="345">
                  <c:v>42.176736094231202</c:v>
                </c:pt>
                <c:pt idx="346">
                  <c:v>2.39197307714424</c:v>
                </c:pt>
                <c:pt idx="347">
                  <c:v>1.5625185242825901</c:v>
                </c:pt>
                <c:pt idx="348">
                  <c:v>1.6168992193037901</c:v>
                </c:pt>
                <c:pt idx="349">
                  <c:v>13.2400444476276</c:v>
                </c:pt>
                <c:pt idx="350">
                  <c:v>0.473852770557664</c:v>
                </c:pt>
                <c:pt idx="351">
                  <c:v>21.100655627577201</c:v>
                </c:pt>
                <c:pt idx="352">
                  <c:v>2.5178834528087801</c:v>
                </c:pt>
                <c:pt idx="353">
                  <c:v>-3.6704619759022998</c:v>
                </c:pt>
                <c:pt idx="354">
                  <c:v>-2.1499368867709299</c:v>
                </c:pt>
                <c:pt idx="355">
                  <c:v>-2.76847776528464</c:v>
                </c:pt>
                <c:pt idx="356">
                  <c:v>7.6662887396259798</c:v>
                </c:pt>
                <c:pt idx="357">
                  <c:v>-1.3940274174175</c:v>
                </c:pt>
                <c:pt idx="358">
                  <c:v>-7.7976560240416604E-2</c:v>
                </c:pt>
                <c:pt idx="359">
                  <c:v>0.76640743582367898</c:v>
                </c:pt>
                <c:pt idx="360">
                  <c:v>19.937615344509499</c:v>
                </c:pt>
                <c:pt idx="361">
                  <c:v>5.3095660110726897</c:v>
                </c:pt>
                <c:pt idx="362">
                  <c:v>-2.3994467136150401</c:v>
                </c:pt>
                <c:pt idx="363">
                  <c:v>4.8772618478198897</c:v>
                </c:pt>
                <c:pt idx="364">
                  <c:v>4.19399505519418</c:v>
                </c:pt>
                <c:pt idx="365">
                  <c:v>-2.9511735835433002</c:v>
                </c:pt>
                <c:pt idx="366">
                  <c:v>3.8110438517284</c:v>
                </c:pt>
                <c:pt idx="367">
                  <c:v>-1.7150958569705601</c:v>
                </c:pt>
                <c:pt idx="368">
                  <c:v>42.117398397911302</c:v>
                </c:pt>
                <c:pt idx="369">
                  <c:v>19.949043681954599</c:v>
                </c:pt>
                <c:pt idx="370">
                  <c:v>0.59854097498346703</c:v>
                </c:pt>
                <c:pt idx="371">
                  <c:v>-0.67137162483935198</c:v>
                </c:pt>
                <c:pt idx="372">
                  <c:v>1.45197741747471</c:v>
                </c:pt>
                <c:pt idx="373">
                  <c:v>1.10109688675909</c:v>
                </c:pt>
                <c:pt idx="374">
                  <c:v>3.1694751007319701</c:v>
                </c:pt>
                <c:pt idx="375">
                  <c:v>1.4855517410753001</c:v>
                </c:pt>
                <c:pt idx="376">
                  <c:v>18.732304637755298</c:v>
                </c:pt>
                <c:pt idx="377">
                  <c:v>-2.3760417411534598</c:v>
                </c:pt>
                <c:pt idx="378">
                  <c:v>26.573202851982401</c:v>
                </c:pt>
                <c:pt idx="379">
                  <c:v>16.117526643109901</c:v>
                </c:pt>
                <c:pt idx="380">
                  <c:v>-1.33586255174089</c:v>
                </c:pt>
                <c:pt idx="381">
                  <c:v>86.813767124724905</c:v>
                </c:pt>
                <c:pt idx="382">
                  <c:v>9.1426249041094394</c:v>
                </c:pt>
                <c:pt idx="383">
                  <c:v>0.56596343310415698</c:v>
                </c:pt>
                <c:pt idx="384">
                  <c:v>2.2438874697121198</c:v>
                </c:pt>
                <c:pt idx="385">
                  <c:v>0.79587495650863704</c:v>
                </c:pt>
                <c:pt idx="386">
                  <c:v>9.8496369627741505</c:v>
                </c:pt>
                <c:pt idx="387">
                  <c:v>3.9977554296739699</c:v>
                </c:pt>
                <c:pt idx="388">
                  <c:v>1.9598083628733101</c:v>
                </c:pt>
                <c:pt idx="389">
                  <c:v>1.5069001245348199</c:v>
                </c:pt>
                <c:pt idx="390">
                  <c:v>21.726053755084099</c:v>
                </c:pt>
                <c:pt idx="391">
                  <c:v>-2.5093541431297099</c:v>
                </c:pt>
                <c:pt idx="392">
                  <c:v>1.0826136056553199</c:v>
                </c:pt>
                <c:pt idx="393">
                  <c:v>5.4450631262939</c:v>
                </c:pt>
                <c:pt idx="394">
                  <c:v>1.7083169054049501</c:v>
                </c:pt>
                <c:pt idx="395">
                  <c:v>-2.4438579234738702</c:v>
                </c:pt>
                <c:pt idx="396">
                  <c:v>-2.50422017760302</c:v>
                </c:pt>
                <c:pt idx="397">
                  <c:v>9.2002065239089301</c:v>
                </c:pt>
                <c:pt idx="398">
                  <c:v>10.3118756682331</c:v>
                </c:pt>
                <c:pt idx="399">
                  <c:v>-0.86343078328612799</c:v>
                </c:pt>
                <c:pt idx="400">
                  <c:v>-3.38105788989657</c:v>
                </c:pt>
                <c:pt idx="401">
                  <c:v>8.6665441798405904</c:v>
                </c:pt>
                <c:pt idx="402">
                  <c:v>-0.31516175069608399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3-4846-91FD-647F4EEA7833}"/>
            </c:ext>
          </c:extLst>
        </c:ser>
        <c:ser>
          <c:idx val="1"/>
          <c:order val="1"/>
          <c:tx>
            <c:v>XGB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dim_training!$K$2:$K$404</c:f>
              <c:numCache>
                <c:formatCode>General</c:formatCode>
                <c:ptCount val="403"/>
                <c:pt idx="0">
                  <c:v>-1.8055838</c:v>
                </c:pt>
                <c:pt idx="1">
                  <c:v>8.2087754999999998</c:v>
                </c:pt>
                <c:pt idx="2">
                  <c:v>4.7308573999999997</c:v>
                </c:pt>
                <c:pt idx="3">
                  <c:v>5.2105569999999997</c:v>
                </c:pt>
                <c:pt idx="4">
                  <c:v>-1.1184765999999999</c:v>
                </c:pt>
                <c:pt idx="5">
                  <c:v>-1.7444333999999999</c:v>
                </c:pt>
                <c:pt idx="6">
                  <c:v>9.0502020000000005</c:v>
                </c:pt>
                <c:pt idx="7">
                  <c:v>2.5203180000000001</c:v>
                </c:pt>
                <c:pt idx="8">
                  <c:v>38.101345000000002</c:v>
                </c:pt>
                <c:pt idx="9">
                  <c:v>2.0479726999999999</c:v>
                </c:pt>
                <c:pt idx="10">
                  <c:v>2.1946979</c:v>
                </c:pt>
                <c:pt idx="11">
                  <c:v>3.8100375999999998</c:v>
                </c:pt>
                <c:pt idx="12">
                  <c:v>-1.5709498</c:v>
                </c:pt>
                <c:pt idx="13">
                  <c:v>1.9203125000000001</c:v>
                </c:pt>
                <c:pt idx="14">
                  <c:v>-1.8322286999999999</c:v>
                </c:pt>
                <c:pt idx="15">
                  <c:v>-1.5709498</c:v>
                </c:pt>
                <c:pt idx="16">
                  <c:v>-1.0612682</c:v>
                </c:pt>
                <c:pt idx="17">
                  <c:v>86.417379999999994</c:v>
                </c:pt>
                <c:pt idx="18">
                  <c:v>38.395102999999999</c:v>
                </c:pt>
                <c:pt idx="19">
                  <c:v>-4.1366266999999999</c:v>
                </c:pt>
                <c:pt idx="20">
                  <c:v>-1.5890508999999999</c:v>
                </c:pt>
                <c:pt idx="21">
                  <c:v>-0.12107279</c:v>
                </c:pt>
                <c:pt idx="22">
                  <c:v>0.38548088000000003</c:v>
                </c:pt>
                <c:pt idx="23">
                  <c:v>31.797861000000001</c:v>
                </c:pt>
                <c:pt idx="24">
                  <c:v>0.68691270000000004</c:v>
                </c:pt>
                <c:pt idx="25">
                  <c:v>2.4383058999999999E-2</c:v>
                </c:pt>
                <c:pt idx="26">
                  <c:v>20.053813999999999</c:v>
                </c:pt>
                <c:pt idx="27">
                  <c:v>22.180515</c:v>
                </c:pt>
                <c:pt idx="28">
                  <c:v>53.335827000000002</c:v>
                </c:pt>
                <c:pt idx="29">
                  <c:v>53.795439999999999</c:v>
                </c:pt>
                <c:pt idx="30">
                  <c:v>49.897117999999999</c:v>
                </c:pt>
                <c:pt idx="31">
                  <c:v>1.8229271</c:v>
                </c:pt>
                <c:pt idx="32">
                  <c:v>13.060259</c:v>
                </c:pt>
                <c:pt idx="33">
                  <c:v>21.349888</c:v>
                </c:pt>
                <c:pt idx="34">
                  <c:v>3.3085947</c:v>
                </c:pt>
                <c:pt idx="35">
                  <c:v>6.2408413999999999</c:v>
                </c:pt>
                <c:pt idx="36">
                  <c:v>10.423064</c:v>
                </c:pt>
                <c:pt idx="37">
                  <c:v>-2.2771949999999999</c:v>
                </c:pt>
                <c:pt idx="38">
                  <c:v>-0.16745508000000001</c:v>
                </c:pt>
                <c:pt idx="39">
                  <c:v>-0.16745508000000001</c:v>
                </c:pt>
                <c:pt idx="40">
                  <c:v>1.7382917</c:v>
                </c:pt>
                <c:pt idx="41">
                  <c:v>0.80090636000000004</c:v>
                </c:pt>
                <c:pt idx="42">
                  <c:v>7.4042152999999997</c:v>
                </c:pt>
                <c:pt idx="43">
                  <c:v>-0.87595135000000002</c:v>
                </c:pt>
                <c:pt idx="44">
                  <c:v>-7.8097689999999997E-2</c:v>
                </c:pt>
                <c:pt idx="45">
                  <c:v>86.63785</c:v>
                </c:pt>
                <c:pt idx="46">
                  <c:v>-1.6240053000000001</c:v>
                </c:pt>
                <c:pt idx="47">
                  <c:v>1.4070431999999999</c:v>
                </c:pt>
                <c:pt idx="48">
                  <c:v>9.2705260000000003</c:v>
                </c:pt>
                <c:pt idx="49">
                  <c:v>-1.4729201000000001</c:v>
                </c:pt>
                <c:pt idx="50">
                  <c:v>-1.5941246999999999E-2</c:v>
                </c:pt>
                <c:pt idx="51">
                  <c:v>-1.2327882999999999</c:v>
                </c:pt>
                <c:pt idx="52">
                  <c:v>1.6824132000000001</c:v>
                </c:pt>
                <c:pt idx="53">
                  <c:v>1.1313959</c:v>
                </c:pt>
                <c:pt idx="54">
                  <c:v>1.4070431999999999</c:v>
                </c:pt>
                <c:pt idx="55">
                  <c:v>5.3586819999999999</c:v>
                </c:pt>
                <c:pt idx="56">
                  <c:v>-2.1468506000000001</c:v>
                </c:pt>
                <c:pt idx="57">
                  <c:v>-1.9605668E-2</c:v>
                </c:pt>
                <c:pt idx="58">
                  <c:v>53.583537999999997</c:v>
                </c:pt>
                <c:pt idx="59">
                  <c:v>-0.27086502000000001</c:v>
                </c:pt>
                <c:pt idx="60">
                  <c:v>1.661624</c:v>
                </c:pt>
                <c:pt idx="61">
                  <c:v>-0.12926542999999999</c:v>
                </c:pt>
                <c:pt idx="62">
                  <c:v>1.3720505000000001</c:v>
                </c:pt>
                <c:pt idx="63">
                  <c:v>-4.1594220000000002</c:v>
                </c:pt>
                <c:pt idx="64">
                  <c:v>7.9847602999999996</c:v>
                </c:pt>
                <c:pt idx="65">
                  <c:v>-0.93830340000000001</c:v>
                </c:pt>
                <c:pt idx="66">
                  <c:v>86.293273999999997</c:v>
                </c:pt>
                <c:pt idx="67">
                  <c:v>-1.7435563999999999</c:v>
                </c:pt>
                <c:pt idx="68">
                  <c:v>19.853586</c:v>
                </c:pt>
                <c:pt idx="69">
                  <c:v>4.8613048000000001</c:v>
                </c:pt>
                <c:pt idx="70">
                  <c:v>1.2886846000000001</c:v>
                </c:pt>
                <c:pt idx="71">
                  <c:v>3.0206531999999999</c:v>
                </c:pt>
                <c:pt idx="72">
                  <c:v>5.3222465999999997</c:v>
                </c:pt>
                <c:pt idx="73">
                  <c:v>12.369415</c:v>
                </c:pt>
                <c:pt idx="74">
                  <c:v>-0.47542392999999999</c:v>
                </c:pt>
                <c:pt idx="75">
                  <c:v>5.7955145999999997</c:v>
                </c:pt>
                <c:pt idx="76">
                  <c:v>19.254166000000001</c:v>
                </c:pt>
                <c:pt idx="77">
                  <c:v>-0.16580613999999999</c:v>
                </c:pt>
                <c:pt idx="78">
                  <c:v>-2.9253420000000001</c:v>
                </c:pt>
                <c:pt idx="79">
                  <c:v>2.3698812</c:v>
                </c:pt>
                <c:pt idx="80">
                  <c:v>1.3207932</c:v>
                </c:pt>
                <c:pt idx="81">
                  <c:v>-2.2962655999999999</c:v>
                </c:pt>
                <c:pt idx="82">
                  <c:v>-3.0947070000000001</c:v>
                </c:pt>
                <c:pt idx="83">
                  <c:v>0.55747729999999995</c:v>
                </c:pt>
                <c:pt idx="84">
                  <c:v>-0.27086502000000001</c:v>
                </c:pt>
                <c:pt idx="85">
                  <c:v>12.309042</c:v>
                </c:pt>
                <c:pt idx="86">
                  <c:v>21.296288000000001</c:v>
                </c:pt>
                <c:pt idx="87">
                  <c:v>-7.0201955999999996E-2</c:v>
                </c:pt>
                <c:pt idx="88">
                  <c:v>7.2084839999999997E-2</c:v>
                </c:pt>
                <c:pt idx="89">
                  <c:v>-0.86942965000000005</c:v>
                </c:pt>
                <c:pt idx="90">
                  <c:v>20.085712000000001</c:v>
                </c:pt>
                <c:pt idx="91">
                  <c:v>83.208259999999996</c:v>
                </c:pt>
                <c:pt idx="92">
                  <c:v>18.738593999999999</c:v>
                </c:pt>
                <c:pt idx="93">
                  <c:v>4.7142166999999997</c:v>
                </c:pt>
                <c:pt idx="94">
                  <c:v>-1.3350214</c:v>
                </c:pt>
                <c:pt idx="95">
                  <c:v>-1.5890508999999999</c:v>
                </c:pt>
                <c:pt idx="96">
                  <c:v>0.35529392999999998</c:v>
                </c:pt>
                <c:pt idx="97">
                  <c:v>-2.7690467999999999</c:v>
                </c:pt>
                <c:pt idx="98">
                  <c:v>1.3663651000000001</c:v>
                </c:pt>
                <c:pt idx="99">
                  <c:v>9.7094419999999992</c:v>
                </c:pt>
                <c:pt idx="100">
                  <c:v>1.4021368999999999</c:v>
                </c:pt>
                <c:pt idx="101">
                  <c:v>-2.2306971999999998</c:v>
                </c:pt>
                <c:pt idx="102">
                  <c:v>0.21993461</c:v>
                </c:pt>
                <c:pt idx="103">
                  <c:v>-2.2056813000000002</c:v>
                </c:pt>
                <c:pt idx="104">
                  <c:v>4.7993920000000002E-2</c:v>
                </c:pt>
                <c:pt idx="105">
                  <c:v>3.0589824000000001</c:v>
                </c:pt>
                <c:pt idx="106">
                  <c:v>10.410508</c:v>
                </c:pt>
                <c:pt idx="107">
                  <c:v>1.4907401</c:v>
                </c:pt>
                <c:pt idx="108">
                  <c:v>38.395102999999999</c:v>
                </c:pt>
                <c:pt idx="109">
                  <c:v>-0.39613872999999999</c:v>
                </c:pt>
                <c:pt idx="110">
                  <c:v>8.8525270000000003</c:v>
                </c:pt>
                <c:pt idx="111">
                  <c:v>-3.1420998999999998</c:v>
                </c:pt>
                <c:pt idx="112">
                  <c:v>10.090012</c:v>
                </c:pt>
                <c:pt idx="113">
                  <c:v>53.447426</c:v>
                </c:pt>
                <c:pt idx="114">
                  <c:v>0.72391589999999995</c:v>
                </c:pt>
                <c:pt idx="115">
                  <c:v>53.603713999999997</c:v>
                </c:pt>
                <c:pt idx="116">
                  <c:v>0.81614184000000001</c:v>
                </c:pt>
                <c:pt idx="117">
                  <c:v>-3.0947070000000001</c:v>
                </c:pt>
                <c:pt idx="118">
                  <c:v>0.68258790000000003</c:v>
                </c:pt>
                <c:pt idx="119">
                  <c:v>0.97283774999999995</c:v>
                </c:pt>
                <c:pt idx="120">
                  <c:v>2.6460810000000001</c:v>
                </c:pt>
                <c:pt idx="121">
                  <c:v>-4.1366266999999999</c:v>
                </c:pt>
                <c:pt idx="122">
                  <c:v>0.48935020000000001</c:v>
                </c:pt>
                <c:pt idx="123">
                  <c:v>1.0434890999999999</c:v>
                </c:pt>
                <c:pt idx="124">
                  <c:v>7.8144439999999999</c:v>
                </c:pt>
                <c:pt idx="125">
                  <c:v>31.745272</c:v>
                </c:pt>
                <c:pt idx="126">
                  <c:v>0.3450994</c:v>
                </c:pt>
                <c:pt idx="127">
                  <c:v>0.73882203999999996</c:v>
                </c:pt>
                <c:pt idx="128">
                  <c:v>3.0878872999999998</c:v>
                </c:pt>
                <c:pt idx="129">
                  <c:v>53.583537999999997</c:v>
                </c:pt>
                <c:pt idx="130">
                  <c:v>-3.2795234</c:v>
                </c:pt>
                <c:pt idx="131">
                  <c:v>2.605826</c:v>
                </c:pt>
                <c:pt idx="132">
                  <c:v>-0.65920966999999997</c:v>
                </c:pt>
                <c:pt idx="133">
                  <c:v>-0.33748853000000001</c:v>
                </c:pt>
                <c:pt idx="134">
                  <c:v>41.761997000000001</c:v>
                </c:pt>
                <c:pt idx="135">
                  <c:v>-1.5183051000000001</c:v>
                </c:pt>
                <c:pt idx="136">
                  <c:v>12.050689999999999</c:v>
                </c:pt>
                <c:pt idx="137">
                  <c:v>-2.1468506000000001</c:v>
                </c:pt>
                <c:pt idx="138">
                  <c:v>-1.1118644</c:v>
                </c:pt>
                <c:pt idx="139">
                  <c:v>3.0654534999999998</c:v>
                </c:pt>
                <c:pt idx="140">
                  <c:v>4.1614649999999997</c:v>
                </c:pt>
                <c:pt idx="141">
                  <c:v>1.9709285000000001</c:v>
                </c:pt>
                <c:pt idx="142">
                  <c:v>0.13018718000000001</c:v>
                </c:pt>
                <c:pt idx="143">
                  <c:v>1.4086921999999999</c:v>
                </c:pt>
                <c:pt idx="144">
                  <c:v>9.0142930000000003</c:v>
                </c:pt>
                <c:pt idx="145">
                  <c:v>-0.16745508000000001</c:v>
                </c:pt>
                <c:pt idx="146">
                  <c:v>-2.7243966999999998</c:v>
                </c:pt>
                <c:pt idx="147">
                  <c:v>-0.95730179999999998</c:v>
                </c:pt>
                <c:pt idx="148">
                  <c:v>-3.1325329999999998E-2</c:v>
                </c:pt>
                <c:pt idx="149">
                  <c:v>1.1313959</c:v>
                </c:pt>
                <c:pt idx="150">
                  <c:v>21.155809999999999</c:v>
                </c:pt>
                <c:pt idx="151">
                  <c:v>1.9588671</c:v>
                </c:pt>
                <c:pt idx="152">
                  <c:v>1.8167241000000001</c:v>
                </c:pt>
                <c:pt idx="153">
                  <c:v>0.42884939999999999</c:v>
                </c:pt>
                <c:pt idx="154">
                  <c:v>-2.7653365000000001</c:v>
                </c:pt>
                <c:pt idx="155">
                  <c:v>2.9708214000000002</c:v>
                </c:pt>
                <c:pt idx="156">
                  <c:v>-2.7243966999999998</c:v>
                </c:pt>
                <c:pt idx="157">
                  <c:v>0.67367279999999996</c:v>
                </c:pt>
                <c:pt idx="158">
                  <c:v>1.1623222</c:v>
                </c:pt>
                <c:pt idx="159">
                  <c:v>87.234499999999997</c:v>
                </c:pt>
                <c:pt idx="160">
                  <c:v>5.4023979999999999E-2</c:v>
                </c:pt>
                <c:pt idx="161">
                  <c:v>4.4883956999999999</c:v>
                </c:pt>
                <c:pt idx="162">
                  <c:v>0.12555880999999999</c:v>
                </c:pt>
                <c:pt idx="163">
                  <c:v>18.738593999999999</c:v>
                </c:pt>
                <c:pt idx="164">
                  <c:v>-3.0999680000000001</c:v>
                </c:pt>
                <c:pt idx="165">
                  <c:v>4.5470003999999999</c:v>
                </c:pt>
                <c:pt idx="166">
                  <c:v>9.0669775000000001</c:v>
                </c:pt>
                <c:pt idx="167">
                  <c:v>3.7954273000000001</c:v>
                </c:pt>
                <c:pt idx="168">
                  <c:v>-3.3200539999999998</c:v>
                </c:pt>
                <c:pt idx="169">
                  <c:v>1.0201442000000001</c:v>
                </c:pt>
                <c:pt idx="170">
                  <c:v>2.3228393000000001</c:v>
                </c:pt>
                <c:pt idx="171">
                  <c:v>4.6427100000000001</c:v>
                </c:pt>
                <c:pt idx="172">
                  <c:v>-0.64844710000000005</c:v>
                </c:pt>
                <c:pt idx="173">
                  <c:v>9.0551589999999997</c:v>
                </c:pt>
                <c:pt idx="174">
                  <c:v>-3.3804923000000001E-2</c:v>
                </c:pt>
                <c:pt idx="175">
                  <c:v>3.9481544</c:v>
                </c:pt>
                <c:pt idx="176">
                  <c:v>-0.68680006000000005</c:v>
                </c:pt>
                <c:pt idx="177">
                  <c:v>12.560758999999999</c:v>
                </c:pt>
                <c:pt idx="178">
                  <c:v>-2.0861979000000002</c:v>
                </c:pt>
                <c:pt idx="179">
                  <c:v>-0.99930180000000002</c:v>
                </c:pt>
                <c:pt idx="180">
                  <c:v>-1.3636432000000001</c:v>
                </c:pt>
                <c:pt idx="181">
                  <c:v>2.4714564999999999</c:v>
                </c:pt>
                <c:pt idx="182">
                  <c:v>-3.0609731999999998</c:v>
                </c:pt>
                <c:pt idx="183">
                  <c:v>8.9348559999999999</c:v>
                </c:pt>
                <c:pt idx="184">
                  <c:v>2.3800515999999998</c:v>
                </c:pt>
                <c:pt idx="185">
                  <c:v>2.5452713999999999</c:v>
                </c:pt>
                <c:pt idx="186">
                  <c:v>1.2936623</c:v>
                </c:pt>
                <c:pt idx="187">
                  <c:v>-0.93365880000000001</c:v>
                </c:pt>
                <c:pt idx="188">
                  <c:v>21.582084999999999</c:v>
                </c:pt>
                <c:pt idx="189">
                  <c:v>6.9459552999999996</c:v>
                </c:pt>
                <c:pt idx="190">
                  <c:v>8.9888940000000002</c:v>
                </c:pt>
                <c:pt idx="191">
                  <c:v>16.222109</c:v>
                </c:pt>
                <c:pt idx="192">
                  <c:v>4.4883956999999999</c:v>
                </c:pt>
                <c:pt idx="193">
                  <c:v>-0.64844710000000005</c:v>
                </c:pt>
                <c:pt idx="194">
                  <c:v>-1.7484815</c:v>
                </c:pt>
                <c:pt idx="195">
                  <c:v>53.390101999999999</c:v>
                </c:pt>
                <c:pt idx="196">
                  <c:v>-0.59785085999999998</c:v>
                </c:pt>
                <c:pt idx="197">
                  <c:v>-1.0445331</c:v>
                </c:pt>
                <c:pt idx="198">
                  <c:v>-1.5708801999999999</c:v>
                </c:pt>
                <c:pt idx="199">
                  <c:v>5.3481290000000001</c:v>
                </c:pt>
                <c:pt idx="200">
                  <c:v>8.9368580000000009</c:v>
                </c:pt>
                <c:pt idx="201">
                  <c:v>-3.0947070000000001</c:v>
                </c:pt>
                <c:pt idx="202">
                  <c:v>3.2155355999999999</c:v>
                </c:pt>
                <c:pt idx="203">
                  <c:v>6.0239563</c:v>
                </c:pt>
                <c:pt idx="204">
                  <c:v>5.3385800000000003</c:v>
                </c:pt>
                <c:pt idx="205">
                  <c:v>2.7072186</c:v>
                </c:pt>
                <c:pt idx="206">
                  <c:v>7.6733545999999997</c:v>
                </c:pt>
                <c:pt idx="207">
                  <c:v>-2.0303472999999999</c:v>
                </c:pt>
                <c:pt idx="208">
                  <c:v>9.1571470000000001</c:v>
                </c:pt>
                <c:pt idx="209">
                  <c:v>3.2077293</c:v>
                </c:pt>
                <c:pt idx="210">
                  <c:v>12.837711000000001</c:v>
                </c:pt>
                <c:pt idx="211">
                  <c:v>4.0976499999999998</c:v>
                </c:pt>
                <c:pt idx="212">
                  <c:v>38.487575999999997</c:v>
                </c:pt>
                <c:pt idx="213">
                  <c:v>-3.3991631999999998</c:v>
                </c:pt>
                <c:pt idx="214">
                  <c:v>2.6566901000000001</c:v>
                </c:pt>
                <c:pt idx="215">
                  <c:v>12.837711000000001</c:v>
                </c:pt>
                <c:pt idx="216">
                  <c:v>-0.51992375000000002</c:v>
                </c:pt>
                <c:pt idx="217">
                  <c:v>6.2408413999999999</c:v>
                </c:pt>
                <c:pt idx="218">
                  <c:v>4.1147739999999997</c:v>
                </c:pt>
                <c:pt idx="219">
                  <c:v>2.4383058999999999E-2</c:v>
                </c:pt>
                <c:pt idx="220">
                  <c:v>-1.2829759000000001</c:v>
                </c:pt>
                <c:pt idx="221">
                  <c:v>53.392605000000003</c:v>
                </c:pt>
                <c:pt idx="222">
                  <c:v>26.479689</c:v>
                </c:pt>
                <c:pt idx="223">
                  <c:v>3.0206531999999999</c:v>
                </c:pt>
                <c:pt idx="224">
                  <c:v>4.7893943999999999</c:v>
                </c:pt>
                <c:pt idx="225">
                  <c:v>3.4923839999999999</c:v>
                </c:pt>
                <c:pt idx="226">
                  <c:v>2.5202122</c:v>
                </c:pt>
                <c:pt idx="227">
                  <c:v>10.506501999999999</c:v>
                </c:pt>
                <c:pt idx="228">
                  <c:v>-2.0706015</c:v>
                </c:pt>
                <c:pt idx="229">
                  <c:v>-1.0612682</c:v>
                </c:pt>
                <c:pt idx="230">
                  <c:v>4.0682606999999997</c:v>
                </c:pt>
                <c:pt idx="231">
                  <c:v>2.1165422999999999</c:v>
                </c:pt>
                <c:pt idx="232">
                  <c:v>-1.8166612</c:v>
                </c:pt>
                <c:pt idx="233">
                  <c:v>31.797861000000001</c:v>
                </c:pt>
                <c:pt idx="234">
                  <c:v>31.860043999999998</c:v>
                </c:pt>
                <c:pt idx="235">
                  <c:v>2.2088432</c:v>
                </c:pt>
                <c:pt idx="236">
                  <c:v>9.0353870000000001</c:v>
                </c:pt>
                <c:pt idx="237">
                  <c:v>0.21993461</c:v>
                </c:pt>
                <c:pt idx="238">
                  <c:v>0.27912651999999999</c:v>
                </c:pt>
                <c:pt idx="239">
                  <c:v>-1.4500257000000001</c:v>
                </c:pt>
                <c:pt idx="240">
                  <c:v>-1.965317</c:v>
                </c:pt>
                <c:pt idx="241">
                  <c:v>3.0206531999999999</c:v>
                </c:pt>
                <c:pt idx="242">
                  <c:v>2.9033617999999999</c:v>
                </c:pt>
                <c:pt idx="243">
                  <c:v>-2.2268043</c:v>
                </c:pt>
                <c:pt idx="244">
                  <c:v>-1.2971964</c:v>
                </c:pt>
                <c:pt idx="245">
                  <c:v>-0.16580613999999999</c:v>
                </c:pt>
                <c:pt idx="246">
                  <c:v>-2.3854565999999999</c:v>
                </c:pt>
                <c:pt idx="247">
                  <c:v>-0.89549809999999996</c:v>
                </c:pt>
                <c:pt idx="248">
                  <c:v>-2.4445320000000001</c:v>
                </c:pt>
                <c:pt idx="249">
                  <c:v>0.10004211</c:v>
                </c:pt>
                <c:pt idx="250">
                  <c:v>5.5506634999999998</c:v>
                </c:pt>
                <c:pt idx="251">
                  <c:v>3.883543</c:v>
                </c:pt>
                <c:pt idx="252">
                  <c:v>1.9722668000000001</c:v>
                </c:pt>
                <c:pt idx="253">
                  <c:v>-0.59785085999999998</c:v>
                </c:pt>
                <c:pt idx="254">
                  <c:v>-0.34350704999999998</c:v>
                </c:pt>
                <c:pt idx="255">
                  <c:v>-0.47542392999999999</c:v>
                </c:pt>
                <c:pt idx="256">
                  <c:v>2.8036813999999999</c:v>
                </c:pt>
                <c:pt idx="257">
                  <c:v>4.2891570000000003</c:v>
                </c:pt>
                <c:pt idx="258">
                  <c:v>-0.73534626000000003</c:v>
                </c:pt>
                <c:pt idx="259">
                  <c:v>-0.59785085999999998</c:v>
                </c:pt>
                <c:pt idx="260">
                  <c:v>-0.82293400000000005</c:v>
                </c:pt>
                <c:pt idx="261">
                  <c:v>0.80194350000000003</c:v>
                </c:pt>
                <c:pt idx="262">
                  <c:v>41.983784</c:v>
                </c:pt>
                <c:pt idx="263">
                  <c:v>-1.6159384000000001</c:v>
                </c:pt>
                <c:pt idx="264">
                  <c:v>-2.6687370000000001</c:v>
                </c:pt>
                <c:pt idx="265">
                  <c:v>1.257042</c:v>
                </c:pt>
                <c:pt idx="266">
                  <c:v>-2.0652121999999999</c:v>
                </c:pt>
                <c:pt idx="267">
                  <c:v>1.3308165999999999</c:v>
                </c:pt>
                <c:pt idx="268">
                  <c:v>9.8056789999999996</c:v>
                </c:pt>
                <c:pt idx="269">
                  <c:v>1.9891304999999999</c:v>
                </c:pt>
                <c:pt idx="270">
                  <c:v>0.51544089999999998</c:v>
                </c:pt>
                <c:pt idx="271">
                  <c:v>5.0346494000000002</c:v>
                </c:pt>
                <c:pt idx="272">
                  <c:v>-2.1781220000000001</c:v>
                </c:pt>
                <c:pt idx="273">
                  <c:v>26.965174000000001</c:v>
                </c:pt>
                <c:pt idx="274">
                  <c:v>-1.1370312</c:v>
                </c:pt>
                <c:pt idx="275">
                  <c:v>9.8056789999999996</c:v>
                </c:pt>
                <c:pt idx="276">
                  <c:v>12.780975</c:v>
                </c:pt>
                <c:pt idx="277">
                  <c:v>21.454996000000001</c:v>
                </c:pt>
                <c:pt idx="278">
                  <c:v>9.3059390000000004</c:v>
                </c:pt>
                <c:pt idx="279">
                  <c:v>1.0303878</c:v>
                </c:pt>
                <c:pt idx="280">
                  <c:v>0.59338194</c:v>
                </c:pt>
                <c:pt idx="281">
                  <c:v>5.5600959999999997</c:v>
                </c:pt>
                <c:pt idx="282">
                  <c:v>5.0278033999999998</c:v>
                </c:pt>
                <c:pt idx="283">
                  <c:v>1.61497</c:v>
                </c:pt>
                <c:pt idx="284">
                  <c:v>4.7308573999999997</c:v>
                </c:pt>
                <c:pt idx="285">
                  <c:v>3.6931704999999999</c:v>
                </c:pt>
                <c:pt idx="286">
                  <c:v>0.38204378</c:v>
                </c:pt>
                <c:pt idx="287">
                  <c:v>9.1130980000000008</c:v>
                </c:pt>
                <c:pt idx="288">
                  <c:v>-0.65920966999999997</c:v>
                </c:pt>
                <c:pt idx="289">
                  <c:v>19.959023999999999</c:v>
                </c:pt>
                <c:pt idx="290">
                  <c:v>9.3194920000000003</c:v>
                </c:pt>
                <c:pt idx="291">
                  <c:v>-1.6188511999999999</c:v>
                </c:pt>
                <c:pt idx="292">
                  <c:v>3.7805653000000001</c:v>
                </c:pt>
                <c:pt idx="293">
                  <c:v>12.096619</c:v>
                </c:pt>
                <c:pt idx="294">
                  <c:v>26.479689</c:v>
                </c:pt>
                <c:pt idx="295">
                  <c:v>-3.467517</c:v>
                </c:pt>
                <c:pt idx="296">
                  <c:v>-0.93999714000000001</c:v>
                </c:pt>
                <c:pt idx="297">
                  <c:v>-0.42101395000000003</c:v>
                </c:pt>
                <c:pt idx="298">
                  <c:v>36.370987</c:v>
                </c:pt>
                <c:pt idx="299">
                  <c:v>4.0513240000000001</c:v>
                </c:pt>
                <c:pt idx="300">
                  <c:v>-2.8032780000000002</c:v>
                </c:pt>
                <c:pt idx="301">
                  <c:v>-0.98660844999999997</c:v>
                </c:pt>
                <c:pt idx="302">
                  <c:v>1.6301829000000001</c:v>
                </c:pt>
                <c:pt idx="303">
                  <c:v>12.690804999999999</c:v>
                </c:pt>
                <c:pt idx="304">
                  <c:v>-2.0918508</c:v>
                </c:pt>
                <c:pt idx="305">
                  <c:v>-2.6808589999999999</c:v>
                </c:pt>
                <c:pt idx="306">
                  <c:v>9.4291160000000005</c:v>
                </c:pt>
                <c:pt idx="307">
                  <c:v>49.818809999999999</c:v>
                </c:pt>
                <c:pt idx="308">
                  <c:v>4.9922610000000001</c:v>
                </c:pt>
                <c:pt idx="309">
                  <c:v>16.188808000000002</c:v>
                </c:pt>
                <c:pt idx="310">
                  <c:v>5.0656140000000002E-2</c:v>
                </c:pt>
                <c:pt idx="311">
                  <c:v>4.9445889999999999E-2</c:v>
                </c:pt>
                <c:pt idx="312">
                  <c:v>85.935879999999997</c:v>
                </c:pt>
                <c:pt idx="313">
                  <c:v>7.8144439999999999</c:v>
                </c:pt>
                <c:pt idx="314">
                  <c:v>31.655691000000001</c:v>
                </c:pt>
                <c:pt idx="315">
                  <c:v>2.1946979</c:v>
                </c:pt>
                <c:pt idx="316">
                  <c:v>4.7917484999999997</c:v>
                </c:pt>
                <c:pt idx="317">
                  <c:v>21.810375000000001</c:v>
                </c:pt>
                <c:pt idx="318">
                  <c:v>41.761997000000001</c:v>
                </c:pt>
                <c:pt idx="319">
                  <c:v>42.057006999999999</c:v>
                </c:pt>
                <c:pt idx="320">
                  <c:v>-0.98660844999999997</c:v>
                </c:pt>
                <c:pt idx="321">
                  <c:v>-2.0652121999999999</c:v>
                </c:pt>
                <c:pt idx="322">
                  <c:v>4.6950855000000002</c:v>
                </c:pt>
                <c:pt idx="323">
                  <c:v>84.742515999999995</c:v>
                </c:pt>
                <c:pt idx="324">
                  <c:v>4.4311284999999998</c:v>
                </c:pt>
                <c:pt idx="325">
                  <c:v>31.770464</c:v>
                </c:pt>
                <c:pt idx="326">
                  <c:v>-2.0612154</c:v>
                </c:pt>
                <c:pt idx="327">
                  <c:v>1.1769289000000001</c:v>
                </c:pt>
                <c:pt idx="328">
                  <c:v>1.6301829000000001</c:v>
                </c:pt>
                <c:pt idx="329">
                  <c:v>0.39462130000000001</c:v>
                </c:pt>
                <c:pt idx="330">
                  <c:v>1.1891384</c:v>
                </c:pt>
                <c:pt idx="331">
                  <c:v>-2.3423590000000001</c:v>
                </c:pt>
                <c:pt idx="332">
                  <c:v>36.370987</c:v>
                </c:pt>
                <c:pt idx="333">
                  <c:v>1.8788012999999999</c:v>
                </c:pt>
                <c:pt idx="334">
                  <c:v>42.829098000000002</c:v>
                </c:pt>
                <c:pt idx="335">
                  <c:v>0.87776500000000002</c:v>
                </c:pt>
                <c:pt idx="336">
                  <c:v>20.654291000000001</c:v>
                </c:pt>
                <c:pt idx="337">
                  <c:v>0.75537339999999997</c:v>
                </c:pt>
                <c:pt idx="338">
                  <c:v>1.3138405</c:v>
                </c:pt>
                <c:pt idx="339">
                  <c:v>-3.7100759000000001</c:v>
                </c:pt>
                <c:pt idx="340">
                  <c:v>-0.28871518000000002</c:v>
                </c:pt>
                <c:pt idx="341">
                  <c:v>-2.6274714000000001</c:v>
                </c:pt>
                <c:pt idx="342">
                  <c:v>86.691720000000004</c:v>
                </c:pt>
                <c:pt idx="343">
                  <c:v>0.93712859999999998</c:v>
                </c:pt>
                <c:pt idx="344">
                  <c:v>0.17223278</c:v>
                </c:pt>
                <c:pt idx="345">
                  <c:v>42.303837000000001</c:v>
                </c:pt>
                <c:pt idx="346">
                  <c:v>2.6334276000000001</c:v>
                </c:pt>
                <c:pt idx="347">
                  <c:v>1.6580678</c:v>
                </c:pt>
                <c:pt idx="348">
                  <c:v>1.5574988999999999</c:v>
                </c:pt>
                <c:pt idx="349">
                  <c:v>13.042735</c:v>
                </c:pt>
                <c:pt idx="350">
                  <c:v>0.42884939999999999</c:v>
                </c:pt>
                <c:pt idx="351">
                  <c:v>21.023700000000002</c:v>
                </c:pt>
                <c:pt idx="352">
                  <c:v>2.5708546999999999</c:v>
                </c:pt>
                <c:pt idx="353">
                  <c:v>-3.1181717</c:v>
                </c:pt>
                <c:pt idx="354">
                  <c:v>-2.0652121999999999</c:v>
                </c:pt>
                <c:pt idx="355">
                  <c:v>-3.0947070000000001</c:v>
                </c:pt>
                <c:pt idx="356">
                  <c:v>7.7950530000000002</c:v>
                </c:pt>
                <c:pt idx="357">
                  <c:v>-1.3636432000000001</c:v>
                </c:pt>
                <c:pt idx="358">
                  <c:v>-0.21640238000000001</c:v>
                </c:pt>
                <c:pt idx="359">
                  <c:v>0.95136374000000001</c:v>
                </c:pt>
                <c:pt idx="360">
                  <c:v>20.026416999999999</c:v>
                </c:pt>
                <c:pt idx="361">
                  <c:v>5.6678715000000004</c:v>
                </c:pt>
                <c:pt idx="362">
                  <c:v>-2.2771949999999999</c:v>
                </c:pt>
                <c:pt idx="363">
                  <c:v>4.8655375999999997</c:v>
                </c:pt>
                <c:pt idx="364">
                  <c:v>4.3264874999999998</c:v>
                </c:pt>
                <c:pt idx="365">
                  <c:v>-2.7252649999999998</c:v>
                </c:pt>
                <c:pt idx="366">
                  <c:v>4.0976499999999998</c:v>
                </c:pt>
                <c:pt idx="367">
                  <c:v>-1.7968470999999999</c:v>
                </c:pt>
                <c:pt idx="368">
                  <c:v>41.880130000000001</c:v>
                </c:pt>
                <c:pt idx="369">
                  <c:v>19.931626999999999</c:v>
                </c:pt>
                <c:pt idx="370">
                  <c:v>0.86739929999999998</c:v>
                </c:pt>
                <c:pt idx="371">
                  <c:v>-0.73534626000000003</c:v>
                </c:pt>
                <c:pt idx="372">
                  <c:v>1.5447236</c:v>
                </c:pt>
                <c:pt idx="373">
                  <c:v>0.95328562999999999</c:v>
                </c:pt>
                <c:pt idx="374">
                  <c:v>3.2366842999999998</c:v>
                </c:pt>
                <c:pt idx="375">
                  <c:v>1.4690992</c:v>
                </c:pt>
                <c:pt idx="376">
                  <c:v>18.546323999999998</c:v>
                </c:pt>
                <c:pt idx="377">
                  <c:v>-2.2351694000000002</c:v>
                </c:pt>
                <c:pt idx="378">
                  <c:v>26.512989000000001</c:v>
                </c:pt>
                <c:pt idx="379">
                  <c:v>16.188808000000002</c:v>
                </c:pt>
                <c:pt idx="380">
                  <c:v>-1.1969059</c:v>
                </c:pt>
                <c:pt idx="381">
                  <c:v>86.67568</c:v>
                </c:pt>
                <c:pt idx="382">
                  <c:v>9.0711580000000005</c:v>
                </c:pt>
                <c:pt idx="383">
                  <c:v>0.59370345000000002</c:v>
                </c:pt>
                <c:pt idx="384">
                  <c:v>2.3531312999999998</c:v>
                </c:pt>
                <c:pt idx="385">
                  <c:v>1.0201442000000001</c:v>
                </c:pt>
                <c:pt idx="386">
                  <c:v>9.7094419999999992</c:v>
                </c:pt>
                <c:pt idx="387">
                  <c:v>3.8298473</c:v>
                </c:pt>
                <c:pt idx="388">
                  <c:v>1.8680749000000001</c:v>
                </c:pt>
                <c:pt idx="389">
                  <c:v>1.003182</c:v>
                </c:pt>
                <c:pt idx="390">
                  <c:v>22.4236</c:v>
                </c:pt>
                <c:pt idx="391">
                  <c:v>-1.8963857</c:v>
                </c:pt>
                <c:pt idx="392">
                  <c:v>1.0983547</c:v>
                </c:pt>
                <c:pt idx="393">
                  <c:v>5.3528323000000002</c:v>
                </c:pt>
                <c:pt idx="394">
                  <c:v>2.3716092</c:v>
                </c:pt>
                <c:pt idx="395">
                  <c:v>-2.7062168</c:v>
                </c:pt>
                <c:pt idx="396">
                  <c:v>-2.3987455</c:v>
                </c:pt>
                <c:pt idx="397">
                  <c:v>9.1130980000000008</c:v>
                </c:pt>
                <c:pt idx="398">
                  <c:v>10.4459915</c:v>
                </c:pt>
                <c:pt idx="399">
                  <c:v>-1.3681384000000001</c:v>
                </c:pt>
                <c:pt idx="400">
                  <c:v>-3.0947070000000001</c:v>
                </c:pt>
                <c:pt idx="401">
                  <c:v>8.8141780000000001</c:v>
                </c:pt>
                <c:pt idx="402">
                  <c:v>-0.31169963000000001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3-4846-91FD-647F4EEA7833}"/>
            </c:ext>
          </c:extLst>
        </c:ser>
        <c:ser>
          <c:idx val="2"/>
          <c:order val="2"/>
          <c:tx>
            <c:v>RF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dim_training!$L$2:$L$404</c:f>
              <c:numCache>
                <c:formatCode>General</c:formatCode>
                <c:ptCount val="403"/>
                <c:pt idx="0">
                  <c:v>-2.4605301815946099</c:v>
                </c:pt>
                <c:pt idx="1">
                  <c:v>8.4388800175406704</c:v>
                </c:pt>
                <c:pt idx="2">
                  <c:v>4.85667672596212</c:v>
                </c:pt>
                <c:pt idx="3">
                  <c:v>5.4683295890203496</c:v>
                </c:pt>
                <c:pt idx="4">
                  <c:v>-0.99475009429193795</c:v>
                </c:pt>
                <c:pt idx="5">
                  <c:v>-1.8634516237977099</c:v>
                </c:pt>
                <c:pt idx="6">
                  <c:v>9.3940252982474401</c:v>
                </c:pt>
                <c:pt idx="7">
                  <c:v>4.0379658179536699</c:v>
                </c:pt>
                <c:pt idx="8">
                  <c:v>36.163457649873401</c:v>
                </c:pt>
                <c:pt idx="9">
                  <c:v>2.0699566547066501</c:v>
                </c:pt>
                <c:pt idx="10">
                  <c:v>2.2712928468636302</c:v>
                </c:pt>
                <c:pt idx="11">
                  <c:v>5.2163299674063399</c:v>
                </c:pt>
                <c:pt idx="12">
                  <c:v>-1.1848581186150999</c:v>
                </c:pt>
                <c:pt idx="13">
                  <c:v>2.0027933647629101</c:v>
                </c:pt>
                <c:pt idx="14">
                  <c:v>-1.7581711939265801</c:v>
                </c:pt>
                <c:pt idx="15">
                  <c:v>-1.08990540540988</c:v>
                </c:pt>
                <c:pt idx="16">
                  <c:v>-1.2439509849849699</c:v>
                </c:pt>
                <c:pt idx="17">
                  <c:v>85.420606765891193</c:v>
                </c:pt>
                <c:pt idx="18">
                  <c:v>35.566514655745003</c:v>
                </c:pt>
                <c:pt idx="19">
                  <c:v>-4.0267980785070296</c:v>
                </c:pt>
                <c:pt idx="20">
                  <c:v>-1.2387538090713099</c:v>
                </c:pt>
                <c:pt idx="21">
                  <c:v>-0.34716594207395002</c:v>
                </c:pt>
                <c:pt idx="22">
                  <c:v>0.44046463853248902</c:v>
                </c:pt>
                <c:pt idx="23">
                  <c:v>31.327933773389798</c:v>
                </c:pt>
                <c:pt idx="24">
                  <c:v>0.61931733490806096</c:v>
                </c:pt>
                <c:pt idx="25">
                  <c:v>-0.157257702326035</c:v>
                </c:pt>
                <c:pt idx="26">
                  <c:v>20.091413936863301</c:v>
                </c:pt>
                <c:pt idx="27">
                  <c:v>22.633611047879999</c:v>
                </c:pt>
                <c:pt idx="28">
                  <c:v>53.643581200926398</c:v>
                </c:pt>
                <c:pt idx="29">
                  <c:v>53.668784577347502</c:v>
                </c:pt>
                <c:pt idx="30">
                  <c:v>50.410559900778601</c:v>
                </c:pt>
                <c:pt idx="31">
                  <c:v>1.9819651801281799</c:v>
                </c:pt>
                <c:pt idx="32">
                  <c:v>13.3599688208259</c:v>
                </c:pt>
                <c:pt idx="33">
                  <c:v>20.435524547972499</c:v>
                </c:pt>
                <c:pt idx="34">
                  <c:v>3.25755212421894</c:v>
                </c:pt>
                <c:pt idx="35">
                  <c:v>6.4766884359144603</c:v>
                </c:pt>
                <c:pt idx="36">
                  <c:v>11.702610331037</c:v>
                </c:pt>
                <c:pt idx="37">
                  <c:v>-2.2200109357781099</c:v>
                </c:pt>
                <c:pt idx="38">
                  <c:v>-3.7941753092631397E-2</c:v>
                </c:pt>
                <c:pt idx="39">
                  <c:v>-0.17186747012421</c:v>
                </c:pt>
                <c:pt idx="40">
                  <c:v>1.53044053115784</c:v>
                </c:pt>
                <c:pt idx="41">
                  <c:v>0.888487859534976</c:v>
                </c:pt>
                <c:pt idx="42">
                  <c:v>6.4338260775457803</c:v>
                </c:pt>
                <c:pt idx="43">
                  <c:v>-1.25731809653937</c:v>
                </c:pt>
                <c:pt idx="44">
                  <c:v>-0.53509087214608997</c:v>
                </c:pt>
                <c:pt idx="45">
                  <c:v>86.626663294969106</c:v>
                </c:pt>
                <c:pt idx="46">
                  <c:v>-1.77561457293991</c:v>
                </c:pt>
                <c:pt idx="47">
                  <c:v>1.3343573755910301</c:v>
                </c:pt>
                <c:pt idx="48">
                  <c:v>9.6448542549176999</c:v>
                </c:pt>
                <c:pt idx="49">
                  <c:v>-1.4496473726160399</c:v>
                </c:pt>
                <c:pt idx="50">
                  <c:v>0.117331243755789</c:v>
                </c:pt>
                <c:pt idx="51">
                  <c:v>-1.1425877649377101</c:v>
                </c:pt>
                <c:pt idx="52">
                  <c:v>1.73894922398936</c:v>
                </c:pt>
                <c:pt idx="53">
                  <c:v>1.0957175661935099</c:v>
                </c:pt>
                <c:pt idx="54">
                  <c:v>1.44881002894648</c:v>
                </c:pt>
                <c:pt idx="55">
                  <c:v>7.1009278513474001</c:v>
                </c:pt>
                <c:pt idx="56">
                  <c:v>-2.25110949305608</c:v>
                </c:pt>
                <c:pt idx="57">
                  <c:v>6.4795558854736396E-2</c:v>
                </c:pt>
                <c:pt idx="58">
                  <c:v>53.176351498462999</c:v>
                </c:pt>
                <c:pt idx="59">
                  <c:v>-0.36974679362526103</c:v>
                </c:pt>
                <c:pt idx="60">
                  <c:v>1.9705843623035499</c:v>
                </c:pt>
                <c:pt idx="61">
                  <c:v>-0.12880860497108701</c:v>
                </c:pt>
                <c:pt idx="62">
                  <c:v>1.3115352143455301</c:v>
                </c:pt>
                <c:pt idx="63">
                  <c:v>-4.35580802798109</c:v>
                </c:pt>
                <c:pt idx="64">
                  <c:v>9.3585892644050102</c:v>
                </c:pt>
                <c:pt idx="65">
                  <c:v>-0.611115194949157</c:v>
                </c:pt>
                <c:pt idx="66">
                  <c:v>85.042535208294595</c:v>
                </c:pt>
                <c:pt idx="67">
                  <c:v>-1.5610350444863701</c:v>
                </c:pt>
                <c:pt idx="68">
                  <c:v>19.969030596947398</c:v>
                </c:pt>
                <c:pt idx="69">
                  <c:v>4.7582286544988097</c:v>
                </c:pt>
                <c:pt idx="70">
                  <c:v>1.3099136773254201</c:v>
                </c:pt>
                <c:pt idx="71">
                  <c:v>3.09966930765412</c:v>
                </c:pt>
                <c:pt idx="72">
                  <c:v>5.5097836374498401</c:v>
                </c:pt>
                <c:pt idx="73">
                  <c:v>12.802858080877799</c:v>
                </c:pt>
                <c:pt idx="74">
                  <c:v>-0.39251249842059999</c:v>
                </c:pt>
                <c:pt idx="75">
                  <c:v>6.3739295600784001</c:v>
                </c:pt>
                <c:pt idx="76">
                  <c:v>16.8499425795831</c:v>
                </c:pt>
                <c:pt idx="77">
                  <c:v>-0.12576223508638501</c:v>
                </c:pt>
                <c:pt idx="78">
                  <c:v>-2.6982824180519902</c:v>
                </c:pt>
                <c:pt idx="79">
                  <c:v>2.1057981767495502</c:v>
                </c:pt>
                <c:pt idx="80">
                  <c:v>1.4728538248912899</c:v>
                </c:pt>
                <c:pt idx="81">
                  <c:v>-2.4010619435478402</c:v>
                </c:pt>
                <c:pt idx="82">
                  <c:v>-3.1940604152037699</c:v>
                </c:pt>
                <c:pt idx="83">
                  <c:v>0.789958822116541</c:v>
                </c:pt>
                <c:pt idx="84">
                  <c:v>-0.27698802365193098</c:v>
                </c:pt>
                <c:pt idx="85">
                  <c:v>12.056508392668899</c:v>
                </c:pt>
                <c:pt idx="86">
                  <c:v>22.2471115518441</c:v>
                </c:pt>
                <c:pt idx="87">
                  <c:v>0.14699131624</c:v>
                </c:pt>
                <c:pt idx="88">
                  <c:v>-3.89003148842108E-2</c:v>
                </c:pt>
                <c:pt idx="89">
                  <c:v>-1.1600668093283399</c:v>
                </c:pt>
                <c:pt idx="90">
                  <c:v>19.9574054297474</c:v>
                </c:pt>
                <c:pt idx="91">
                  <c:v>85.055323064526206</c:v>
                </c:pt>
                <c:pt idx="92">
                  <c:v>20.093769219705202</c:v>
                </c:pt>
                <c:pt idx="93">
                  <c:v>5.8446524211873498</c:v>
                </c:pt>
                <c:pt idx="94">
                  <c:v>-1.29899403045531</c:v>
                </c:pt>
                <c:pt idx="95">
                  <c:v>-1.3495793417615101</c:v>
                </c:pt>
                <c:pt idx="96">
                  <c:v>0.28793879893473601</c:v>
                </c:pt>
                <c:pt idx="97">
                  <c:v>-2.71243862071695</c:v>
                </c:pt>
                <c:pt idx="98">
                  <c:v>1.4467842423645301</c:v>
                </c:pt>
                <c:pt idx="99">
                  <c:v>9.6406648906246808</c:v>
                </c:pt>
                <c:pt idx="100">
                  <c:v>1.2490371290016999</c:v>
                </c:pt>
                <c:pt idx="101">
                  <c:v>-2.4143190590336401</c:v>
                </c:pt>
                <c:pt idx="102">
                  <c:v>0.14973332334263101</c:v>
                </c:pt>
                <c:pt idx="103">
                  <c:v>-2.2756589978771902</c:v>
                </c:pt>
                <c:pt idx="104">
                  <c:v>0.40725309739017401</c:v>
                </c:pt>
                <c:pt idx="105">
                  <c:v>3.47754695216419</c:v>
                </c:pt>
                <c:pt idx="106">
                  <c:v>11.749560326132601</c:v>
                </c:pt>
                <c:pt idx="107">
                  <c:v>1.6710591406584101</c:v>
                </c:pt>
                <c:pt idx="108">
                  <c:v>37.488865199220797</c:v>
                </c:pt>
                <c:pt idx="109">
                  <c:v>-0.73604169289034005</c:v>
                </c:pt>
                <c:pt idx="110">
                  <c:v>9.1831140874036592</c:v>
                </c:pt>
                <c:pt idx="111">
                  <c:v>-3.1210639046549198</c:v>
                </c:pt>
                <c:pt idx="112">
                  <c:v>9.9832965535170306</c:v>
                </c:pt>
                <c:pt idx="113">
                  <c:v>53.669725806421198</c:v>
                </c:pt>
                <c:pt idx="114">
                  <c:v>0.67859981419982096</c:v>
                </c:pt>
                <c:pt idx="115">
                  <c:v>53.343029235157601</c:v>
                </c:pt>
                <c:pt idx="116">
                  <c:v>0.47706914074897999</c:v>
                </c:pt>
                <c:pt idx="117">
                  <c:v>-3.3027980653421301</c:v>
                </c:pt>
                <c:pt idx="118">
                  <c:v>0.41015375605378701</c:v>
                </c:pt>
                <c:pt idx="119">
                  <c:v>1.0407955140699101</c:v>
                </c:pt>
                <c:pt idx="120">
                  <c:v>2.4156374822648501</c:v>
                </c:pt>
                <c:pt idx="121">
                  <c:v>-4.1982586769170398</c:v>
                </c:pt>
                <c:pt idx="122">
                  <c:v>0.37643757445263298</c:v>
                </c:pt>
                <c:pt idx="123">
                  <c:v>1.43597035986884</c:v>
                </c:pt>
                <c:pt idx="124">
                  <c:v>7.6155142453956604</c:v>
                </c:pt>
                <c:pt idx="125">
                  <c:v>31.3389066371582</c:v>
                </c:pt>
                <c:pt idx="126">
                  <c:v>0.39948377152561598</c:v>
                </c:pt>
                <c:pt idx="127">
                  <c:v>0.78853936157901405</c:v>
                </c:pt>
                <c:pt idx="128">
                  <c:v>3.1742409444951001</c:v>
                </c:pt>
                <c:pt idx="129">
                  <c:v>53.028742143873799</c:v>
                </c:pt>
                <c:pt idx="130">
                  <c:v>-3.2686529384303702</c:v>
                </c:pt>
                <c:pt idx="131">
                  <c:v>3.4622826896266199</c:v>
                </c:pt>
                <c:pt idx="132">
                  <c:v>-0.59572235916163496</c:v>
                </c:pt>
                <c:pt idx="133">
                  <c:v>-0.19558781342315601</c:v>
                </c:pt>
                <c:pt idx="134">
                  <c:v>38.895369609039903</c:v>
                </c:pt>
                <c:pt idx="135">
                  <c:v>-1.54854163182313</c:v>
                </c:pt>
                <c:pt idx="136">
                  <c:v>11.722682659529401</c:v>
                </c:pt>
                <c:pt idx="137">
                  <c:v>-2.2277340965436698</c:v>
                </c:pt>
                <c:pt idx="138">
                  <c:v>-0.96032639980824996</c:v>
                </c:pt>
                <c:pt idx="139">
                  <c:v>3.3931921985410498</c:v>
                </c:pt>
                <c:pt idx="140">
                  <c:v>3.9341111103980002</c:v>
                </c:pt>
                <c:pt idx="141">
                  <c:v>2.0612071560888698</c:v>
                </c:pt>
                <c:pt idx="142">
                  <c:v>7.4320805233683604E-2</c:v>
                </c:pt>
                <c:pt idx="143">
                  <c:v>1.36662195593853</c:v>
                </c:pt>
                <c:pt idx="144">
                  <c:v>8.9370714102183406</c:v>
                </c:pt>
                <c:pt idx="145">
                  <c:v>-0.129253158579368</c:v>
                </c:pt>
                <c:pt idx="146">
                  <c:v>-2.7490842503835302</c:v>
                </c:pt>
                <c:pt idx="147">
                  <c:v>-1.3008419846582999</c:v>
                </c:pt>
                <c:pt idx="148">
                  <c:v>-0.35284225691621202</c:v>
                </c:pt>
                <c:pt idx="149">
                  <c:v>1.0931361559382999</c:v>
                </c:pt>
                <c:pt idx="150">
                  <c:v>18.036585333902501</c:v>
                </c:pt>
                <c:pt idx="151">
                  <c:v>2.20887580757263</c:v>
                </c:pt>
                <c:pt idx="152">
                  <c:v>2.38507300570704</c:v>
                </c:pt>
                <c:pt idx="153">
                  <c:v>0.59518607615087704</c:v>
                </c:pt>
                <c:pt idx="154">
                  <c:v>-2.77551762963517</c:v>
                </c:pt>
                <c:pt idx="155">
                  <c:v>3.35814300123686</c:v>
                </c:pt>
                <c:pt idx="156">
                  <c:v>-2.6553814376492002</c:v>
                </c:pt>
                <c:pt idx="157">
                  <c:v>0.64792588240277504</c:v>
                </c:pt>
                <c:pt idx="158">
                  <c:v>1.2203089903981099</c:v>
                </c:pt>
                <c:pt idx="159">
                  <c:v>86.629896262253297</c:v>
                </c:pt>
                <c:pt idx="160">
                  <c:v>0.152296933022631</c:v>
                </c:pt>
                <c:pt idx="161">
                  <c:v>4.51908636920815</c:v>
                </c:pt>
                <c:pt idx="162">
                  <c:v>0.50941136439624202</c:v>
                </c:pt>
                <c:pt idx="163">
                  <c:v>20.6372214614738</c:v>
                </c:pt>
                <c:pt idx="164">
                  <c:v>-3.0713151882555101</c:v>
                </c:pt>
                <c:pt idx="165">
                  <c:v>4.1890469052105104</c:v>
                </c:pt>
                <c:pt idx="166">
                  <c:v>8.51318313945686</c:v>
                </c:pt>
                <c:pt idx="167">
                  <c:v>3.6809824264248898</c:v>
                </c:pt>
                <c:pt idx="168">
                  <c:v>-3.2160861536152199</c:v>
                </c:pt>
                <c:pt idx="169">
                  <c:v>0.85208036273946597</c:v>
                </c:pt>
                <c:pt idx="170">
                  <c:v>2.2245610536410401</c:v>
                </c:pt>
                <c:pt idx="171">
                  <c:v>4.29428311916526</c:v>
                </c:pt>
                <c:pt idx="172">
                  <c:v>-0.486906259891914</c:v>
                </c:pt>
                <c:pt idx="173">
                  <c:v>8.8607807343253508</c:v>
                </c:pt>
                <c:pt idx="174">
                  <c:v>4.7682333469473703E-2</c:v>
                </c:pt>
                <c:pt idx="175">
                  <c:v>3.7089114042721798</c:v>
                </c:pt>
                <c:pt idx="176">
                  <c:v>-1.1031400256305099</c:v>
                </c:pt>
                <c:pt idx="177">
                  <c:v>12.439992775217201</c:v>
                </c:pt>
                <c:pt idx="178">
                  <c:v>-1.62571336861252</c:v>
                </c:pt>
                <c:pt idx="179">
                  <c:v>-0.94650828636246098</c:v>
                </c:pt>
                <c:pt idx="180">
                  <c:v>-1.2937413137343701</c:v>
                </c:pt>
                <c:pt idx="181">
                  <c:v>2.5386439457071299</c:v>
                </c:pt>
                <c:pt idx="182">
                  <c:v>-3.0510669266199799</c:v>
                </c:pt>
                <c:pt idx="183">
                  <c:v>9.4743257026551007</c:v>
                </c:pt>
                <c:pt idx="184">
                  <c:v>2.50425746102795</c:v>
                </c:pt>
                <c:pt idx="185">
                  <c:v>2.41534341814272</c:v>
                </c:pt>
                <c:pt idx="186">
                  <c:v>1.53943972505535</c:v>
                </c:pt>
                <c:pt idx="187">
                  <c:v>-0.73435040499847803</c:v>
                </c:pt>
                <c:pt idx="188">
                  <c:v>21.364551292661201</c:v>
                </c:pt>
                <c:pt idx="189">
                  <c:v>7.4928114107494999</c:v>
                </c:pt>
                <c:pt idx="190">
                  <c:v>8.6767289585548397</c:v>
                </c:pt>
                <c:pt idx="191">
                  <c:v>16.685793721084099</c:v>
                </c:pt>
                <c:pt idx="192">
                  <c:v>4.19255676500386</c:v>
                </c:pt>
                <c:pt idx="193">
                  <c:v>-0.62739316617155905</c:v>
                </c:pt>
                <c:pt idx="194">
                  <c:v>-1.7379721239127199</c:v>
                </c:pt>
                <c:pt idx="195">
                  <c:v>53.720700815537</c:v>
                </c:pt>
                <c:pt idx="196">
                  <c:v>-0.60123679823613996</c:v>
                </c:pt>
                <c:pt idx="197">
                  <c:v>-1.17281207478495</c:v>
                </c:pt>
                <c:pt idx="198">
                  <c:v>-1.35597977290115</c:v>
                </c:pt>
                <c:pt idx="199">
                  <c:v>6.0459067559157997</c:v>
                </c:pt>
                <c:pt idx="200">
                  <c:v>8.1220136914453303</c:v>
                </c:pt>
                <c:pt idx="201">
                  <c:v>-3.0848553542962902</c:v>
                </c:pt>
                <c:pt idx="202">
                  <c:v>3.1686942066073498</c:v>
                </c:pt>
                <c:pt idx="203">
                  <c:v>6.8364522967175096</c:v>
                </c:pt>
                <c:pt idx="204">
                  <c:v>6.59780977090315</c:v>
                </c:pt>
                <c:pt idx="205">
                  <c:v>2.7632189954573398</c:v>
                </c:pt>
                <c:pt idx="206">
                  <c:v>7.36590371484467</c:v>
                </c:pt>
                <c:pt idx="207">
                  <c:v>-2.3195740366814599</c:v>
                </c:pt>
                <c:pt idx="208">
                  <c:v>9.0058248457722705</c:v>
                </c:pt>
                <c:pt idx="209">
                  <c:v>3.25454747201896</c:v>
                </c:pt>
                <c:pt idx="210">
                  <c:v>12.915642471755</c:v>
                </c:pt>
                <c:pt idx="211">
                  <c:v>4.1796228333304697</c:v>
                </c:pt>
                <c:pt idx="212">
                  <c:v>37.9119374827577</c:v>
                </c:pt>
                <c:pt idx="213">
                  <c:v>-3.6558581823589602</c:v>
                </c:pt>
                <c:pt idx="214">
                  <c:v>2.5726923604125802</c:v>
                </c:pt>
                <c:pt idx="215">
                  <c:v>12.8672087739792</c:v>
                </c:pt>
                <c:pt idx="216">
                  <c:v>-0.51020382073155002</c:v>
                </c:pt>
                <c:pt idx="217">
                  <c:v>6.5978119162273403</c:v>
                </c:pt>
                <c:pt idx="218">
                  <c:v>3.9032002655163902</c:v>
                </c:pt>
                <c:pt idx="219">
                  <c:v>-0.15681006204799999</c:v>
                </c:pt>
                <c:pt idx="220">
                  <c:v>-1.3141037113979801</c:v>
                </c:pt>
                <c:pt idx="221">
                  <c:v>53.617086706315902</c:v>
                </c:pt>
                <c:pt idx="222">
                  <c:v>27.0163304394104</c:v>
                </c:pt>
                <c:pt idx="223">
                  <c:v>3.0786941367793399</c:v>
                </c:pt>
                <c:pt idx="224">
                  <c:v>4.76374010964145</c:v>
                </c:pt>
                <c:pt idx="225">
                  <c:v>3.4287575978696299</c:v>
                </c:pt>
                <c:pt idx="226">
                  <c:v>2.6830221079866798</c:v>
                </c:pt>
                <c:pt idx="227">
                  <c:v>12.312365672259499</c:v>
                </c:pt>
                <c:pt idx="228">
                  <c:v>-2.3393735399832698</c:v>
                </c:pt>
                <c:pt idx="229">
                  <c:v>-1.21686653453917</c:v>
                </c:pt>
                <c:pt idx="230">
                  <c:v>4.0341220806172897</c:v>
                </c:pt>
                <c:pt idx="231">
                  <c:v>2.2733435949599801</c:v>
                </c:pt>
                <c:pt idx="232">
                  <c:v>-1.80095008906982</c:v>
                </c:pt>
                <c:pt idx="233">
                  <c:v>31.3541977386319</c:v>
                </c:pt>
                <c:pt idx="234">
                  <c:v>31.631473365684499</c:v>
                </c:pt>
                <c:pt idx="235">
                  <c:v>2.2111360277347298</c:v>
                </c:pt>
                <c:pt idx="236">
                  <c:v>9.1963077835207496</c:v>
                </c:pt>
                <c:pt idx="237">
                  <c:v>0.20522631466736899</c:v>
                </c:pt>
                <c:pt idx="238">
                  <c:v>0.191458222873683</c:v>
                </c:pt>
                <c:pt idx="239">
                  <c:v>-1.62084839405982</c:v>
                </c:pt>
                <c:pt idx="240">
                  <c:v>-1.9318852170641601</c:v>
                </c:pt>
                <c:pt idx="241">
                  <c:v>3.0811300581649799</c:v>
                </c:pt>
                <c:pt idx="242">
                  <c:v>2.8881827000088598</c:v>
                </c:pt>
                <c:pt idx="243">
                  <c:v>-2.3141659157363099</c:v>
                </c:pt>
                <c:pt idx="244">
                  <c:v>-1.3996600187585</c:v>
                </c:pt>
                <c:pt idx="245">
                  <c:v>-3.5762903532631701E-2</c:v>
                </c:pt>
                <c:pt idx="246">
                  <c:v>-2.27453685719499</c:v>
                </c:pt>
                <c:pt idx="247">
                  <c:v>-0.93503473957771299</c:v>
                </c:pt>
                <c:pt idx="248">
                  <c:v>-2.2433068925103901</c:v>
                </c:pt>
                <c:pt idx="249">
                  <c:v>-3.5329749155789299E-2</c:v>
                </c:pt>
                <c:pt idx="250">
                  <c:v>6.1661645480667699</c:v>
                </c:pt>
                <c:pt idx="251">
                  <c:v>3.5041837581514002</c:v>
                </c:pt>
                <c:pt idx="252">
                  <c:v>2.1975974837291301</c:v>
                </c:pt>
                <c:pt idx="253">
                  <c:v>-0.73521268130273598</c:v>
                </c:pt>
                <c:pt idx="254">
                  <c:v>-0.46378356991472403</c:v>
                </c:pt>
                <c:pt idx="255">
                  <c:v>-0.46053306530119997</c:v>
                </c:pt>
                <c:pt idx="256">
                  <c:v>2.6808241506538399</c:v>
                </c:pt>
                <c:pt idx="257">
                  <c:v>4.93497976217171</c:v>
                </c:pt>
                <c:pt idx="258">
                  <c:v>-0.46617596492751401</c:v>
                </c:pt>
                <c:pt idx="259">
                  <c:v>-0.79806944530824497</c:v>
                </c:pt>
                <c:pt idx="260">
                  <c:v>-0.81951910218815005</c:v>
                </c:pt>
                <c:pt idx="261">
                  <c:v>1.0139263919172099</c:v>
                </c:pt>
                <c:pt idx="262">
                  <c:v>42.034785454989397</c:v>
                </c:pt>
                <c:pt idx="263">
                  <c:v>-1.5633872662738699</c:v>
                </c:pt>
                <c:pt idx="264">
                  <c:v>-2.7234020052449099</c:v>
                </c:pt>
                <c:pt idx="265">
                  <c:v>1.1644650680856701</c:v>
                </c:pt>
                <c:pt idx="266">
                  <c:v>-2.0872907174955202</c:v>
                </c:pt>
                <c:pt idx="267">
                  <c:v>1.3608758696063401</c:v>
                </c:pt>
                <c:pt idx="268">
                  <c:v>9.7725144272952402</c:v>
                </c:pt>
                <c:pt idx="269">
                  <c:v>2.3519449040063098</c:v>
                </c:pt>
                <c:pt idx="270">
                  <c:v>0.63015140463284003</c:v>
                </c:pt>
                <c:pt idx="271">
                  <c:v>4.70846860334452</c:v>
                </c:pt>
                <c:pt idx="272">
                  <c:v>-1.9478718113619</c:v>
                </c:pt>
                <c:pt idx="273">
                  <c:v>27.534879812379</c:v>
                </c:pt>
                <c:pt idx="274">
                  <c:v>-1.00192756960123</c:v>
                </c:pt>
                <c:pt idx="275">
                  <c:v>9.58455168844581</c:v>
                </c:pt>
                <c:pt idx="276">
                  <c:v>12.5608526677408</c:v>
                </c:pt>
                <c:pt idx="277">
                  <c:v>22.256923061233799</c:v>
                </c:pt>
                <c:pt idx="278">
                  <c:v>8.8917970118104694</c:v>
                </c:pt>
                <c:pt idx="279">
                  <c:v>1.0587398856697501</c:v>
                </c:pt>
                <c:pt idx="280">
                  <c:v>0.238738096266947</c:v>
                </c:pt>
                <c:pt idx="281">
                  <c:v>5.7370130991017296</c:v>
                </c:pt>
                <c:pt idx="282">
                  <c:v>5.0386914891791701</c:v>
                </c:pt>
                <c:pt idx="283">
                  <c:v>1.7433345234477</c:v>
                </c:pt>
                <c:pt idx="284">
                  <c:v>4.7497559028989498</c:v>
                </c:pt>
                <c:pt idx="285">
                  <c:v>3.4467937219284299</c:v>
                </c:pt>
                <c:pt idx="286">
                  <c:v>0.58429753227125902</c:v>
                </c:pt>
                <c:pt idx="287">
                  <c:v>8.9196399114388498</c:v>
                </c:pt>
                <c:pt idx="288">
                  <c:v>-0.91413324958486497</c:v>
                </c:pt>
                <c:pt idx="289">
                  <c:v>20.235698282273798</c:v>
                </c:pt>
                <c:pt idx="290">
                  <c:v>10.0784597337731</c:v>
                </c:pt>
                <c:pt idx="291">
                  <c:v>-1.5250226679569101</c:v>
                </c:pt>
                <c:pt idx="292">
                  <c:v>3.81619503168743</c:v>
                </c:pt>
                <c:pt idx="293">
                  <c:v>11.8053236984217</c:v>
                </c:pt>
                <c:pt idx="294">
                  <c:v>26.818195779136701</c:v>
                </c:pt>
                <c:pt idx="295">
                  <c:v>-3.54722860208568</c:v>
                </c:pt>
                <c:pt idx="296">
                  <c:v>-0.98756577766474996</c:v>
                </c:pt>
                <c:pt idx="297">
                  <c:v>-0.62039626626142796</c:v>
                </c:pt>
                <c:pt idx="298">
                  <c:v>36.4379281211787</c:v>
                </c:pt>
                <c:pt idx="299">
                  <c:v>4.58792454223682</c:v>
                </c:pt>
                <c:pt idx="300">
                  <c:v>-3.0147611915769099</c:v>
                </c:pt>
                <c:pt idx="301">
                  <c:v>-0.95072386971666301</c:v>
                </c:pt>
                <c:pt idx="302">
                  <c:v>1.64946982221876</c:v>
                </c:pt>
                <c:pt idx="303">
                  <c:v>12.4114312906986</c:v>
                </c:pt>
                <c:pt idx="304">
                  <c:v>-1.96603893972272</c:v>
                </c:pt>
                <c:pt idx="305">
                  <c:v>-2.4425365233564098</c:v>
                </c:pt>
                <c:pt idx="306">
                  <c:v>9.8837636357347005</c:v>
                </c:pt>
                <c:pt idx="307">
                  <c:v>50.093442021865201</c:v>
                </c:pt>
                <c:pt idx="308">
                  <c:v>4.8391529398824797</c:v>
                </c:pt>
                <c:pt idx="309">
                  <c:v>16.628268580294701</c:v>
                </c:pt>
                <c:pt idx="310">
                  <c:v>0.484571865790066</c:v>
                </c:pt>
                <c:pt idx="311">
                  <c:v>1.7667597768421001E-2</c:v>
                </c:pt>
                <c:pt idx="312">
                  <c:v>86.620260114969099</c:v>
                </c:pt>
                <c:pt idx="313">
                  <c:v>7.6092468958107498</c:v>
                </c:pt>
                <c:pt idx="314">
                  <c:v>31.065801043579199</c:v>
                </c:pt>
                <c:pt idx="315">
                  <c:v>2.2250254980436299</c:v>
                </c:pt>
                <c:pt idx="316">
                  <c:v>4.7636461766337002</c:v>
                </c:pt>
                <c:pt idx="317">
                  <c:v>21.615184804644102</c:v>
                </c:pt>
                <c:pt idx="318">
                  <c:v>41.546774769659102</c:v>
                </c:pt>
                <c:pt idx="319">
                  <c:v>41.999681263115697</c:v>
                </c:pt>
                <c:pt idx="320">
                  <c:v>-0.932230288663776</c:v>
                </c:pt>
                <c:pt idx="321">
                  <c:v>-1.9799171698842</c:v>
                </c:pt>
                <c:pt idx="322">
                  <c:v>4.9269586430105097</c:v>
                </c:pt>
                <c:pt idx="323">
                  <c:v>85.055323064526206</c:v>
                </c:pt>
                <c:pt idx="324">
                  <c:v>4.3166447402213501</c:v>
                </c:pt>
                <c:pt idx="325">
                  <c:v>31.487495418863499</c:v>
                </c:pt>
                <c:pt idx="326">
                  <c:v>-2.10870496172672</c:v>
                </c:pt>
                <c:pt idx="327">
                  <c:v>1.2603600078346799</c:v>
                </c:pt>
                <c:pt idx="328">
                  <c:v>1.6607062711509699</c:v>
                </c:pt>
                <c:pt idx="329">
                  <c:v>0.33538538511017402</c:v>
                </c:pt>
                <c:pt idx="330">
                  <c:v>1.1530621049413601</c:v>
                </c:pt>
                <c:pt idx="331">
                  <c:v>-2.31733882250506</c:v>
                </c:pt>
                <c:pt idx="332">
                  <c:v>36.5398355746105</c:v>
                </c:pt>
                <c:pt idx="333">
                  <c:v>2.2569486592893999</c:v>
                </c:pt>
                <c:pt idx="334">
                  <c:v>42.033311751684103</c:v>
                </c:pt>
                <c:pt idx="335">
                  <c:v>0.76008955672484202</c:v>
                </c:pt>
                <c:pt idx="336">
                  <c:v>20.253245530301001</c:v>
                </c:pt>
                <c:pt idx="337">
                  <c:v>0.92105288222786497</c:v>
                </c:pt>
                <c:pt idx="338">
                  <c:v>1.46562537432226</c:v>
                </c:pt>
                <c:pt idx="339">
                  <c:v>-3.6171699233562999</c:v>
                </c:pt>
                <c:pt idx="340">
                  <c:v>3.6694282953684203E-2</c:v>
                </c:pt>
                <c:pt idx="341">
                  <c:v>-2.3400109666824398</c:v>
                </c:pt>
                <c:pt idx="342">
                  <c:v>86.524142175895406</c:v>
                </c:pt>
                <c:pt idx="343">
                  <c:v>0.75670266166420397</c:v>
                </c:pt>
                <c:pt idx="344">
                  <c:v>5.0008360347368497E-2</c:v>
                </c:pt>
                <c:pt idx="345">
                  <c:v>41.9807309610526</c:v>
                </c:pt>
                <c:pt idx="346">
                  <c:v>3.31855245958526</c:v>
                </c:pt>
                <c:pt idx="347">
                  <c:v>1.8687265092505101</c:v>
                </c:pt>
                <c:pt idx="348">
                  <c:v>2.1781445921789402</c:v>
                </c:pt>
                <c:pt idx="349">
                  <c:v>13.3882136048574</c:v>
                </c:pt>
                <c:pt idx="350">
                  <c:v>0.50203779248912295</c:v>
                </c:pt>
                <c:pt idx="351">
                  <c:v>20.591052494292601</c:v>
                </c:pt>
                <c:pt idx="352">
                  <c:v>2.4192372993148501</c:v>
                </c:pt>
                <c:pt idx="353">
                  <c:v>-3.4124008613485901</c:v>
                </c:pt>
                <c:pt idx="354">
                  <c:v>-2.10543044072696</c:v>
                </c:pt>
                <c:pt idx="355">
                  <c:v>-2.9328237397674299</c:v>
                </c:pt>
                <c:pt idx="356">
                  <c:v>7.6307837511135999</c:v>
                </c:pt>
                <c:pt idx="357">
                  <c:v>-1.3354890847321499</c:v>
                </c:pt>
                <c:pt idx="358">
                  <c:v>-0.155837080894736</c:v>
                </c:pt>
                <c:pt idx="359">
                  <c:v>0.94471934340527397</c:v>
                </c:pt>
                <c:pt idx="360">
                  <c:v>20.117456105073799</c:v>
                </c:pt>
                <c:pt idx="361">
                  <c:v>6.0285625316526197</c:v>
                </c:pt>
                <c:pt idx="362">
                  <c:v>-2.4033110468649701</c:v>
                </c:pt>
                <c:pt idx="363">
                  <c:v>5.1124930633663199</c:v>
                </c:pt>
                <c:pt idx="364">
                  <c:v>5.29458789116189</c:v>
                </c:pt>
                <c:pt idx="365">
                  <c:v>-2.8102814671687302</c:v>
                </c:pt>
                <c:pt idx="366">
                  <c:v>4.1031554692909902</c:v>
                </c:pt>
                <c:pt idx="367">
                  <c:v>-1.5475582879733301</c:v>
                </c:pt>
                <c:pt idx="368">
                  <c:v>41.765241565431801</c:v>
                </c:pt>
                <c:pt idx="369">
                  <c:v>20.2973522757685</c:v>
                </c:pt>
                <c:pt idx="370">
                  <c:v>0.57536930309883005</c:v>
                </c:pt>
                <c:pt idx="371">
                  <c:v>-0.61448479735571004</c:v>
                </c:pt>
                <c:pt idx="372">
                  <c:v>1.7789105716315801</c:v>
                </c:pt>
                <c:pt idx="373">
                  <c:v>1.0042260536891801</c:v>
                </c:pt>
                <c:pt idx="374">
                  <c:v>3.2329175805926198</c:v>
                </c:pt>
                <c:pt idx="375">
                  <c:v>1.58337017792972</c:v>
                </c:pt>
                <c:pt idx="376">
                  <c:v>16.9041564245967</c:v>
                </c:pt>
                <c:pt idx="377">
                  <c:v>-2.3793652806270198</c:v>
                </c:pt>
                <c:pt idx="378">
                  <c:v>26.262249190841999</c:v>
                </c:pt>
                <c:pt idx="379">
                  <c:v>16.941609417578899</c:v>
                </c:pt>
                <c:pt idx="380">
                  <c:v>-1.2918261655965599</c:v>
                </c:pt>
                <c:pt idx="381">
                  <c:v>86.507977339474394</c:v>
                </c:pt>
                <c:pt idx="382">
                  <c:v>8.9449044438521597</c:v>
                </c:pt>
                <c:pt idx="383">
                  <c:v>0.53075723607125402</c:v>
                </c:pt>
                <c:pt idx="384">
                  <c:v>2.01514651478757</c:v>
                </c:pt>
                <c:pt idx="385">
                  <c:v>0.85026202315104404</c:v>
                </c:pt>
                <c:pt idx="386">
                  <c:v>9.5650168012686603</c:v>
                </c:pt>
                <c:pt idx="387">
                  <c:v>3.8606216218293099</c:v>
                </c:pt>
                <c:pt idx="388">
                  <c:v>2.17299156033449</c:v>
                </c:pt>
                <c:pt idx="389">
                  <c:v>1.36885839110622</c:v>
                </c:pt>
                <c:pt idx="390">
                  <c:v>21.6213525448001</c:v>
                </c:pt>
                <c:pt idx="391">
                  <c:v>-2.3147693812024799</c:v>
                </c:pt>
                <c:pt idx="392">
                  <c:v>1.1747200500974699</c:v>
                </c:pt>
                <c:pt idx="393">
                  <c:v>5.2416590178776099</c:v>
                </c:pt>
                <c:pt idx="394">
                  <c:v>4.2436931063642298</c:v>
                </c:pt>
                <c:pt idx="395">
                  <c:v>-2.7418297229583701</c:v>
                </c:pt>
                <c:pt idx="396">
                  <c:v>-2.52860598971664</c:v>
                </c:pt>
                <c:pt idx="397">
                  <c:v>9.01410294838632</c:v>
                </c:pt>
                <c:pt idx="398">
                  <c:v>10.3078334030828</c:v>
                </c:pt>
                <c:pt idx="399">
                  <c:v>-0.80907445340526596</c:v>
                </c:pt>
                <c:pt idx="400">
                  <c:v>-3.2438045761939298</c:v>
                </c:pt>
                <c:pt idx="401">
                  <c:v>8.6208546716888801</c:v>
                </c:pt>
                <c:pt idx="402">
                  <c:v>-0.323496083531228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B3-4846-91FD-647F4EEA7833}"/>
            </c:ext>
          </c:extLst>
        </c:ser>
        <c:ser>
          <c:idx val="4"/>
          <c:order val="3"/>
          <c:tx>
            <c:v>CATB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dim_training!$M$2:$M$404</c:f>
              <c:numCache>
                <c:formatCode>General</c:formatCode>
                <c:ptCount val="403"/>
                <c:pt idx="0">
                  <c:v>-2.65848350167551</c:v>
                </c:pt>
                <c:pt idx="1">
                  <c:v>8.55666791605268</c:v>
                </c:pt>
                <c:pt idx="2">
                  <c:v>4.7347659269427904</c:v>
                </c:pt>
                <c:pt idx="3">
                  <c:v>5.1934452505129496</c:v>
                </c:pt>
                <c:pt idx="4">
                  <c:v>-1.11854960697283</c:v>
                </c:pt>
                <c:pt idx="5">
                  <c:v>-1.84548596949729</c:v>
                </c:pt>
                <c:pt idx="6">
                  <c:v>9.3798398238393901</c:v>
                </c:pt>
                <c:pt idx="7">
                  <c:v>2.39408810894483</c:v>
                </c:pt>
                <c:pt idx="8">
                  <c:v>38.503492132172099</c:v>
                </c:pt>
                <c:pt idx="9">
                  <c:v>1.68114120742058</c:v>
                </c:pt>
                <c:pt idx="10">
                  <c:v>2.1867504914253399</c:v>
                </c:pt>
                <c:pt idx="11">
                  <c:v>3.4685016250047398</c:v>
                </c:pt>
                <c:pt idx="12">
                  <c:v>-0.98212331931848196</c:v>
                </c:pt>
                <c:pt idx="13">
                  <c:v>1.9694952442403799</c:v>
                </c:pt>
                <c:pt idx="14">
                  <c:v>-1.82430091473502</c:v>
                </c:pt>
                <c:pt idx="15">
                  <c:v>-1.0540586204286699</c:v>
                </c:pt>
                <c:pt idx="16">
                  <c:v>-1.10005342853266</c:v>
                </c:pt>
                <c:pt idx="17">
                  <c:v>86.738960868328405</c:v>
                </c:pt>
                <c:pt idx="18">
                  <c:v>38.420250961732897</c:v>
                </c:pt>
                <c:pt idx="19">
                  <c:v>-4.0169281339354797</c:v>
                </c:pt>
                <c:pt idx="20">
                  <c:v>-1.2410544888302499</c:v>
                </c:pt>
                <c:pt idx="21">
                  <c:v>-0.29204413803875701</c:v>
                </c:pt>
                <c:pt idx="22">
                  <c:v>0.30812679709376301</c:v>
                </c:pt>
                <c:pt idx="23">
                  <c:v>31.760975323165798</c:v>
                </c:pt>
                <c:pt idx="24">
                  <c:v>0.62464208440256697</c:v>
                </c:pt>
                <c:pt idx="25">
                  <c:v>-0.316755897880383</c:v>
                </c:pt>
                <c:pt idx="26">
                  <c:v>20.037893873425102</c:v>
                </c:pt>
                <c:pt idx="27">
                  <c:v>21.703120346314801</c:v>
                </c:pt>
                <c:pt idx="28">
                  <c:v>53.755695801654298</c:v>
                </c:pt>
                <c:pt idx="29">
                  <c:v>53.725164972137399</c:v>
                </c:pt>
                <c:pt idx="30">
                  <c:v>49.957265293548602</c:v>
                </c:pt>
                <c:pt idx="31">
                  <c:v>1.7599934428339501</c:v>
                </c:pt>
                <c:pt idx="32">
                  <c:v>13.2068872345925</c:v>
                </c:pt>
                <c:pt idx="33">
                  <c:v>21.498398554230601</c:v>
                </c:pt>
                <c:pt idx="34">
                  <c:v>3.2743251409319201</c:v>
                </c:pt>
                <c:pt idx="35">
                  <c:v>6.3235779656743398</c:v>
                </c:pt>
                <c:pt idx="36">
                  <c:v>9.6153811699902807</c:v>
                </c:pt>
                <c:pt idx="37">
                  <c:v>-2.2075282496763</c:v>
                </c:pt>
                <c:pt idx="38">
                  <c:v>-0.11037816205286401</c:v>
                </c:pt>
                <c:pt idx="39">
                  <c:v>-0.16246601969975299</c:v>
                </c:pt>
                <c:pt idx="40">
                  <c:v>1.83899685564171</c:v>
                </c:pt>
                <c:pt idx="41">
                  <c:v>1.07772937898331</c:v>
                </c:pt>
                <c:pt idx="42">
                  <c:v>7.2028969049248497</c:v>
                </c:pt>
                <c:pt idx="43">
                  <c:v>-1.25241282500326</c:v>
                </c:pt>
                <c:pt idx="44">
                  <c:v>-0.445768883159189</c:v>
                </c:pt>
                <c:pt idx="45">
                  <c:v>86.848841916295001</c:v>
                </c:pt>
                <c:pt idx="46">
                  <c:v>-1.62497893772216</c:v>
                </c:pt>
                <c:pt idx="47">
                  <c:v>1.35774588338673</c:v>
                </c:pt>
                <c:pt idx="48">
                  <c:v>9.4671205552053497</c:v>
                </c:pt>
                <c:pt idx="49">
                  <c:v>-1.3886366243849599</c:v>
                </c:pt>
                <c:pt idx="50">
                  <c:v>-5.8001453713449804E-3</c:v>
                </c:pt>
                <c:pt idx="51">
                  <c:v>-1.1172876523917801</c:v>
                </c:pt>
                <c:pt idx="52">
                  <c:v>1.53309568148599</c:v>
                </c:pt>
                <c:pt idx="53">
                  <c:v>1.0114056298176699</c:v>
                </c:pt>
                <c:pt idx="54">
                  <c:v>1.36956568995104</c:v>
                </c:pt>
                <c:pt idx="55">
                  <c:v>5.3444867842709298</c:v>
                </c:pt>
                <c:pt idx="56">
                  <c:v>-2.3482064213060898</c:v>
                </c:pt>
                <c:pt idx="57">
                  <c:v>5.7525198700884198E-2</c:v>
                </c:pt>
                <c:pt idx="58">
                  <c:v>53.515839937807598</c:v>
                </c:pt>
                <c:pt idx="59">
                  <c:v>-0.369088221495527</c:v>
                </c:pt>
                <c:pt idx="60">
                  <c:v>1.3690523392766401</c:v>
                </c:pt>
                <c:pt idx="61">
                  <c:v>-7.8980133532946001E-2</c:v>
                </c:pt>
                <c:pt idx="62">
                  <c:v>1.1665103745173799</c:v>
                </c:pt>
                <c:pt idx="63">
                  <c:v>-4.6908205984093003</c:v>
                </c:pt>
                <c:pt idx="64">
                  <c:v>7.8675546534884599</c:v>
                </c:pt>
                <c:pt idx="65">
                  <c:v>-0.70827369747381896</c:v>
                </c:pt>
                <c:pt idx="66">
                  <c:v>85.1643837968859</c:v>
                </c:pt>
                <c:pt idx="67">
                  <c:v>-1.5933070575063899</c:v>
                </c:pt>
                <c:pt idx="68">
                  <c:v>19.992152021299798</c:v>
                </c:pt>
                <c:pt idx="69">
                  <c:v>4.7496311699892901</c:v>
                </c:pt>
                <c:pt idx="70">
                  <c:v>1.3088307884256101</c:v>
                </c:pt>
                <c:pt idx="71">
                  <c:v>3.0835564161736899</c:v>
                </c:pt>
                <c:pt idx="72">
                  <c:v>5.1793250466682599</c:v>
                </c:pt>
                <c:pt idx="73">
                  <c:v>12.2849060637242</c:v>
                </c:pt>
                <c:pt idx="74">
                  <c:v>-0.357106090253271</c:v>
                </c:pt>
                <c:pt idx="75">
                  <c:v>5.6427126943909798</c:v>
                </c:pt>
                <c:pt idx="76">
                  <c:v>19.669251225981501</c:v>
                </c:pt>
                <c:pt idx="77">
                  <c:v>-0.154847044159028</c:v>
                </c:pt>
                <c:pt idx="78">
                  <c:v>-2.5744348030583399</c:v>
                </c:pt>
                <c:pt idx="79">
                  <c:v>2.39576700095484</c:v>
                </c:pt>
                <c:pt idx="80">
                  <c:v>1.4136027352035201</c:v>
                </c:pt>
                <c:pt idx="81">
                  <c:v>-2.4176939894714899</c:v>
                </c:pt>
                <c:pt idx="82">
                  <c:v>-3.2011882251391599</c:v>
                </c:pt>
                <c:pt idx="83">
                  <c:v>0.73725626651515697</c:v>
                </c:pt>
                <c:pt idx="84">
                  <c:v>-0.324691567884826</c:v>
                </c:pt>
                <c:pt idx="85">
                  <c:v>12.288689942606799</c:v>
                </c:pt>
                <c:pt idx="86">
                  <c:v>21.620294916622001</c:v>
                </c:pt>
                <c:pt idx="87">
                  <c:v>9.14518741970793E-2</c:v>
                </c:pt>
                <c:pt idx="88">
                  <c:v>-0.211651356246639</c:v>
                </c:pt>
                <c:pt idx="89">
                  <c:v>-1.08551538750426</c:v>
                </c:pt>
                <c:pt idx="90">
                  <c:v>19.913803108798099</c:v>
                </c:pt>
                <c:pt idx="91">
                  <c:v>85.332167414795407</c:v>
                </c:pt>
                <c:pt idx="92">
                  <c:v>18.800036014731901</c:v>
                </c:pt>
                <c:pt idx="93">
                  <c:v>4.5828315241149697</c:v>
                </c:pt>
                <c:pt idx="94">
                  <c:v>-1.2455052496144901</c:v>
                </c:pt>
                <c:pt idx="95">
                  <c:v>-1.42709429898322</c:v>
                </c:pt>
                <c:pt idx="96">
                  <c:v>0.21727008251944399</c:v>
                </c:pt>
                <c:pt idx="97">
                  <c:v>-2.5715231557784999</c:v>
                </c:pt>
                <c:pt idx="98">
                  <c:v>1.4668045498711599</c:v>
                </c:pt>
                <c:pt idx="99">
                  <c:v>9.8010871128023194</c:v>
                </c:pt>
                <c:pt idx="100">
                  <c:v>1.23299988464034</c:v>
                </c:pt>
                <c:pt idx="101">
                  <c:v>-2.4711412804158699</c:v>
                </c:pt>
                <c:pt idx="102">
                  <c:v>0.18525898473331001</c:v>
                </c:pt>
                <c:pt idx="103">
                  <c:v>-2.1811206091768698</c:v>
                </c:pt>
                <c:pt idx="104">
                  <c:v>0.40088221547092401</c:v>
                </c:pt>
                <c:pt idx="105">
                  <c:v>3.3520755048274302</c:v>
                </c:pt>
                <c:pt idx="106">
                  <c:v>9.7375948144380295</c:v>
                </c:pt>
                <c:pt idx="107">
                  <c:v>1.4698797314677701</c:v>
                </c:pt>
                <c:pt idx="108">
                  <c:v>38.487137506043602</c:v>
                </c:pt>
                <c:pt idx="109">
                  <c:v>-0.70841753133694796</c:v>
                </c:pt>
                <c:pt idx="110">
                  <c:v>9.2745209061981804</c:v>
                </c:pt>
                <c:pt idx="111">
                  <c:v>-3.4783022159394501</c:v>
                </c:pt>
                <c:pt idx="112">
                  <c:v>10.2306016721998</c:v>
                </c:pt>
                <c:pt idx="113">
                  <c:v>53.696993920459597</c:v>
                </c:pt>
                <c:pt idx="114">
                  <c:v>0.74881507549973103</c:v>
                </c:pt>
                <c:pt idx="115">
                  <c:v>53.481133328745599</c:v>
                </c:pt>
                <c:pt idx="116">
                  <c:v>0.60048339841265697</c:v>
                </c:pt>
                <c:pt idx="117">
                  <c:v>-3.44728830979474</c:v>
                </c:pt>
                <c:pt idx="118">
                  <c:v>0.387174128849398</c:v>
                </c:pt>
                <c:pt idx="119">
                  <c:v>0.914611196213857</c:v>
                </c:pt>
                <c:pt idx="120">
                  <c:v>3.1059534544056402</c:v>
                </c:pt>
                <c:pt idx="121">
                  <c:v>-4.4272644512820696</c:v>
                </c:pt>
                <c:pt idx="122">
                  <c:v>0.41215547060215302</c:v>
                </c:pt>
                <c:pt idx="123">
                  <c:v>0.87845074000896695</c:v>
                </c:pt>
                <c:pt idx="124">
                  <c:v>7.6091241344882103</c:v>
                </c:pt>
                <c:pt idx="125">
                  <c:v>31.837353559514799</c:v>
                </c:pt>
                <c:pt idx="126">
                  <c:v>0.25600963470736499</c:v>
                </c:pt>
                <c:pt idx="127">
                  <c:v>0.65270689287985695</c:v>
                </c:pt>
                <c:pt idx="128">
                  <c:v>3.2387390954339499</c:v>
                </c:pt>
                <c:pt idx="129">
                  <c:v>53.438343658229698</c:v>
                </c:pt>
                <c:pt idx="130">
                  <c:v>-3.16667181214379</c:v>
                </c:pt>
                <c:pt idx="131">
                  <c:v>2.1425776472059699</c:v>
                </c:pt>
                <c:pt idx="132">
                  <c:v>-0.43636624447334899</c:v>
                </c:pt>
                <c:pt idx="133">
                  <c:v>-0.21102703344576301</c:v>
                </c:pt>
                <c:pt idx="134">
                  <c:v>41.925172068400002</c:v>
                </c:pt>
                <c:pt idx="135">
                  <c:v>-1.37771837174536</c:v>
                </c:pt>
                <c:pt idx="136">
                  <c:v>12.040916936306401</c:v>
                </c:pt>
                <c:pt idx="137">
                  <c:v>-2.22610813689945</c:v>
                </c:pt>
                <c:pt idx="138">
                  <c:v>-0.90711170350657899</c:v>
                </c:pt>
                <c:pt idx="139">
                  <c:v>3.2781004494941999</c:v>
                </c:pt>
                <c:pt idx="140">
                  <c:v>4.4661213949550698</c:v>
                </c:pt>
                <c:pt idx="141">
                  <c:v>1.78556705917682</c:v>
                </c:pt>
                <c:pt idx="142">
                  <c:v>9.7141803786589806E-2</c:v>
                </c:pt>
                <c:pt idx="143">
                  <c:v>1.32076673394025</c:v>
                </c:pt>
                <c:pt idx="144">
                  <c:v>9.0574873250568402</c:v>
                </c:pt>
                <c:pt idx="145">
                  <c:v>-5.2495316461417398E-2</c:v>
                </c:pt>
                <c:pt idx="146">
                  <c:v>-2.7351079827280298</c:v>
                </c:pt>
                <c:pt idx="147">
                  <c:v>-1.3063276718340999</c:v>
                </c:pt>
                <c:pt idx="148">
                  <c:v>-0.30935615097123598</c:v>
                </c:pt>
                <c:pt idx="149">
                  <c:v>0.94658599998548199</c:v>
                </c:pt>
                <c:pt idx="150">
                  <c:v>21.116900031125599</c:v>
                </c:pt>
                <c:pt idx="151">
                  <c:v>1.8206649731817099</c:v>
                </c:pt>
                <c:pt idx="152">
                  <c:v>1.7406911677855601</c:v>
                </c:pt>
                <c:pt idx="153">
                  <c:v>0.55331909727008399</c:v>
                </c:pt>
                <c:pt idx="154">
                  <c:v>-2.7796248148362301</c:v>
                </c:pt>
                <c:pt idx="155">
                  <c:v>3.2037137536937301</c:v>
                </c:pt>
                <c:pt idx="156">
                  <c:v>-2.64920472134812</c:v>
                </c:pt>
                <c:pt idx="157">
                  <c:v>0.66294376893667895</c:v>
                </c:pt>
                <c:pt idx="158">
                  <c:v>1.1879768187211599</c:v>
                </c:pt>
                <c:pt idx="159">
                  <c:v>86.858745348527293</c:v>
                </c:pt>
                <c:pt idx="160">
                  <c:v>9.9760381057307307E-2</c:v>
                </c:pt>
                <c:pt idx="161">
                  <c:v>4.7273319872305901</c:v>
                </c:pt>
                <c:pt idx="162">
                  <c:v>0.52061661110858803</c:v>
                </c:pt>
                <c:pt idx="163">
                  <c:v>18.861879023484299</c:v>
                </c:pt>
                <c:pt idx="164">
                  <c:v>-3.3278157240536599</c:v>
                </c:pt>
                <c:pt idx="165">
                  <c:v>4.6538881324435097</c:v>
                </c:pt>
                <c:pt idx="166">
                  <c:v>9.0339399719434894</c:v>
                </c:pt>
                <c:pt idx="167">
                  <c:v>3.7871727246803499</c:v>
                </c:pt>
                <c:pt idx="168">
                  <c:v>-3.4425126163641799</c:v>
                </c:pt>
                <c:pt idx="169">
                  <c:v>0.84340869968986798</c:v>
                </c:pt>
                <c:pt idx="170">
                  <c:v>2.2780628699053</c:v>
                </c:pt>
                <c:pt idx="171">
                  <c:v>4.5048179641568202</c:v>
                </c:pt>
                <c:pt idx="172">
                  <c:v>-0.26824897989416202</c:v>
                </c:pt>
                <c:pt idx="173">
                  <c:v>9.2209707458088808</c:v>
                </c:pt>
                <c:pt idx="174">
                  <c:v>9.9558274452335505E-2</c:v>
                </c:pt>
                <c:pt idx="175">
                  <c:v>3.6466303277426202</c:v>
                </c:pt>
                <c:pt idx="176">
                  <c:v>-1.0417783380972001</c:v>
                </c:pt>
                <c:pt idx="177">
                  <c:v>12.771279108498399</c:v>
                </c:pt>
                <c:pt idx="178">
                  <c:v>-1.55522345094727</c:v>
                </c:pt>
                <c:pt idx="179">
                  <c:v>-1.09743537310987</c:v>
                </c:pt>
                <c:pt idx="180">
                  <c:v>-1.20288744176138</c:v>
                </c:pt>
                <c:pt idx="181">
                  <c:v>2.4788316370564898</c:v>
                </c:pt>
                <c:pt idx="182">
                  <c:v>-3.2024566429523298</c:v>
                </c:pt>
                <c:pt idx="183">
                  <c:v>8.9097498102079697</c:v>
                </c:pt>
                <c:pt idx="184">
                  <c:v>2.5022104485011498</c:v>
                </c:pt>
                <c:pt idx="185">
                  <c:v>2.3076016850090801</c:v>
                </c:pt>
                <c:pt idx="186">
                  <c:v>1.4867659203681001</c:v>
                </c:pt>
                <c:pt idx="187">
                  <c:v>-0.73795349063995197</c:v>
                </c:pt>
                <c:pt idx="188">
                  <c:v>21.3197435860301</c:v>
                </c:pt>
                <c:pt idx="189">
                  <c:v>6.5472340641047202</c:v>
                </c:pt>
                <c:pt idx="190">
                  <c:v>8.8862803608778194</c:v>
                </c:pt>
                <c:pt idx="191">
                  <c:v>16.127723521493198</c:v>
                </c:pt>
                <c:pt idx="192">
                  <c:v>4.6924283829790703</c:v>
                </c:pt>
                <c:pt idx="193">
                  <c:v>-0.46560454915149802</c:v>
                </c:pt>
                <c:pt idx="194">
                  <c:v>-1.5116952428014501</c:v>
                </c:pt>
                <c:pt idx="195">
                  <c:v>53.537201650354397</c:v>
                </c:pt>
                <c:pt idx="196">
                  <c:v>-0.55331272741145199</c:v>
                </c:pt>
                <c:pt idx="197">
                  <c:v>-0.99143988642717795</c:v>
                </c:pt>
                <c:pt idx="198">
                  <c:v>-1.2514150205447501</c:v>
                </c:pt>
                <c:pt idx="199">
                  <c:v>5.3672402534275303</c:v>
                </c:pt>
                <c:pt idx="200">
                  <c:v>8.8098063190846005</c:v>
                </c:pt>
                <c:pt idx="201">
                  <c:v>-3.1091976907590002</c:v>
                </c:pt>
                <c:pt idx="202">
                  <c:v>3.3134107096085601</c:v>
                </c:pt>
                <c:pt idx="203">
                  <c:v>5.3372881902298097</c:v>
                </c:pt>
                <c:pt idx="204">
                  <c:v>5.3662374981547902</c:v>
                </c:pt>
                <c:pt idx="205">
                  <c:v>2.63088200320309</c:v>
                </c:pt>
                <c:pt idx="206">
                  <c:v>7.7410005718282102</c:v>
                </c:pt>
                <c:pt idx="207">
                  <c:v>-2.3923056763107602</c:v>
                </c:pt>
                <c:pt idx="208">
                  <c:v>9.2863665502257895</c:v>
                </c:pt>
                <c:pt idx="209">
                  <c:v>2.9147867578911502</c:v>
                </c:pt>
                <c:pt idx="210">
                  <c:v>13.136319323344001</c:v>
                </c:pt>
                <c:pt idx="211">
                  <c:v>3.7683864805763401</c:v>
                </c:pt>
                <c:pt idx="212">
                  <c:v>38.552116829835697</c:v>
                </c:pt>
                <c:pt idx="213">
                  <c:v>-3.58661365993223</c:v>
                </c:pt>
                <c:pt idx="214">
                  <c:v>2.7018876275493402</c:v>
                </c:pt>
                <c:pt idx="215">
                  <c:v>13.088657348770999</c:v>
                </c:pt>
                <c:pt idx="216">
                  <c:v>-0.49633349557462397</c:v>
                </c:pt>
                <c:pt idx="217">
                  <c:v>6.3851719983262898</c:v>
                </c:pt>
                <c:pt idx="218">
                  <c:v>4.0682740265168897</c:v>
                </c:pt>
                <c:pt idx="219">
                  <c:v>-1.9548477253559599E-2</c:v>
                </c:pt>
                <c:pt idx="220">
                  <c:v>-0.84982131373969005</c:v>
                </c:pt>
                <c:pt idx="221">
                  <c:v>53.764680550385499</c:v>
                </c:pt>
                <c:pt idx="222">
                  <c:v>26.567031670640301</c:v>
                </c:pt>
                <c:pt idx="223">
                  <c:v>3.1133002104285299</c:v>
                </c:pt>
                <c:pt idx="224">
                  <c:v>4.7531652317050401</c:v>
                </c:pt>
                <c:pt idx="225">
                  <c:v>3.5739537182143701</c:v>
                </c:pt>
                <c:pt idx="226">
                  <c:v>2.6166426035455799</c:v>
                </c:pt>
                <c:pt idx="227">
                  <c:v>10.499900418969601</c:v>
                </c:pt>
                <c:pt idx="228">
                  <c:v>-2.5391484465521601</c:v>
                </c:pt>
                <c:pt idx="229">
                  <c:v>-1.25130989986562</c:v>
                </c:pt>
                <c:pt idx="230">
                  <c:v>4.1078153473813597</c:v>
                </c:pt>
                <c:pt idx="231">
                  <c:v>2.09832813801397</c:v>
                </c:pt>
                <c:pt idx="232">
                  <c:v>-1.6302366951184299</c:v>
                </c:pt>
                <c:pt idx="233">
                  <c:v>31.8324866915118</c:v>
                </c:pt>
                <c:pt idx="234">
                  <c:v>31.8298946950908</c:v>
                </c:pt>
                <c:pt idx="235">
                  <c:v>1.99851844353589</c:v>
                </c:pt>
                <c:pt idx="236">
                  <c:v>9.1857464140809792</c:v>
                </c:pt>
                <c:pt idx="237">
                  <c:v>0.30584998094893401</c:v>
                </c:pt>
                <c:pt idx="238">
                  <c:v>0.158969627739598</c:v>
                </c:pt>
                <c:pt idx="239">
                  <c:v>-1.7750625525416901</c:v>
                </c:pt>
                <c:pt idx="240">
                  <c:v>-2.19066606024729</c:v>
                </c:pt>
                <c:pt idx="241">
                  <c:v>3.1468034733919601</c:v>
                </c:pt>
                <c:pt idx="242">
                  <c:v>3.1471386515105899</c:v>
                </c:pt>
                <c:pt idx="243">
                  <c:v>-2.3104460229665</c:v>
                </c:pt>
                <c:pt idx="244">
                  <c:v>-1.51083079330591</c:v>
                </c:pt>
                <c:pt idx="245">
                  <c:v>9.0790628443340095E-3</c:v>
                </c:pt>
                <c:pt idx="246">
                  <c:v>-2.19326255035174</c:v>
                </c:pt>
                <c:pt idx="247">
                  <c:v>-0.87551390307238597</c:v>
                </c:pt>
                <c:pt idx="248">
                  <c:v>-2.1459840440800702</c:v>
                </c:pt>
                <c:pt idx="249">
                  <c:v>-1.22265439736279E-2</c:v>
                </c:pt>
                <c:pt idx="250">
                  <c:v>5.4875251373476699</c:v>
                </c:pt>
                <c:pt idx="251">
                  <c:v>4.1461600591673502</c:v>
                </c:pt>
                <c:pt idx="252">
                  <c:v>2.1183250024284601</c:v>
                </c:pt>
                <c:pt idx="253">
                  <c:v>-0.64473973657598005</c:v>
                </c:pt>
                <c:pt idx="254">
                  <c:v>-0.39988349518080202</c:v>
                </c:pt>
                <c:pt idx="255">
                  <c:v>-0.47677703325971998</c:v>
                </c:pt>
                <c:pt idx="256">
                  <c:v>3.2460264428581298</c:v>
                </c:pt>
                <c:pt idx="257">
                  <c:v>4.0806017583866501</c:v>
                </c:pt>
                <c:pt idx="258">
                  <c:v>-0.530694924848919</c:v>
                </c:pt>
                <c:pt idx="259">
                  <c:v>-0.81235150018034596</c:v>
                </c:pt>
                <c:pt idx="260">
                  <c:v>-0.78126814578352999</c:v>
                </c:pt>
                <c:pt idx="261">
                  <c:v>0.75240921388405102</c:v>
                </c:pt>
                <c:pt idx="262">
                  <c:v>42.113084650848201</c:v>
                </c:pt>
                <c:pt idx="263">
                  <c:v>-1.73967542207801</c:v>
                </c:pt>
                <c:pt idx="264">
                  <c:v>-2.8688210787906501</c:v>
                </c:pt>
                <c:pt idx="265">
                  <c:v>0.68642438282671003</c:v>
                </c:pt>
                <c:pt idx="266">
                  <c:v>-2.1473267965797498</c:v>
                </c:pt>
                <c:pt idx="267">
                  <c:v>1.15950609368931</c:v>
                </c:pt>
                <c:pt idx="268">
                  <c:v>9.9090908784317104</c:v>
                </c:pt>
                <c:pt idx="269">
                  <c:v>2.1915108233632701</c:v>
                </c:pt>
                <c:pt idx="270">
                  <c:v>0.46127520182954801</c:v>
                </c:pt>
                <c:pt idx="271">
                  <c:v>4.9792371675294698</c:v>
                </c:pt>
                <c:pt idx="272">
                  <c:v>-1.82451294539577</c:v>
                </c:pt>
                <c:pt idx="273">
                  <c:v>26.7711317459245</c:v>
                </c:pt>
                <c:pt idx="274">
                  <c:v>-0.80588645599002495</c:v>
                </c:pt>
                <c:pt idx="275">
                  <c:v>9.8415171510164097</c:v>
                </c:pt>
                <c:pt idx="276">
                  <c:v>12.9429015112605</c:v>
                </c:pt>
                <c:pt idx="277">
                  <c:v>21.652237595967399</c:v>
                </c:pt>
                <c:pt idx="278">
                  <c:v>8.6691046593682302</c:v>
                </c:pt>
                <c:pt idx="279">
                  <c:v>0.92614686290019499</c:v>
                </c:pt>
                <c:pt idx="280">
                  <c:v>0.134057103713279</c:v>
                </c:pt>
                <c:pt idx="281">
                  <c:v>5.4741542720766398</c:v>
                </c:pt>
                <c:pt idx="282">
                  <c:v>5.2326610636664599</c:v>
                </c:pt>
                <c:pt idx="283">
                  <c:v>1.99973940258986</c:v>
                </c:pt>
                <c:pt idx="284">
                  <c:v>4.6625952903771299</c:v>
                </c:pt>
                <c:pt idx="285">
                  <c:v>3.4053794650483198</c:v>
                </c:pt>
                <c:pt idx="286">
                  <c:v>0.50200290394929203</c:v>
                </c:pt>
                <c:pt idx="287">
                  <c:v>9.2335064259802699</c:v>
                </c:pt>
                <c:pt idx="288">
                  <c:v>-0.96149267131461003</c:v>
                </c:pt>
                <c:pt idx="289">
                  <c:v>19.896081177929801</c:v>
                </c:pt>
                <c:pt idx="290">
                  <c:v>9.4654157647142103</c:v>
                </c:pt>
                <c:pt idx="291">
                  <c:v>-1.4690854280697101</c:v>
                </c:pt>
                <c:pt idx="292">
                  <c:v>3.8806941824597301</c:v>
                </c:pt>
                <c:pt idx="293">
                  <c:v>12.00299572292</c:v>
                </c:pt>
                <c:pt idx="294">
                  <c:v>26.5602270934899</c:v>
                </c:pt>
                <c:pt idx="295">
                  <c:v>-3.7224311844768301</c:v>
                </c:pt>
                <c:pt idx="296">
                  <c:v>-0.8210921605757</c:v>
                </c:pt>
                <c:pt idx="297">
                  <c:v>-0.55882509855162199</c:v>
                </c:pt>
                <c:pt idx="298">
                  <c:v>36.323120882963202</c:v>
                </c:pt>
                <c:pt idx="299">
                  <c:v>3.9521570452402801</c:v>
                </c:pt>
                <c:pt idx="300">
                  <c:v>-3.1689946785319898</c:v>
                </c:pt>
                <c:pt idx="301">
                  <c:v>-1.1033010499156399</c:v>
                </c:pt>
                <c:pt idx="302">
                  <c:v>1.7648722557960499</c:v>
                </c:pt>
                <c:pt idx="303">
                  <c:v>12.8448398543294</c:v>
                </c:pt>
                <c:pt idx="304">
                  <c:v>-1.97105833806353</c:v>
                </c:pt>
                <c:pt idx="305">
                  <c:v>-2.2300738968179998</c:v>
                </c:pt>
                <c:pt idx="306">
                  <c:v>9.4718041848916599</c:v>
                </c:pt>
                <c:pt idx="307">
                  <c:v>49.735630938226301</c:v>
                </c:pt>
                <c:pt idx="308">
                  <c:v>5.02945540056756</c:v>
                </c:pt>
                <c:pt idx="309">
                  <c:v>16.080584581393701</c:v>
                </c:pt>
                <c:pt idx="310">
                  <c:v>0.50221341406356401</c:v>
                </c:pt>
                <c:pt idx="311">
                  <c:v>-9.7023302023710997E-2</c:v>
                </c:pt>
                <c:pt idx="312">
                  <c:v>86.766037515651306</c:v>
                </c:pt>
                <c:pt idx="313">
                  <c:v>7.7229815743911203</c:v>
                </c:pt>
                <c:pt idx="314">
                  <c:v>31.749349450327198</c:v>
                </c:pt>
                <c:pt idx="315">
                  <c:v>2.1573010688599199</c:v>
                </c:pt>
                <c:pt idx="316">
                  <c:v>4.7651636461450497</c:v>
                </c:pt>
                <c:pt idx="317">
                  <c:v>21.715409222258799</c:v>
                </c:pt>
                <c:pt idx="318">
                  <c:v>42.1347020990885</c:v>
                </c:pt>
                <c:pt idx="319">
                  <c:v>42.162828025979998</c:v>
                </c:pt>
                <c:pt idx="320">
                  <c:v>-1.0049943718205401</c:v>
                </c:pt>
                <c:pt idx="321">
                  <c:v>-1.9349146883911399</c:v>
                </c:pt>
                <c:pt idx="322">
                  <c:v>4.7095143285574403</c:v>
                </c:pt>
                <c:pt idx="323">
                  <c:v>85.310203979597702</c:v>
                </c:pt>
                <c:pt idx="324">
                  <c:v>4.4733064618038902</c:v>
                </c:pt>
                <c:pt idx="325">
                  <c:v>31.845286628666301</c:v>
                </c:pt>
                <c:pt idx="326">
                  <c:v>-1.6877421534018699</c:v>
                </c:pt>
                <c:pt idx="327">
                  <c:v>1.33484477870805</c:v>
                </c:pt>
                <c:pt idx="328">
                  <c:v>1.83410687718578</c:v>
                </c:pt>
                <c:pt idx="329">
                  <c:v>0.25394005706971101</c:v>
                </c:pt>
                <c:pt idx="330">
                  <c:v>1.1704431139267299</c:v>
                </c:pt>
                <c:pt idx="331">
                  <c:v>-2.6580442871183001</c:v>
                </c:pt>
                <c:pt idx="332">
                  <c:v>36.237106434597003</c:v>
                </c:pt>
                <c:pt idx="333">
                  <c:v>1.9137351027134899</c:v>
                </c:pt>
                <c:pt idx="334">
                  <c:v>42.212006168288198</c:v>
                </c:pt>
                <c:pt idx="335">
                  <c:v>0.60869775926498204</c:v>
                </c:pt>
                <c:pt idx="336">
                  <c:v>21.1015510999983</c:v>
                </c:pt>
                <c:pt idx="337">
                  <c:v>0.85858519329781302</c:v>
                </c:pt>
                <c:pt idx="338">
                  <c:v>1.1249429227586401</c:v>
                </c:pt>
                <c:pt idx="339">
                  <c:v>-4.0205897078198101</c:v>
                </c:pt>
                <c:pt idx="340">
                  <c:v>7.5448043413368603E-3</c:v>
                </c:pt>
                <c:pt idx="341">
                  <c:v>-2.04969225306104</c:v>
                </c:pt>
                <c:pt idx="342">
                  <c:v>86.959625127075796</c:v>
                </c:pt>
                <c:pt idx="343">
                  <c:v>0.63223520981443004</c:v>
                </c:pt>
                <c:pt idx="344">
                  <c:v>8.7447579672710704E-2</c:v>
                </c:pt>
                <c:pt idx="345">
                  <c:v>42.280991995500401</c:v>
                </c:pt>
                <c:pt idx="346">
                  <c:v>2.3802877681724</c:v>
                </c:pt>
                <c:pt idx="347">
                  <c:v>1.5142373989646101</c:v>
                </c:pt>
                <c:pt idx="348">
                  <c:v>1.63862664153988</c:v>
                </c:pt>
                <c:pt idx="349">
                  <c:v>13.296721744187799</c:v>
                </c:pt>
                <c:pt idx="350">
                  <c:v>0.44093462739669498</c:v>
                </c:pt>
                <c:pt idx="351">
                  <c:v>21.170294365772701</c:v>
                </c:pt>
                <c:pt idx="352">
                  <c:v>2.4844814494916898</c:v>
                </c:pt>
                <c:pt idx="353">
                  <c:v>-3.6706085595675102</c:v>
                </c:pt>
                <c:pt idx="354">
                  <c:v>-2.0542904806594602</c:v>
                </c:pt>
                <c:pt idx="355">
                  <c:v>-2.8191357953895499</c:v>
                </c:pt>
                <c:pt idx="356">
                  <c:v>7.6241343652882696</c:v>
                </c:pt>
                <c:pt idx="357">
                  <c:v>-1.36465221593541</c:v>
                </c:pt>
                <c:pt idx="358">
                  <c:v>-1.99135522931293E-2</c:v>
                </c:pt>
                <c:pt idx="359">
                  <c:v>0.86148739734625701</c:v>
                </c:pt>
                <c:pt idx="360">
                  <c:v>19.870937725177502</c:v>
                </c:pt>
                <c:pt idx="361">
                  <c:v>5.2135132186586004</c:v>
                </c:pt>
                <c:pt idx="362">
                  <c:v>-2.3783275278021399</c:v>
                </c:pt>
                <c:pt idx="363">
                  <c:v>4.8639947430260397</c:v>
                </c:pt>
                <c:pt idx="364">
                  <c:v>4.3307427826991702</c:v>
                </c:pt>
                <c:pt idx="365">
                  <c:v>-2.8846096453477501</c:v>
                </c:pt>
                <c:pt idx="366">
                  <c:v>3.88432824335989</c:v>
                </c:pt>
                <c:pt idx="367">
                  <c:v>-1.63504761599304</c:v>
                </c:pt>
                <c:pt idx="368">
                  <c:v>42.041872152279403</c:v>
                </c:pt>
                <c:pt idx="369">
                  <c:v>19.950727622361601</c:v>
                </c:pt>
                <c:pt idx="370">
                  <c:v>0.74483004614557502</c:v>
                </c:pt>
                <c:pt idx="371">
                  <c:v>-0.69054920436769995</c:v>
                </c:pt>
                <c:pt idx="372">
                  <c:v>1.43589003008183</c:v>
                </c:pt>
                <c:pt idx="373">
                  <c:v>1.07186106570255</c:v>
                </c:pt>
                <c:pt idx="374">
                  <c:v>3.1656922208704099</c:v>
                </c:pt>
                <c:pt idx="375">
                  <c:v>1.43680485683427</c:v>
                </c:pt>
                <c:pt idx="376">
                  <c:v>18.675673727994699</c:v>
                </c:pt>
                <c:pt idx="377">
                  <c:v>-2.30241003538517</c:v>
                </c:pt>
                <c:pt idx="378">
                  <c:v>26.570258881988899</c:v>
                </c:pt>
                <c:pt idx="379">
                  <c:v>16.0549904520072</c:v>
                </c:pt>
                <c:pt idx="380">
                  <c:v>-1.4033171843550101</c:v>
                </c:pt>
                <c:pt idx="381">
                  <c:v>86.765579420566496</c:v>
                </c:pt>
                <c:pt idx="382">
                  <c:v>9.1863617219929097</c:v>
                </c:pt>
                <c:pt idx="383">
                  <c:v>0.67260720108148997</c:v>
                </c:pt>
                <c:pt idx="384">
                  <c:v>2.2600025318688002</c:v>
                </c:pt>
                <c:pt idx="385">
                  <c:v>0.79566798795988203</c:v>
                </c:pt>
                <c:pt idx="386">
                  <c:v>9.8827614449571595</c:v>
                </c:pt>
                <c:pt idx="387">
                  <c:v>3.98285013595429</c:v>
                </c:pt>
                <c:pt idx="388">
                  <c:v>1.95756241696099</c:v>
                </c:pt>
                <c:pt idx="389">
                  <c:v>1.5672560383984</c:v>
                </c:pt>
                <c:pt idx="390">
                  <c:v>21.751088116034101</c:v>
                </c:pt>
                <c:pt idx="391">
                  <c:v>-2.4174029784923698</c:v>
                </c:pt>
                <c:pt idx="392">
                  <c:v>1.0119500098463201</c:v>
                </c:pt>
                <c:pt idx="393">
                  <c:v>5.4516249172903501</c:v>
                </c:pt>
                <c:pt idx="394">
                  <c:v>1.74819987841383</c:v>
                </c:pt>
                <c:pt idx="395">
                  <c:v>-2.4563255465881402</c:v>
                </c:pt>
                <c:pt idx="396">
                  <c:v>-2.4629271821796599</c:v>
                </c:pt>
                <c:pt idx="397">
                  <c:v>9.2683403317276607</c:v>
                </c:pt>
                <c:pt idx="398">
                  <c:v>10.2039689739954</c:v>
                </c:pt>
                <c:pt idx="399">
                  <c:v>-0.91402106534641803</c:v>
                </c:pt>
                <c:pt idx="400">
                  <c:v>-3.3029086569780999</c:v>
                </c:pt>
                <c:pt idx="401">
                  <c:v>8.5802440220904206</c:v>
                </c:pt>
                <c:pt idx="402">
                  <c:v>-0.394736632794844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B3-4846-91FD-647F4EEA7833}"/>
            </c:ext>
          </c:extLst>
        </c:ser>
        <c:ser>
          <c:idx val="5"/>
          <c:order val="4"/>
          <c:tx>
            <c:v>XRT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dim_training!$N$2:$N$404</c:f>
              <c:numCache>
                <c:formatCode>General</c:formatCode>
                <c:ptCount val="403"/>
                <c:pt idx="0">
                  <c:v>-2.579392486233</c:v>
                </c:pt>
                <c:pt idx="1">
                  <c:v>8.5188503713010597</c:v>
                </c:pt>
                <c:pt idx="2">
                  <c:v>4.7108894791270304</c:v>
                </c:pt>
                <c:pt idx="3">
                  <c:v>5.2295960972330002</c:v>
                </c:pt>
                <c:pt idx="4">
                  <c:v>-1.04646185044399</c:v>
                </c:pt>
                <c:pt idx="5">
                  <c:v>-1.7732613344741699</c:v>
                </c:pt>
                <c:pt idx="6">
                  <c:v>9.2762676986135801</c:v>
                </c:pt>
                <c:pt idx="7">
                  <c:v>2.4684612772399999</c:v>
                </c:pt>
                <c:pt idx="8">
                  <c:v>38.503944181459801</c:v>
                </c:pt>
                <c:pt idx="9">
                  <c:v>1.690952119913</c:v>
                </c:pt>
                <c:pt idx="10">
                  <c:v>2.1896644754994998</c:v>
                </c:pt>
                <c:pt idx="11">
                  <c:v>3.6092253165479899</c:v>
                </c:pt>
                <c:pt idx="12">
                  <c:v>-0.97505860071399297</c:v>
                </c:pt>
                <c:pt idx="13">
                  <c:v>1.9749679728259999</c:v>
                </c:pt>
                <c:pt idx="14">
                  <c:v>-1.87704801814799</c:v>
                </c:pt>
                <c:pt idx="15">
                  <c:v>-0.96924257052199203</c:v>
                </c:pt>
                <c:pt idx="16">
                  <c:v>-1.206027402408</c:v>
                </c:pt>
                <c:pt idx="17">
                  <c:v>86.828649761080698</c:v>
                </c:pt>
                <c:pt idx="18">
                  <c:v>38.506597517529997</c:v>
                </c:pt>
                <c:pt idx="19">
                  <c:v>-4.0344645579340002</c:v>
                </c:pt>
                <c:pt idx="20">
                  <c:v>-1.17072967197333</c:v>
                </c:pt>
                <c:pt idx="21">
                  <c:v>-0.28423044548800103</c:v>
                </c:pt>
                <c:pt idx="22">
                  <c:v>0.396424091676499</c:v>
                </c:pt>
                <c:pt idx="23">
                  <c:v>31.8102357700004</c:v>
                </c:pt>
                <c:pt idx="24">
                  <c:v>0.59846417166433197</c:v>
                </c:pt>
                <c:pt idx="25">
                  <c:v>-0.13694095835433301</c:v>
                </c:pt>
                <c:pt idx="26">
                  <c:v>19.936623460000099</c:v>
                </c:pt>
                <c:pt idx="27">
                  <c:v>21.645655574366</c:v>
                </c:pt>
                <c:pt idx="28">
                  <c:v>53.653951261660197</c:v>
                </c:pt>
                <c:pt idx="29">
                  <c:v>53.688632270000198</c:v>
                </c:pt>
                <c:pt idx="30">
                  <c:v>49.796737416169897</c:v>
                </c:pt>
                <c:pt idx="31">
                  <c:v>1.8126524860303901</c:v>
                </c:pt>
                <c:pt idx="32">
                  <c:v>13.1003481490635</c:v>
                </c:pt>
                <c:pt idx="33">
                  <c:v>21.486897214889801</c:v>
                </c:pt>
                <c:pt idx="34">
                  <c:v>3.2212289723517902</c:v>
                </c:pt>
                <c:pt idx="35">
                  <c:v>6.3318328306033997</c:v>
                </c:pt>
                <c:pt idx="36">
                  <c:v>9.8617531849469806</c:v>
                </c:pt>
                <c:pt idx="37">
                  <c:v>-2.148657015605</c:v>
                </c:pt>
                <c:pt idx="38">
                  <c:v>-3.8605415053999698E-2</c:v>
                </c:pt>
                <c:pt idx="39">
                  <c:v>-0.18721425992400001</c:v>
                </c:pt>
                <c:pt idx="40">
                  <c:v>1.66104123737701</c:v>
                </c:pt>
                <c:pt idx="41">
                  <c:v>0.98914965840450197</c:v>
                </c:pt>
                <c:pt idx="42">
                  <c:v>7.1944250201248297</c:v>
                </c:pt>
                <c:pt idx="43">
                  <c:v>-1.2192238188344999</c:v>
                </c:pt>
                <c:pt idx="44">
                  <c:v>-0.619198153190333</c:v>
                </c:pt>
                <c:pt idx="45">
                  <c:v>86.831721080000705</c:v>
                </c:pt>
                <c:pt idx="46">
                  <c:v>-1.696894263713</c:v>
                </c:pt>
                <c:pt idx="47">
                  <c:v>1.3265259088229999</c:v>
                </c:pt>
                <c:pt idx="48">
                  <c:v>9.6089094196742106</c:v>
                </c:pt>
                <c:pt idx="49">
                  <c:v>-1.4064675444265</c:v>
                </c:pt>
                <c:pt idx="50">
                  <c:v>8.0900926403999707E-2</c:v>
                </c:pt>
                <c:pt idx="51">
                  <c:v>-1.0909751687089899</c:v>
                </c:pt>
                <c:pt idx="52">
                  <c:v>1.56460087834587</c:v>
                </c:pt>
                <c:pt idx="53">
                  <c:v>1.0440166203543499</c:v>
                </c:pt>
                <c:pt idx="54">
                  <c:v>1.401589543739</c:v>
                </c:pt>
                <c:pt idx="55">
                  <c:v>5.4196109975660303</c:v>
                </c:pt>
                <c:pt idx="56">
                  <c:v>-2.3079958993954999</c:v>
                </c:pt>
                <c:pt idx="57">
                  <c:v>6.8875317534666206E-2</c:v>
                </c:pt>
                <c:pt idx="58">
                  <c:v>53.527002464600201</c:v>
                </c:pt>
                <c:pt idx="59">
                  <c:v>-0.29457224960733203</c:v>
                </c:pt>
                <c:pt idx="60">
                  <c:v>1.3209503741635</c:v>
                </c:pt>
                <c:pt idx="61">
                  <c:v>-0.117192119474999</c:v>
                </c:pt>
                <c:pt idx="62">
                  <c:v>1.23743956399032</c:v>
                </c:pt>
                <c:pt idx="63">
                  <c:v>-4.5390145666269799</c:v>
                </c:pt>
                <c:pt idx="64">
                  <c:v>8.1191980648740198</c:v>
                </c:pt>
                <c:pt idx="65">
                  <c:v>-0.64944716807333103</c:v>
                </c:pt>
                <c:pt idx="66">
                  <c:v>85.296061619999804</c:v>
                </c:pt>
                <c:pt idx="67">
                  <c:v>-1.5006646414606699</c:v>
                </c:pt>
                <c:pt idx="68">
                  <c:v>19.7884861582139</c:v>
                </c:pt>
                <c:pt idx="69">
                  <c:v>4.7494704147228104</c:v>
                </c:pt>
                <c:pt idx="70">
                  <c:v>1.27236398839166</c:v>
                </c:pt>
                <c:pt idx="71">
                  <c:v>3.17030411538666</c:v>
                </c:pt>
                <c:pt idx="72">
                  <c:v>5.2658563089730004</c:v>
                </c:pt>
                <c:pt idx="73">
                  <c:v>12.345685731773001</c:v>
                </c:pt>
                <c:pt idx="74">
                  <c:v>-0.33961257894399799</c:v>
                </c:pt>
                <c:pt idx="75">
                  <c:v>5.6453150377233303</c:v>
                </c:pt>
                <c:pt idx="76">
                  <c:v>19.557186779300999</c:v>
                </c:pt>
                <c:pt idx="77">
                  <c:v>-0.129314194847999</c:v>
                </c:pt>
                <c:pt idx="78">
                  <c:v>-2.5654284746739902</c:v>
                </c:pt>
                <c:pt idx="79">
                  <c:v>2.2986791368198598</c:v>
                </c:pt>
                <c:pt idx="80">
                  <c:v>1.4564714508221599</c:v>
                </c:pt>
                <c:pt idx="81">
                  <c:v>-2.3991557709583202</c:v>
                </c:pt>
                <c:pt idx="82">
                  <c:v>-3.1692176668939802</c:v>
                </c:pt>
                <c:pt idx="83">
                  <c:v>0.73404637211666002</c:v>
                </c:pt>
                <c:pt idx="84">
                  <c:v>-0.32445436448533399</c:v>
                </c:pt>
                <c:pt idx="85">
                  <c:v>12.257530496271</c:v>
                </c:pt>
                <c:pt idx="86">
                  <c:v>21.578295475626</c:v>
                </c:pt>
                <c:pt idx="87">
                  <c:v>0.125357167749333</c:v>
                </c:pt>
                <c:pt idx="88">
                  <c:v>-4.1219815286999799E-2</c:v>
                </c:pt>
                <c:pt idx="89">
                  <c:v>-1.1229258175179999</c:v>
                </c:pt>
                <c:pt idx="90">
                  <c:v>19.966209754553901</c:v>
                </c:pt>
                <c:pt idx="91">
                  <c:v>85.299132938919797</c:v>
                </c:pt>
                <c:pt idx="92">
                  <c:v>18.7668963127139</c:v>
                </c:pt>
                <c:pt idx="93">
                  <c:v>4.60672151201425</c:v>
                </c:pt>
                <c:pt idx="94">
                  <c:v>-1.3082081758889901</c:v>
                </c:pt>
                <c:pt idx="95">
                  <c:v>-1.49930669319766</c:v>
                </c:pt>
                <c:pt idx="96">
                  <c:v>0.27767520681333202</c:v>
                </c:pt>
                <c:pt idx="97">
                  <c:v>-2.6006310193575</c:v>
                </c:pt>
                <c:pt idx="98">
                  <c:v>1.4924503212339899</c:v>
                </c:pt>
                <c:pt idx="99">
                  <c:v>9.86683301737121</c:v>
                </c:pt>
                <c:pt idx="100">
                  <c:v>1.23672459734982</c:v>
                </c:pt>
                <c:pt idx="101">
                  <c:v>-2.48282056491799</c:v>
                </c:pt>
                <c:pt idx="102">
                  <c:v>0.14737155378399999</c:v>
                </c:pt>
                <c:pt idx="103">
                  <c:v>-2.2678395358125001</c:v>
                </c:pt>
                <c:pt idx="104">
                  <c:v>0.44673611263357099</c:v>
                </c:pt>
                <c:pt idx="105">
                  <c:v>3.36589128914098</c:v>
                </c:pt>
                <c:pt idx="106">
                  <c:v>9.4801243627490308</c:v>
                </c:pt>
                <c:pt idx="107">
                  <c:v>1.572004762223</c:v>
                </c:pt>
                <c:pt idx="108">
                  <c:v>38.446934531449998</c:v>
                </c:pt>
                <c:pt idx="109">
                  <c:v>-0.79758073061899404</c:v>
                </c:pt>
                <c:pt idx="110">
                  <c:v>9.29794808796456</c:v>
                </c:pt>
                <c:pt idx="111">
                  <c:v>-3.3980109652640098</c:v>
                </c:pt>
                <c:pt idx="112">
                  <c:v>10.325356673833699</c:v>
                </c:pt>
                <c:pt idx="113">
                  <c:v>53.688632270000198</c:v>
                </c:pt>
                <c:pt idx="114">
                  <c:v>0.71940974562766202</c:v>
                </c:pt>
                <c:pt idx="115">
                  <c:v>53.524888464540297</c:v>
                </c:pt>
                <c:pt idx="116">
                  <c:v>0.47885353640950101</c:v>
                </c:pt>
                <c:pt idx="117">
                  <c:v>-3.4618096048960099</c:v>
                </c:pt>
                <c:pt idx="118">
                  <c:v>0.39289831122007002</c:v>
                </c:pt>
                <c:pt idx="119">
                  <c:v>0.97836976910700002</c:v>
                </c:pt>
                <c:pt idx="120">
                  <c:v>2.93138593864566</c:v>
                </c:pt>
                <c:pt idx="121">
                  <c:v>-4.4835438763799802</c:v>
                </c:pt>
                <c:pt idx="122">
                  <c:v>0.39553539666390602</c:v>
                </c:pt>
                <c:pt idx="123">
                  <c:v>1.0556034813120001</c:v>
                </c:pt>
                <c:pt idx="124">
                  <c:v>7.7162812806860002</c:v>
                </c:pt>
                <c:pt idx="125">
                  <c:v>31.8102357700004</c:v>
                </c:pt>
                <c:pt idx="126">
                  <c:v>0.33736469376400102</c:v>
                </c:pt>
                <c:pt idx="127">
                  <c:v>0.65424291255599998</c:v>
                </c:pt>
                <c:pt idx="128">
                  <c:v>3.27499051273321</c:v>
                </c:pt>
                <c:pt idx="129">
                  <c:v>53.440003731150199</c:v>
                </c:pt>
                <c:pt idx="130">
                  <c:v>-3.27764912387901</c:v>
                </c:pt>
                <c:pt idx="131">
                  <c:v>2.4407444787483001</c:v>
                </c:pt>
                <c:pt idx="132">
                  <c:v>-0.483276771078331</c:v>
                </c:pt>
                <c:pt idx="133">
                  <c:v>-0.185205800238332</c:v>
                </c:pt>
                <c:pt idx="134">
                  <c:v>41.712532817360298</c:v>
                </c:pt>
                <c:pt idx="135">
                  <c:v>-1.41465821187549</c:v>
                </c:pt>
                <c:pt idx="136">
                  <c:v>12.030410384363799</c:v>
                </c:pt>
                <c:pt idx="137">
                  <c:v>-2.2905622251510001</c:v>
                </c:pt>
                <c:pt idx="138">
                  <c:v>-0.84174346879500495</c:v>
                </c:pt>
                <c:pt idx="139">
                  <c:v>3.2468321693440099</c:v>
                </c:pt>
                <c:pt idx="140">
                  <c:v>4.40106606607345</c:v>
                </c:pt>
                <c:pt idx="141">
                  <c:v>1.674208847524</c:v>
                </c:pt>
                <c:pt idx="142">
                  <c:v>7.1939182686666395E-2</c:v>
                </c:pt>
                <c:pt idx="143">
                  <c:v>1.3232916261529999</c:v>
                </c:pt>
                <c:pt idx="144">
                  <c:v>9.0606189049665904</c:v>
                </c:pt>
                <c:pt idx="145">
                  <c:v>-0.119165074592</c:v>
                </c:pt>
                <c:pt idx="146">
                  <c:v>-2.6621941146419901</c:v>
                </c:pt>
                <c:pt idx="147">
                  <c:v>-1.23070714863599</c:v>
                </c:pt>
                <c:pt idx="148">
                  <c:v>-0.32451220214933402</c:v>
                </c:pt>
                <c:pt idx="149">
                  <c:v>1.0631247868825899</c:v>
                </c:pt>
                <c:pt idx="150">
                  <c:v>21.018143213527999</c:v>
                </c:pt>
                <c:pt idx="151">
                  <c:v>1.8477741455700001</c:v>
                </c:pt>
                <c:pt idx="152">
                  <c:v>1.7126099507169901</c:v>
                </c:pt>
                <c:pt idx="153">
                  <c:v>0.64564190224223705</c:v>
                </c:pt>
                <c:pt idx="154">
                  <c:v>-2.7737728237279899</c:v>
                </c:pt>
                <c:pt idx="155">
                  <c:v>3.1614398731870601</c:v>
                </c:pt>
                <c:pt idx="156">
                  <c:v>-2.6580290704239902</c:v>
                </c:pt>
                <c:pt idx="157">
                  <c:v>0.69034553571099999</c:v>
                </c:pt>
                <c:pt idx="158">
                  <c:v>1.10042079932799</c:v>
                </c:pt>
                <c:pt idx="159">
                  <c:v>86.831721080000705</c:v>
                </c:pt>
                <c:pt idx="160">
                  <c:v>0.15590194801400101</c:v>
                </c:pt>
                <c:pt idx="161">
                  <c:v>4.71446380963806</c:v>
                </c:pt>
                <c:pt idx="162">
                  <c:v>0.53824669623340304</c:v>
                </c:pt>
                <c:pt idx="163">
                  <c:v>18.984899600044098</c:v>
                </c:pt>
                <c:pt idx="164">
                  <c:v>-3.3999529717780002</c:v>
                </c:pt>
                <c:pt idx="165">
                  <c:v>4.6461110029995103</c:v>
                </c:pt>
                <c:pt idx="166">
                  <c:v>8.9480157884461597</c:v>
                </c:pt>
                <c:pt idx="167">
                  <c:v>3.8275858577347002</c:v>
                </c:pt>
                <c:pt idx="168">
                  <c:v>-3.3846765817079798</c:v>
                </c:pt>
                <c:pt idx="169">
                  <c:v>0.79848379326700403</c:v>
                </c:pt>
                <c:pt idx="170">
                  <c:v>2.2820858565441</c:v>
                </c:pt>
                <c:pt idx="171">
                  <c:v>4.6025868585299898</c:v>
                </c:pt>
                <c:pt idx="172">
                  <c:v>-0.36801859311100199</c:v>
                </c:pt>
                <c:pt idx="173">
                  <c:v>9.1158326322576499</c:v>
                </c:pt>
                <c:pt idx="174">
                  <c:v>4.1456042334999901E-2</c:v>
                </c:pt>
                <c:pt idx="175">
                  <c:v>3.7298053668218198</c:v>
                </c:pt>
                <c:pt idx="176">
                  <c:v>-1.0624760555269901</c:v>
                </c:pt>
                <c:pt idx="177">
                  <c:v>12.8312028156653</c:v>
                </c:pt>
                <c:pt idx="178">
                  <c:v>-1.509267585243</c:v>
                </c:pt>
                <c:pt idx="179">
                  <c:v>-1.016604803406</c:v>
                </c:pt>
                <c:pt idx="180">
                  <c:v>-1.2419824094254901</c:v>
                </c:pt>
                <c:pt idx="181">
                  <c:v>2.4743290757696599</c:v>
                </c:pt>
                <c:pt idx="182">
                  <c:v>-3.34497015783999</c:v>
                </c:pt>
                <c:pt idx="183">
                  <c:v>8.8442910278645002</c:v>
                </c:pt>
                <c:pt idx="184">
                  <c:v>2.56594458338934</c:v>
                </c:pt>
                <c:pt idx="185">
                  <c:v>2.3930916333537402</c:v>
                </c:pt>
                <c:pt idx="186">
                  <c:v>1.51445494539366</c:v>
                </c:pt>
                <c:pt idx="187">
                  <c:v>-0.78543576556333194</c:v>
                </c:pt>
                <c:pt idx="188">
                  <c:v>21.229684592538099</c:v>
                </c:pt>
                <c:pt idx="189">
                  <c:v>6.7264733025019101</c:v>
                </c:pt>
                <c:pt idx="190">
                  <c:v>8.79406348407921</c:v>
                </c:pt>
                <c:pt idx="191">
                  <c:v>16.216402576419799</c:v>
                </c:pt>
                <c:pt idx="192">
                  <c:v>4.6386458156383901</c:v>
                </c:pt>
                <c:pt idx="193">
                  <c:v>-0.52754705658000201</c:v>
                </c:pt>
                <c:pt idx="194">
                  <c:v>-1.4962288863739901</c:v>
                </c:pt>
                <c:pt idx="195">
                  <c:v>53.688632270000198</c:v>
                </c:pt>
                <c:pt idx="196">
                  <c:v>-0.44916090454399898</c:v>
                </c:pt>
                <c:pt idx="197">
                  <c:v>-1.0398783923174999</c:v>
                </c:pt>
                <c:pt idx="198">
                  <c:v>-1.3224651925839901</c:v>
                </c:pt>
                <c:pt idx="199">
                  <c:v>5.3709048181430301</c:v>
                </c:pt>
                <c:pt idx="200">
                  <c:v>8.7140301306935495</c:v>
                </c:pt>
                <c:pt idx="201">
                  <c:v>-3.024180642923</c:v>
                </c:pt>
                <c:pt idx="202">
                  <c:v>3.2901249691431298</c:v>
                </c:pt>
                <c:pt idx="203">
                  <c:v>5.4228950210200102</c:v>
                </c:pt>
                <c:pt idx="204">
                  <c:v>5.4398305663410298</c:v>
                </c:pt>
                <c:pt idx="205">
                  <c:v>2.5606479991827298</c:v>
                </c:pt>
                <c:pt idx="206">
                  <c:v>7.6653085187007397</c:v>
                </c:pt>
                <c:pt idx="207">
                  <c:v>-2.4195389872139899</c:v>
                </c:pt>
                <c:pt idx="208">
                  <c:v>9.2296277749373399</c:v>
                </c:pt>
                <c:pt idx="209">
                  <c:v>2.8300498655994502</c:v>
                </c:pt>
                <c:pt idx="210">
                  <c:v>13.1099606280742</c:v>
                </c:pt>
                <c:pt idx="211">
                  <c:v>3.8319592262689799</c:v>
                </c:pt>
                <c:pt idx="212">
                  <c:v>38.6056903385998</c:v>
                </c:pt>
                <c:pt idx="213">
                  <c:v>-3.5465009418540099</c:v>
                </c:pt>
                <c:pt idx="214">
                  <c:v>2.8429708135212501</c:v>
                </c:pt>
                <c:pt idx="215">
                  <c:v>13.0755278016339</c:v>
                </c:pt>
                <c:pt idx="216">
                  <c:v>-0.46769566736499701</c:v>
                </c:pt>
                <c:pt idx="217">
                  <c:v>6.33675171113389</c:v>
                </c:pt>
                <c:pt idx="218">
                  <c:v>3.9855760287051698</c:v>
                </c:pt>
                <c:pt idx="219">
                  <c:v>-0.17992480121999799</c:v>
                </c:pt>
                <c:pt idx="220">
                  <c:v>-1.0337665594409899</c:v>
                </c:pt>
                <c:pt idx="221">
                  <c:v>53.665614932820198</c:v>
                </c:pt>
                <c:pt idx="222">
                  <c:v>26.628094218519799</c:v>
                </c:pt>
                <c:pt idx="223">
                  <c:v>3.0469060277796798</c:v>
                </c:pt>
                <c:pt idx="224">
                  <c:v>4.7511474023298099</c:v>
                </c:pt>
                <c:pt idx="225">
                  <c:v>3.5404196816845901</c:v>
                </c:pt>
                <c:pt idx="226">
                  <c:v>2.6226677495359301</c:v>
                </c:pt>
                <c:pt idx="227">
                  <c:v>10.3264064809019</c:v>
                </c:pt>
                <c:pt idx="228">
                  <c:v>-2.6430277118263299</c:v>
                </c:pt>
                <c:pt idx="229">
                  <c:v>-1.2190466932099999</c:v>
                </c:pt>
                <c:pt idx="230">
                  <c:v>4.1487356345666599</c:v>
                </c:pt>
                <c:pt idx="231">
                  <c:v>2.0793272821409898</c:v>
                </c:pt>
                <c:pt idx="232">
                  <c:v>-1.7610745982731799</c:v>
                </c:pt>
                <c:pt idx="233">
                  <c:v>31.8102357700004</c:v>
                </c:pt>
                <c:pt idx="234">
                  <c:v>31.8102357700004</c:v>
                </c:pt>
                <c:pt idx="235">
                  <c:v>2.0050745570123301</c:v>
                </c:pt>
                <c:pt idx="236">
                  <c:v>9.2131743890725506</c:v>
                </c:pt>
                <c:pt idx="237">
                  <c:v>0.21052352956866699</c:v>
                </c:pt>
                <c:pt idx="238">
                  <c:v>0.20079125865399999</c:v>
                </c:pt>
                <c:pt idx="239">
                  <c:v>-1.7059319544163201</c:v>
                </c:pt>
                <c:pt idx="240">
                  <c:v>-2.1689318788610001</c:v>
                </c:pt>
                <c:pt idx="241">
                  <c:v>3.0522894271246801</c:v>
                </c:pt>
                <c:pt idx="242">
                  <c:v>3.0443149072276698</c:v>
                </c:pt>
                <c:pt idx="243">
                  <c:v>-2.3218932947093198</c:v>
                </c:pt>
                <c:pt idx="244">
                  <c:v>-1.48792763173899</c:v>
                </c:pt>
                <c:pt idx="245">
                  <c:v>-3.4575805498000003E-2</c:v>
                </c:pt>
                <c:pt idx="246">
                  <c:v>-2.1158291929333402</c:v>
                </c:pt>
                <c:pt idx="247">
                  <c:v>-0.94336779896800504</c:v>
                </c:pt>
                <c:pt idx="248">
                  <c:v>-2.0911385961843298</c:v>
                </c:pt>
                <c:pt idx="249">
                  <c:v>-3.3882828896E-2</c:v>
                </c:pt>
                <c:pt idx="250">
                  <c:v>5.6142359519143401</c:v>
                </c:pt>
                <c:pt idx="251">
                  <c:v>4.0084056515311604</c:v>
                </c:pt>
                <c:pt idx="252">
                  <c:v>2.07681584713248</c:v>
                </c:pt>
                <c:pt idx="253">
                  <c:v>-0.655256920769</c:v>
                </c:pt>
                <c:pt idx="254">
                  <c:v>-0.45707546870266402</c:v>
                </c:pt>
                <c:pt idx="255">
                  <c:v>-0.46295845604299801</c:v>
                </c:pt>
                <c:pt idx="256">
                  <c:v>3.1166881060362299</c:v>
                </c:pt>
                <c:pt idx="257">
                  <c:v>4.0749571701447804</c:v>
                </c:pt>
                <c:pt idx="258">
                  <c:v>-0.45014199495166501</c:v>
                </c:pt>
                <c:pt idx="259">
                  <c:v>-0.934127463198001</c:v>
                </c:pt>
                <c:pt idx="260">
                  <c:v>-0.85956096900900203</c:v>
                </c:pt>
                <c:pt idx="261">
                  <c:v>0.77598002547699996</c:v>
                </c:pt>
                <c:pt idx="262">
                  <c:v>42.179963679999901</c:v>
                </c:pt>
                <c:pt idx="263">
                  <c:v>-1.73129169315333</c:v>
                </c:pt>
                <c:pt idx="264">
                  <c:v>-2.8045583428533298</c:v>
                </c:pt>
                <c:pt idx="265">
                  <c:v>0.83620649142699599</c:v>
                </c:pt>
                <c:pt idx="266">
                  <c:v>-2.0735337695529799</c:v>
                </c:pt>
                <c:pt idx="267">
                  <c:v>1.105653242022</c:v>
                </c:pt>
                <c:pt idx="268">
                  <c:v>9.9550560653863194</c:v>
                </c:pt>
                <c:pt idx="269">
                  <c:v>2.27115379430301</c:v>
                </c:pt>
                <c:pt idx="270">
                  <c:v>0.50928245141399797</c:v>
                </c:pt>
                <c:pt idx="271">
                  <c:v>5.0310282037112897</c:v>
                </c:pt>
                <c:pt idx="272">
                  <c:v>-1.7785921472614901</c:v>
                </c:pt>
                <c:pt idx="273">
                  <c:v>26.639387825020101</c:v>
                </c:pt>
                <c:pt idx="274">
                  <c:v>-0.87566372494900602</c:v>
                </c:pt>
                <c:pt idx="275">
                  <c:v>9.8514913592928597</c:v>
                </c:pt>
                <c:pt idx="276">
                  <c:v>12.856749227789299</c:v>
                </c:pt>
                <c:pt idx="277">
                  <c:v>21.683730858358199</c:v>
                </c:pt>
                <c:pt idx="278">
                  <c:v>8.7993795848225407</c:v>
                </c:pt>
                <c:pt idx="279">
                  <c:v>0.87074429485599902</c:v>
                </c:pt>
                <c:pt idx="280">
                  <c:v>0.16715381517633299</c:v>
                </c:pt>
                <c:pt idx="281">
                  <c:v>5.4942410783533502</c:v>
                </c:pt>
                <c:pt idx="282">
                  <c:v>5.3058111992250101</c:v>
                </c:pt>
                <c:pt idx="283">
                  <c:v>2.0270723844886702</c:v>
                </c:pt>
                <c:pt idx="284">
                  <c:v>4.6930825487390297</c:v>
                </c:pt>
                <c:pt idx="285">
                  <c:v>3.2816482766760098</c:v>
                </c:pt>
                <c:pt idx="286">
                  <c:v>0.52097859938699698</c:v>
                </c:pt>
                <c:pt idx="287">
                  <c:v>9.2438026279185301</c:v>
                </c:pt>
                <c:pt idx="288">
                  <c:v>-0.93862656132800304</c:v>
                </c:pt>
                <c:pt idx="289">
                  <c:v>19.936623460000099</c:v>
                </c:pt>
                <c:pt idx="290">
                  <c:v>9.5083684527719399</c:v>
                </c:pt>
                <c:pt idx="291">
                  <c:v>-1.4446385839409801</c:v>
                </c:pt>
                <c:pt idx="292">
                  <c:v>3.95812662169249</c:v>
                </c:pt>
                <c:pt idx="293">
                  <c:v>12.0434225346962</c:v>
                </c:pt>
                <c:pt idx="294">
                  <c:v>26.599390240919799</c:v>
                </c:pt>
                <c:pt idx="295">
                  <c:v>-3.5755002293739802</c:v>
                </c:pt>
                <c:pt idx="296">
                  <c:v>-0.83952231295699598</c:v>
                </c:pt>
                <c:pt idx="297">
                  <c:v>-0.59261810337333698</c:v>
                </c:pt>
                <c:pt idx="298">
                  <c:v>36.201781542849602</c:v>
                </c:pt>
                <c:pt idx="299">
                  <c:v>4.0801498393689597</c:v>
                </c:pt>
                <c:pt idx="300">
                  <c:v>-3.1594994622099799</c:v>
                </c:pt>
                <c:pt idx="301">
                  <c:v>-1.03827827611499</c:v>
                </c:pt>
                <c:pt idx="302">
                  <c:v>1.7634504809589799</c:v>
                </c:pt>
                <c:pt idx="303">
                  <c:v>12.7706811661904</c:v>
                </c:pt>
                <c:pt idx="304">
                  <c:v>-1.8720725370659901</c:v>
                </c:pt>
                <c:pt idx="305">
                  <c:v>-2.23618128721</c:v>
                </c:pt>
                <c:pt idx="306">
                  <c:v>9.53394686385802</c:v>
                </c:pt>
                <c:pt idx="307">
                  <c:v>49.486886004190097</c:v>
                </c:pt>
                <c:pt idx="308">
                  <c:v>5.0373800083444102</c:v>
                </c:pt>
                <c:pt idx="309">
                  <c:v>16.143248356119901</c:v>
                </c:pt>
                <c:pt idx="310">
                  <c:v>0.53225618551556897</c:v>
                </c:pt>
                <c:pt idx="311">
                  <c:v>8.2661003399999797E-3</c:v>
                </c:pt>
                <c:pt idx="312">
                  <c:v>86.831721080000705</c:v>
                </c:pt>
                <c:pt idx="313">
                  <c:v>7.6763604575319402</c:v>
                </c:pt>
                <c:pt idx="314">
                  <c:v>31.8102357700004</c:v>
                </c:pt>
                <c:pt idx="315">
                  <c:v>2.1967643781374999</c:v>
                </c:pt>
                <c:pt idx="316">
                  <c:v>4.6713749844030197</c:v>
                </c:pt>
                <c:pt idx="317">
                  <c:v>21.523405527272999</c:v>
                </c:pt>
                <c:pt idx="318">
                  <c:v>42.008338293270299</c:v>
                </c:pt>
                <c:pt idx="319">
                  <c:v>42.202981017179802</c:v>
                </c:pt>
                <c:pt idx="320">
                  <c:v>-0.971719957243668</c:v>
                </c:pt>
                <c:pt idx="321">
                  <c:v>-1.9085256270928199</c:v>
                </c:pt>
                <c:pt idx="322">
                  <c:v>4.7902578691039901</c:v>
                </c:pt>
                <c:pt idx="323">
                  <c:v>85.296061619999804</c:v>
                </c:pt>
                <c:pt idx="324">
                  <c:v>4.48625094441595</c:v>
                </c:pt>
                <c:pt idx="325">
                  <c:v>31.8102357700004</c:v>
                </c:pt>
                <c:pt idx="326">
                  <c:v>-1.7585856616619899</c:v>
                </c:pt>
                <c:pt idx="327">
                  <c:v>1.3606345097343699</c:v>
                </c:pt>
                <c:pt idx="328">
                  <c:v>1.76503828616898</c:v>
                </c:pt>
                <c:pt idx="329">
                  <c:v>0.22534708018499999</c:v>
                </c:pt>
                <c:pt idx="330">
                  <c:v>1.15560946491546</c:v>
                </c:pt>
                <c:pt idx="331">
                  <c:v>-2.6255597826329899</c:v>
                </c:pt>
                <c:pt idx="332">
                  <c:v>36.254887652859701</c:v>
                </c:pt>
                <c:pt idx="333">
                  <c:v>1.8509221760103201</c:v>
                </c:pt>
                <c:pt idx="334">
                  <c:v>42.179789920719898</c:v>
                </c:pt>
                <c:pt idx="335">
                  <c:v>0.65479578363999602</c:v>
                </c:pt>
                <c:pt idx="336">
                  <c:v>21.081002585909101</c:v>
                </c:pt>
                <c:pt idx="337">
                  <c:v>0.91378203311710804</c:v>
                </c:pt>
                <c:pt idx="338">
                  <c:v>1.2197960753349899</c:v>
                </c:pt>
                <c:pt idx="339">
                  <c:v>-3.9107926685760002</c:v>
                </c:pt>
                <c:pt idx="340">
                  <c:v>3.8531958057E-2</c:v>
                </c:pt>
                <c:pt idx="341">
                  <c:v>-2.14431221222199</c:v>
                </c:pt>
                <c:pt idx="342">
                  <c:v>86.831721080000705</c:v>
                </c:pt>
                <c:pt idx="343">
                  <c:v>0.70386362934566005</c:v>
                </c:pt>
                <c:pt idx="344">
                  <c:v>4.9325220285666799E-2</c:v>
                </c:pt>
                <c:pt idx="345">
                  <c:v>42.191339406589897</c:v>
                </c:pt>
                <c:pt idx="346">
                  <c:v>2.3797790109360002</c:v>
                </c:pt>
                <c:pt idx="347">
                  <c:v>1.56489093728299</c:v>
                </c:pt>
                <c:pt idx="348">
                  <c:v>1.7092329462689999</c:v>
                </c:pt>
                <c:pt idx="349">
                  <c:v>13.183510852110199</c:v>
                </c:pt>
                <c:pt idx="350">
                  <c:v>0.46870240282600001</c:v>
                </c:pt>
                <c:pt idx="351">
                  <c:v>21.074445547794099</c:v>
                </c:pt>
                <c:pt idx="352">
                  <c:v>2.4963075298348301</c:v>
                </c:pt>
                <c:pt idx="353">
                  <c:v>-3.678859700506</c:v>
                </c:pt>
                <c:pt idx="354">
                  <c:v>-2.1220304561133099</c:v>
                </c:pt>
                <c:pt idx="355">
                  <c:v>-2.8688663742560099</c:v>
                </c:pt>
                <c:pt idx="356">
                  <c:v>7.6444909398989402</c:v>
                </c:pt>
                <c:pt idx="357">
                  <c:v>-1.3934972538949899</c:v>
                </c:pt>
                <c:pt idx="358">
                  <c:v>-0.107573535781333</c:v>
                </c:pt>
                <c:pt idx="359">
                  <c:v>0.80120565222946505</c:v>
                </c:pt>
                <c:pt idx="360">
                  <c:v>19.936623460000099</c:v>
                </c:pt>
                <c:pt idx="361">
                  <c:v>5.2049139789410104</c:v>
                </c:pt>
                <c:pt idx="362">
                  <c:v>-2.45216198725698</c:v>
                </c:pt>
                <c:pt idx="363">
                  <c:v>4.8682460047209899</c:v>
                </c:pt>
                <c:pt idx="364">
                  <c:v>4.2080062541182697</c:v>
                </c:pt>
                <c:pt idx="365">
                  <c:v>-2.97298157142701</c:v>
                </c:pt>
                <c:pt idx="366">
                  <c:v>3.80837344718798</c:v>
                </c:pt>
                <c:pt idx="367">
                  <c:v>-1.66385737787266</c:v>
                </c:pt>
                <c:pt idx="368">
                  <c:v>42.050411104660199</c:v>
                </c:pt>
                <c:pt idx="369">
                  <c:v>19.936623460000099</c:v>
                </c:pt>
                <c:pt idx="370">
                  <c:v>0.60993194252133098</c:v>
                </c:pt>
                <c:pt idx="371">
                  <c:v>-0.64320714820333502</c:v>
                </c:pt>
                <c:pt idx="372">
                  <c:v>1.51293385478499</c:v>
                </c:pt>
                <c:pt idx="373">
                  <c:v>1.0916252849829899</c:v>
                </c:pt>
                <c:pt idx="374">
                  <c:v>3.21925210532179</c:v>
                </c:pt>
                <c:pt idx="375">
                  <c:v>1.47978737078199</c:v>
                </c:pt>
                <c:pt idx="376">
                  <c:v>18.6655028026079</c:v>
                </c:pt>
                <c:pt idx="377">
                  <c:v>-2.3865178016839899</c:v>
                </c:pt>
                <c:pt idx="378">
                  <c:v>26.550152488829799</c:v>
                </c:pt>
                <c:pt idx="379">
                  <c:v>16.145588526079901</c:v>
                </c:pt>
                <c:pt idx="380">
                  <c:v>-1.28416282235067</c:v>
                </c:pt>
                <c:pt idx="381">
                  <c:v>86.831721080000705</c:v>
                </c:pt>
                <c:pt idx="382">
                  <c:v>9.0909631664614494</c:v>
                </c:pt>
                <c:pt idx="383">
                  <c:v>0.55334348727790506</c:v>
                </c:pt>
                <c:pt idx="384">
                  <c:v>2.22116039873986</c:v>
                </c:pt>
                <c:pt idx="385">
                  <c:v>0.79820485234966998</c:v>
                </c:pt>
                <c:pt idx="386">
                  <c:v>9.8323960974732092</c:v>
                </c:pt>
                <c:pt idx="387">
                  <c:v>3.9742556871988102</c:v>
                </c:pt>
                <c:pt idx="388">
                  <c:v>1.9761721462112101</c:v>
                </c:pt>
                <c:pt idx="389">
                  <c:v>1.4791803986295</c:v>
                </c:pt>
                <c:pt idx="390">
                  <c:v>21.6914547584411</c:v>
                </c:pt>
                <c:pt idx="391">
                  <c:v>-2.49600556683033</c:v>
                </c:pt>
                <c:pt idx="392">
                  <c:v>1.0555836937499701</c:v>
                </c:pt>
                <c:pt idx="393">
                  <c:v>5.3949952167290203</c:v>
                </c:pt>
                <c:pt idx="394">
                  <c:v>2.0601181381939901</c:v>
                </c:pt>
                <c:pt idx="395">
                  <c:v>-2.3549618503689902</c:v>
                </c:pt>
                <c:pt idx="396">
                  <c:v>-2.4704708347269899</c:v>
                </c:pt>
                <c:pt idx="397">
                  <c:v>9.2311303925389492</c:v>
                </c:pt>
                <c:pt idx="398">
                  <c:v>10.274233021362701</c:v>
                </c:pt>
                <c:pt idx="399">
                  <c:v>-0.87919114974899804</c:v>
                </c:pt>
                <c:pt idx="400">
                  <c:v>-3.33704634317301</c:v>
                </c:pt>
                <c:pt idx="401">
                  <c:v>8.5777128863820806</c:v>
                </c:pt>
                <c:pt idx="402">
                  <c:v>-0.30296143930199898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B3-4846-91FD-647F4EEA7833}"/>
            </c:ext>
          </c:extLst>
        </c:ser>
        <c:ser>
          <c:idx val="6"/>
          <c:order val="5"/>
          <c:tx>
            <c:v>MLR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dim_training!$O$2:$O$404</c:f>
              <c:numCache>
                <c:formatCode>0.000</c:formatCode>
                <c:ptCount val="403"/>
                <c:pt idx="0">
                  <c:v>-0.41561557716360031</c:v>
                </c:pt>
                <c:pt idx="1">
                  <c:v>17.676291315549697</c:v>
                </c:pt>
                <c:pt idx="2">
                  <c:v>7.8519807126284329</c:v>
                </c:pt>
                <c:pt idx="3">
                  <c:v>19.152216304242209</c:v>
                </c:pt>
                <c:pt idx="4">
                  <c:v>2.4460115370118976</c:v>
                </c:pt>
                <c:pt idx="5">
                  <c:v>-0.46988654067305635</c:v>
                </c:pt>
                <c:pt idx="6">
                  <c:v>28.663813144734256</c:v>
                </c:pt>
                <c:pt idx="7">
                  <c:v>-0.28526186541965082</c:v>
                </c:pt>
                <c:pt idx="8">
                  <c:v>18.509527024617842</c:v>
                </c:pt>
                <c:pt idx="9">
                  <c:v>4.9377016516643977</c:v>
                </c:pt>
                <c:pt idx="10">
                  <c:v>7.7432652937761643</c:v>
                </c:pt>
                <c:pt idx="11">
                  <c:v>9.1511598593368948</c:v>
                </c:pt>
                <c:pt idx="12">
                  <c:v>-1.5797486666497795</c:v>
                </c:pt>
                <c:pt idx="13">
                  <c:v>5.0614115938726325</c:v>
                </c:pt>
                <c:pt idx="14">
                  <c:v>-15.771120974779006</c:v>
                </c:pt>
                <c:pt idx="15">
                  <c:v>-1.2628391323058816</c:v>
                </c:pt>
                <c:pt idx="16">
                  <c:v>1.4657025868722888</c:v>
                </c:pt>
                <c:pt idx="17">
                  <c:v>47.159959663516133</c:v>
                </c:pt>
                <c:pt idx="18">
                  <c:v>18.334032359132433</c:v>
                </c:pt>
                <c:pt idx="19">
                  <c:v>-5.3159001041643208</c:v>
                </c:pt>
                <c:pt idx="20">
                  <c:v>-1.9150271935585295</c:v>
                </c:pt>
                <c:pt idx="21">
                  <c:v>-2.3112576408814824</c:v>
                </c:pt>
                <c:pt idx="22">
                  <c:v>-6.9800134110159711</c:v>
                </c:pt>
                <c:pt idx="23">
                  <c:v>14.729440858900368</c:v>
                </c:pt>
                <c:pt idx="24">
                  <c:v>-8.3147890264419502</c:v>
                </c:pt>
                <c:pt idx="25">
                  <c:v>3.2089731576992531</c:v>
                </c:pt>
                <c:pt idx="26">
                  <c:v>10.773746997256698</c:v>
                </c:pt>
                <c:pt idx="27">
                  <c:v>37.608402620359328</c:v>
                </c:pt>
                <c:pt idx="28">
                  <c:v>32.132526307471252</c:v>
                </c:pt>
                <c:pt idx="29">
                  <c:v>30.98892853350241</c:v>
                </c:pt>
                <c:pt idx="30">
                  <c:v>31.753061809638066</c:v>
                </c:pt>
                <c:pt idx="31">
                  <c:v>3.8895147745188727</c:v>
                </c:pt>
                <c:pt idx="32">
                  <c:v>23.177988979556297</c:v>
                </c:pt>
                <c:pt idx="33">
                  <c:v>37.895431612922515</c:v>
                </c:pt>
                <c:pt idx="34">
                  <c:v>10.946139878736503</c:v>
                </c:pt>
                <c:pt idx="35">
                  <c:v>12.874922355007779</c:v>
                </c:pt>
                <c:pt idx="36">
                  <c:v>13.98175978848068</c:v>
                </c:pt>
                <c:pt idx="37">
                  <c:v>6.364117525616475E-2</c:v>
                </c:pt>
                <c:pt idx="38">
                  <c:v>3.2492276932393347</c:v>
                </c:pt>
                <c:pt idx="39">
                  <c:v>3.4905801118909263</c:v>
                </c:pt>
                <c:pt idx="40">
                  <c:v>9.6604500385537335</c:v>
                </c:pt>
                <c:pt idx="41">
                  <c:v>6.2301102221995208</c:v>
                </c:pt>
                <c:pt idx="42">
                  <c:v>11.391896260332564</c:v>
                </c:pt>
                <c:pt idx="43">
                  <c:v>-1.2170992260140796</c:v>
                </c:pt>
                <c:pt idx="44">
                  <c:v>7.6717648788542352</c:v>
                </c:pt>
                <c:pt idx="45">
                  <c:v>47.100509616019394</c:v>
                </c:pt>
                <c:pt idx="46">
                  <c:v>-15.977222650854998</c:v>
                </c:pt>
                <c:pt idx="47">
                  <c:v>5.5414377486026343</c:v>
                </c:pt>
                <c:pt idx="48">
                  <c:v>13.836292301417123</c:v>
                </c:pt>
                <c:pt idx="49">
                  <c:v>-8.5299793619079942</c:v>
                </c:pt>
                <c:pt idx="50">
                  <c:v>-10.23806788795893</c:v>
                </c:pt>
                <c:pt idx="51">
                  <c:v>-1.2692914701959248</c:v>
                </c:pt>
                <c:pt idx="52">
                  <c:v>0.27096787778824805</c:v>
                </c:pt>
                <c:pt idx="53">
                  <c:v>4.8142115641261176</c:v>
                </c:pt>
                <c:pt idx="54">
                  <c:v>5.5472414707052451</c:v>
                </c:pt>
                <c:pt idx="55">
                  <c:v>17.342869377272052</c:v>
                </c:pt>
                <c:pt idx="56">
                  <c:v>2.2621160608008153</c:v>
                </c:pt>
                <c:pt idx="57">
                  <c:v>3.340187012705107</c:v>
                </c:pt>
                <c:pt idx="58">
                  <c:v>32.157627547202921</c:v>
                </c:pt>
                <c:pt idx="59">
                  <c:v>3.8294592264533871</c:v>
                </c:pt>
                <c:pt idx="60">
                  <c:v>0.55883165977976379</c:v>
                </c:pt>
                <c:pt idx="61">
                  <c:v>-6.353684074817056</c:v>
                </c:pt>
                <c:pt idx="62">
                  <c:v>1.5481331711754853</c:v>
                </c:pt>
                <c:pt idx="63">
                  <c:v>-9.3692890725059605</c:v>
                </c:pt>
                <c:pt idx="64">
                  <c:v>11.054849787699153</c:v>
                </c:pt>
                <c:pt idx="65">
                  <c:v>7.3288381080200447</c:v>
                </c:pt>
                <c:pt idx="66">
                  <c:v>46.43691222359562</c:v>
                </c:pt>
                <c:pt idx="67">
                  <c:v>-0.93175263067828507</c:v>
                </c:pt>
                <c:pt idx="68">
                  <c:v>10.670109572658559</c:v>
                </c:pt>
                <c:pt idx="69">
                  <c:v>15.733569209230673</c:v>
                </c:pt>
                <c:pt idx="70">
                  <c:v>6.4147123948658615</c:v>
                </c:pt>
                <c:pt idx="71">
                  <c:v>7.8594876289030493</c:v>
                </c:pt>
                <c:pt idx="72">
                  <c:v>18.986699742031867</c:v>
                </c:pt>
                <c:pt idx="73">
                  <c:v>23.377512929478481</c:v>
                </c:pt>
                <c:pt idx="74">
                  <c:v>-15.142961691293657</c:v>
                </c:pt>
                <c:pt idx="75">
                  <c:v>15.612385911423386</c:v>
                </c:pt>
                <c:pt idx="76">
                  <c:v>11.105324206511195</c:v>
                </c:pt>
                <c:pt idx="77">
                  <c:v>3.580574645216962</c:v>
                </c:pt>
                <c:pt idx="78">
                  <c:v>-11.675308242400867</c:v>
                </c:pt>
                <c:pt idx="79">
                  <c:v>10.615215954054232</c:v>
                </c:pt>
                <c:pt idx="80">
                  <c:v>-0.63577219612690428</c:v>
                </c:pt>
                <c:pt idx="81">
                  <c:v>-0.80917240664346579</c:v>
                </c:pt>
                <c:pt idx="82">
                  <c:v>0.44065070249193505</c:v>
                </c:pt>
                <c:pt idx="83">
                  <c:v>-0.64691257061972252</c:v>
                </c:pt>
                <c:pt idx="84">
                  <c:v>5.615395132491841</c:v>
                </c:pt>
                <c:pt idx="85">
                  <c:v>23.6138401100512</c:v>
                </c:pt>
                <c:pt idx="86">
                  <c:v>37.882052858629592</c:v>
                </c:pt>
                <c:pt idx="87">
                  <c:v>-3.7661104824539988</c:v>
                </c:pt>
                <c:pt idx="88">
                  <c:v>2.1333469817905417</c:v>
                </c:pt>
                <c:pt idx="89">
                  <c:v>4.1094611445982299</c:v>
                </c:pt>
                <c:pt idx="90">
                  <c:v>11.019276173857758</c:v>
                </c:pt>
                <c:pt idx="91">
                  <c:v>46.228163904292629</c:v>
                </c:pt>
                <c:pt idx="92">
                  <c:v>14.525113449025321</c:v>
                </c:pt>
                <c:pt idx="93">
                  <c:v>9.6828923232896695</c:v>
                </c:pt>
                <c:pt idx="94">
                  <c:v>1.8020612123394599</c:v>
                </c:pt>
                <c:pt idx="95">
                  <c:v>2.8107011800781816</c:v>
                </c:pt>
                <c:pt idx="96">
                  <c:v>0.12949472956196129</c:v>
                </c:pt>
                <c:pt idx="97">
                  <c:v>-15.443846676502801</c:v>
                </c:pt>
                <c:pt idx="98">
                  <c:v>1.2464518332233094</c:v>
                </c:pt>
                <c:pt idx="99">
                  <c:v>19.034386687985663</c:v>
                </c:pt>
                <c:pt idx="100">
                  <c:v>1.4227100039715737</c:v>
                </c:pt>
                <c:pt idx="101">
                  <c:v>0.10781063237947208</c:v>
                </c:pt>
                <c:pt idx="102">
                  <c:v>3.1311232315317219</c:v>
                </c:pt>
                <c:pt idx="103">
                  <c:v>-5.0293733254162092</c:v>
                </c:pt>
                <c:pt idx="104">
                  <c:v>6.2008183339913598</c:v>
                </c:pt>
                <c:pt idx="105">
                  <c:v>9.0764102886016147</c:v>
                </c:pt>
                <c:pt idx="106">
                  <c:v>27.943685211244926</c:v>
                </c:pt>
                <c:pt idx="107">
                  <c:v>4.2304163483723736</c:v>
                </c:pt>
                <c:pt idx="108">
                  <c:v>18.372426617412323</c:v>
                </c:pt>
                <c:pt idx="109">
                  <c:v>2.6312018812685509</c:v>
                </c:pt>
                <c:pt idx="110">
                  <c:v>28.819132182610254</c:v>
                </c:pt>
                <c:pt idx="111">
                  <c:v>-14.692716015198172</c:v>
                </c:pt>
                <c:pt idx="112">
                  <c:v>18.409956583270592</c:v>
                </c:pt>
                <c:pt idx="113">
                  <c:v>31.072427861223609</c:v>
                </c:pt>
                <c:pt idx="114">
                  <c:v>1.9759160495617731</c:v>
                </c:pt>
                <c:pt idx="115">
                  <c:v>32.069101892696317</c:v>
                </c:pt>
                <c:pt idx="116">
                  <c:v>0.12014106603938401</c:v>
                </c:pt>
                <c:pt idx="117">
                  <c:v>-1.4756837749815892</c:v>
                </c:pt>
                <c:pt idx="118">
                  <c:v>2.9941088863237142</c:v>
                </c:pt>
                <c:pt idx="119">
                  <c:v>0.85439151825950654</c:v>
                </c:pt>
                <c:pt idx="120">
                  <c:v>12.74703610837803</c:v>
                </c:pt>
                <c:pt idx="121">
                  <c:v>-5.6331769837511363</c:v>
                </c:pt>
                <c:pt idx="122">
                  <c:v>4.6295373133467619</c:v>
                </c:pt>
                <c:pt idx="123">
                  <c:v>-9.4500042848865888</c:v>
                </c:pt>
                <c:pt idx="124">
                  <c:v>11.352501849439353</c:v>
                </c:pt>
                <c:pt idx="125">
                  <c:v>14.714470684416172</c:v>
                </c:pt>
                <c:pt idx="126">
                  <c:v>-15.132034628831072</c:v>
                </c:pt>
                <c:pt idx="127">
                  <c:v>0.74528994110069213</c:v>
                </c:pt>
                <c:pt idx="128">
                  <c:v>9.8289900197802709</c:v>
                </c:pt>
                <c:pt idx="129">
                  <c:v>32.253656060853778</c:v>
                </c:pt>
                <c:pt idx="130">
                  <c:v>-8.7548306096753024</c:v>
                </c:pt>
                <c:pt idx="131">
                  <c:v>4.9462720134732336</c:v>
                </c:pt>
                <c:pt idx="132">
                  <c:v>-13.078597297016671</c:v>
                </c:pt>
                <c:pt idx="133">
                  <c:v>-6.054710964596044</c:v>
                </c:pt>
                <c:pt idx="134">
                  <c:v>24.925754138560929</c:v>
                </c:pt>
                <c:pt idx="135">
                  <c:v>-4.1442838779786548</c:v>
                </c:pt>
                <c:pt idx="136">
                  <c:v>23.707405654356968</c:v>
                </c:pt>
                <c:pt idx="137">
                  <c:v>2.3313870658658256</c:v>
                </c:pt>
                <c:pt idx="138">
                  <c:v>0.71929151287155557</c:v>
                </c:pt>
                <c:pt idx="139">
                  <c:v>9.6580290162073688</c:v>
                </c:pt>
                <c:pt idx="140">
                  <c:v>19.711693389698244</c:v>
                </c:pt>
                <c:pt idx="141">
                  <c:v>5.5486392667607216</c:v>
                </c:pt>
                <c:pt idx="142">
                  <c:v>-2.5184782952624705</c:v>
                </c:pt>
                <c:pt idx="143">
                  <c:v>5.861062214668844</c:v>
                </c:pt>
                <c:pt idx="144">
                  <c:v>28.925226912845677</c:v>
                </c:pt>
                <c:pt idx="145">
                  <c:v>3.496398486344054</c:v>
                </c:pt>
                <c:pt idx="146">
                  <c:v>-4.8369462533763325</c:v>
                </c:pt>
                <c:pt idx="147">
                  <c:v>-5.2177184760237409</c:v>
                </c:pt>
                <c:pt idx="148">
                  <c:v>2.2069233487371891</c:v>
                </c:pt>
                <c:pt idx="149">
                  <c:v>4.8200299385792471</c:v>
                </c:pt>
                <c:pt idx="150">
                  <c:v>38.136123290868355</c:v>
                </c:pt>
                <c:pt idx="151">
                  <c:v>-8.3607948959561309</c:v>
                </c:pt>
                <c:pt idx="152">
                  <c:v>-1.3107825852997284</c:v>
                </c:pt>
                <c:pt idx="153">
                  <c:v>1.9183246626933848</c:v>
                </c:pt>
                <c:pt idx="154">
                  <c:v>-5.0599492738475575</c:v>
                </c:pt>
                <c:pt idx="155">
                  <c:v>7.6332204301836208</c:v>
                </c:pt>
                <c:pt idx="156">
                  <c:v>-4.8787387849517287</c:v>
                </c:pt>
                <c:pt idx="157">
                  <c:v>-7.4646088973634797</c:v>
                </c:pt>
                <c:pt idx="158">
                  <c:v>2.2765898825948763</c:v>
                </c:pt>
                <c:pt idx="159">
                  <c:v>47.184008943740594</c:v>
                </c:pt>
                <c:pt idx="160">
                  <c:v>-10.272686825465689</c:v>
                </c:pt>
                <c:pt idx="161">
                  <c:v>17.130245862457731</c:v>
                </c:pt>
                <c:pt idx="162">
                  <c:v>1.0711795082746995</c:v>
                </c:pt>
                <c:pt idx="163">
                  <c:v>14.538449335603451</c:v>
                </c:pt>
                <c:pt idx="164">
                  <c:v>-3.6357285102329868</c:v>
                </c:pt>
                <c:pt idx="165">
                  <c:v>19.613116171115148</c:v>
                </c:pt>
                <c:pt idx="166">
                  <c:v>14.069378027518114</c:v>
                </c:pt>
                <c:pt idx="167">
                  <c:v>12.129001410873077</c:v>
                </c:pt>
                <c:pt idx="168">
                  <c:v>-10.779624694586509</c:v>
                </c:pt>
                <c:pt idx="169">
                  <c:v>6.0002268126731551</c:v>
                </c:pt>
                <c:pt idx="170">
                  <c:v>8.3121374480515815</c:v>
                </c:pt>
                <c:pt idx="171">
                  <c:v>8.2810699667037362</c:v>
                </c:pt>
                <c:pt idx="172">
                  <c:v>-5.6071319937640389</c:v>
                </c:pt>
                <c:pt idx="173">
                  <c:v>13.915729911004364</c:v>
                </c:pt>
                <c:pt idx="174">
                  <c:v>-12.68618228707021</c:v>
                </c:pt>
                <c:pt idx="175">
                  <c:v>10.601990615679995</c:v>
                </c:pt>
                <c:pt idx="176">
                  <c:v>4.0777066139280134</c:v>
                </c:pt>
                <c:pt idx="177">
                  <c:v>24.402151631626133</c:v>
                </c:pt>
                <c:pt idx="178">
                  <c:v>-12.466125731264848</c:v>
                </c:pt>
                <c:pt idx="179">
                  <c:v>-11.592192894049317</c:v>
                </c:pt>
                <c:pt idx="180">
                  <c:v>-13.928112877661491</c:v>
                </c:pt>
                <c:pt idx="181">
                  <c:v>9.0732627839206508</c:v>
                </c:pt>
                <c:pt idx="182">
                  <c:v>-2.4680671772864864</c:v>
                </c:pt>
                <c:pt idx="183">
                  <c:v>17.576821660730989</c:v>
                </c:pt>
                <c:pt idx="184">
                  <c:v>8.0434285485344432</c:v>
                </c:pt>
                <c:pt idx="185">
                  <c:v>8.1910505625414043</c:v>
                </c:pt>
                <c:pt idx="186">
                  <c:v>3.8602024290152013</c:v>
                </c:pt>
                <c:pt idx="187">
                  <c:v>2.9289837482640211</c:v>
                </c:pt>
                <c:pt idx="188">
                  <c:v>36.567704080440109</c:v>
                </c:pt>
                <c:pt idx="189">
                  <c:v>12.625994905111218</c:v>
                </c:pt>
                <c:pt idx="190">
                  <c:v>27.628046493481314</c:v>
                </c:pt>
                <c:pt idx="191">
                  <c:v>11.538391796934123</c:v>
                </c:pt>
                <c:pt idx="192">
                  <c:v>17.099369115672612</c:v>
                </c:pt>
                <c:pt idx="193">
                  <c:v>-7.7337442347077721</c:v>
                </c:pt>
                <c:pt idx="194">
                  <c:v>-4.3066640954386104</c:v>
                </c:pt>
                <c:pt idx="195">
                  <c:v>31.114177525084209</c:v>
                </c:pt>
                <c:pt idx="196">
                  <c:v>0.97173666689866689</c:v>
                </c:pt>
                <c:pt idx="197">
                  <c:v>-7.0211273552364446</c:v>
                </c:pt>
                <c:pt idx="198">
                  <c:v>-1.7845829146483689</c:v>
                </c:pt>
                <c:pt idx="199">
                  <c:v>18.663591978953953</c:v>
                </c:pt>
                <c:pt idx="200">
                  <c:v>27.626390224627137</c:v>
                </c:pt>
                <c:pt idx="201">
                  <c:v>0.3446075371207864</c:v>
                </c:pt>
                <c:pt idx="202">
                  <c:v>9.9834448369424909</c:v>
                </c:pt>
                <c:pt idx="203">
                  <c:v>15.070400138371159</c:v>
                </c:pt>
                <c:pt idx="204">
                  <c:v>18.496126432276171</c:v>
                </c:pt>
                <c:pt idx="205">
                  <c:v>7.9496688396614559</c:v>
                </c:pt>
                <c:pt idx="206">
                  <c:v>11.218950626662425</c:v>
                </c:pt>
                <c:pt idx="207">
                  <c:v>-10.946310230946398</c:v>
                </c:pt>
                <c:pt idx="208">
                  <c:v>14.020067984290389</c:v>
                </c:pt>
                <c:pt idx="209">
                  <c:v>7.9329064644235405</c:v>
                </c:pt>
                <c:pt idx="210">
                  <c:v>23.40798343737087</c:v>
                </c:pt>
                <c:pt idx="211">
                  <c:v>8.3888327289784712</c:v>
                </c:pt>
                <c:pt idx="212">
                  <c:v>18.271343561611783</c:v>
                </c:pt>
                <c:pt idx="213">
                  <c:v>-10.027762474273812</c:v>
                </c:pt>
                <c:pt idx="214">
                  <c:v>11.12324761847826</c:v>
                </c:pt>
                <c:pt idx="215">
                  <c:v>23.342024970014215</c:v>
                </c:pt>
                <c:pt idx="216">
                  <c:v>-5.1823492623546041</c:v>
                </c:pt>
                <c:pt idx="217">
                  <c:v>12.687877001983395</c:v>
                </c:pt>
                <c:pt idx="218">
                  <c:v>12.376677064476517</c:v>
                </c:pt>
                <c:pt idx="219">
                  <c:v>6.886341430364709</c:v>
                </c:pt>
                <c:pt idx="220">
                  <c:v>-11.975688288766463</c:v>
                </c:pt>
                <c:pt idx="221">
                  <c:v>30.905414553430703</c:v>
                </c:pt>
                <c:pt idx="222">
                  <c:v>18.188698830258481</c:v>
                </c:pt>
                <c:pt idx="223">
                  <c:v>7.8661984400644647</c:v>
                </c:pt>
                <c:pt idx="224">
                  <c:v>15.642567022365217</c:v>
                </c:pt>
                <c:pt idx="225">
                  <c:v>10.051231371210651</c:v>
                </c:pt>
                <c:pt idx="226">
                  <c:v>9.1567338961200164</c:v>
                </c:pt>
                <c:pt idx="227">
                  <c:v>18.637614843993077</c:v>
                </c:pt>
                <c:pt idx="228">
                  <c:v>3.5406918506167102</c:v>
                </c:pt>
                <c:pt idx="229">
                  <c:v>1.8078795867925876</c:v>
                </c:pt>
                <c:pt idx="230">
                  <c:v>10.002897629090693</c:v>
                </c:pt>
                <c:pt idx="231">
                  <c:v>0.37446335982417622</c:v>
                </c:pt>
                <c:pt idx="232">
                  <c:v>-0.45404481608969949</c:v>
                </c:pt>
                <c:pt idx="233">
                  <c:v>14.812940186621567</c:v>
                </c:pt>
                <c:pt idx="234">
                  <c:v>14.854689850482163</c:v>
                </c:pt>
                <c:pt idx="235">
                  <c:v>5.1919608177745546</c:v>
                </c:pt>
                <c:pt idx="236">
                  <c:v>28.713755712830775</c:v>
                </c:pt>
                <c:pt idx="237">
                  <c:v>2.9899896476517744</c:v>
                </c:pt>
                <c:pt idx="238">
                  <c:v>-2.6460370620459548</c:v>
                </c:pt>
                <c:pt idx="239">
                  <c:v>2.8941787664199774</c:v>
                </c:pt>
                <c:pt idx="240">
                  <c:v>1.9578780921948855</c:v>
                </c:pt>
                <c:pt idx="241">
                  <c:v>7.7751962530414547</c:v>
                </c:pt>
                <c:pt idx="242">
                  <c:v>10.042778228882431</c:v>
                </c:pt>
                <c:pt idx="243">
                  <c:v>-0.84845910147408787</c:v>
                </c:pt>
                <c:pt idx="244">
                  <c:v>2.8828192564182631</c:v>
                </c:pt>
                <c:pt idx="245">
                  <c:v>3.6473398119616287</c:v>
                </c:pt>
                <c:pt idx="246">
                  <c:v>-3.2784673948188532</c:v>
                </c:pt>
                <c:pt idx="247">
                  <c:v>-8.9968717793288562</c:v>
                </c:pt>
                <c:pt idx="248">
                  <c:v>-5.6070303181334973</c:v>
                </c:pt>
                <c:pt idx="249">
                  <c:v>5.5844179980841737</c:v>
                </c:pt>
                <c:pt idx="250">
                  <c:v>16.680851437529064</c:v>
                </c:pt>
                <c:pt idx="251">
                  <c:v>12.097174707944587</c:v>
                </c:pt>
                <c:pt idx="252">
                  <c:v>7.7449644303451395</c:v>
                </c:pt>
                <c:pt idx="253">
                  <c:v>1.0905761883052145</c:v>
                </c:pt>
                <c:pt idx="254">
                  <c:v>0.53158008672116974</c:v>
                </c:pt>
                <c:pt idx="255">
                  <c:v>0.7598174163834619</c:v>
                </c:pt>
                <c:pt idx="256">
                  <c:v>12.941311784625283</c:v>
                </c:pt>
                <c:pt idx="257">
                  <c:v>9.4037468782823463</c:v>
                </c:pt>
                <c:pt idx="258">
                  <c:v>-2.13399670762655</c:v>
                </c:pt>
                <c:pt idx="259">
                  <c:v>6.0747553857522982</c:v>
                </c:pt>
                <c:pt idx="260">
                  <c:v>-8.9518095777598994</c:v>
                </c:pt>
                <c:pt idx="261">
                  <c:v>2.6065678114366504</c:v>
                </c:pt>
                <c:pt idx="262">
                  <c:v>25.110813167217117</c:v>
                </c:pt>
                <c:pt idx="263">
                  <c:v>-4.3420442360739457</c:v>
                </c:pt>
                <c:pt idx="264">
                  <c:v>0.44689069983288299</c:v>
                </c:pt>
                <c:pt idx="265">
                  <c:v>-3.8461495541206938</c:v>
                </c:pt>
                <c:pt idx="266">
                  <c:v>-6.1901964438177082E-2</c:v>
                </c:pt>
                <c:pt idx="267">
                  <c:v>0.33385462433427371</c:v>
                </c:pt>
                <c:pt idx="268">
                  <c:v>18.525267961727316</c:v>
                </c:pt>
                <c:pt idx="269">
                  <c:v>0.30944290086576309</c:v>
                </c:pt>
                <c:pt idx="270">
                  <c:v>1.0581492872572082</c:v>
                </c:pt>
                <c:pt idx="271">
                  <c:v>15.584875246928942</c:v>
                </c:pt>
                <c:pt idx="272">
                  <c:v>-3.5868972600131555</c:v>
                </c:pt>
                <c:pt idx="273">
                  <c:v>18.087615774457944</c:v>
                </c:pt>
                <c:pt idx="274">
                  <c:v>-8.8521873959791915</c:v>
                </c:pt>
                <c:pt idx="275">
                  <c:v>18.663895707602041</c:v>
                </c:pt>
                <c:pt idx="276">
                  <c:v>24.546612404777171</c:v>
                </c:pt>
                <c:pt idx="277">
                  <c:v>37.480340423596303</c:v>
                </c:pt>
                <c:pt idx="278">
                  <c:v>17.692939739678629</c:v>
                </c:pt>
                <c:pt idx="279">
                  <c:v>-7.7475780744390272</c:v>
                </c:pt>
                <c:pt idx="280">
                  <c:v>-7.8770951330250183</c:v>
                </c:pt>
                <c:pt idx="281">
                  <c:v>15.471280543853062</c:v>
                </c:pt>
                <c:pt idx="282">
                  <c:v>15.707650592298123</c:v>
                </c:pt>
                <c:pt idx="283">
                  <c:v>9.1674921320224687</c:v>
                </c:pt>
                <c:pt idx="284">
                  <c:v>7.9480092262792894</c:v>
                </c:pt>
                <c:pt idx="285">
                  <c:v>9.6832186959740127</c:v>
                </c:pt>
                <c:pt idx="286">
                  <c:v>-8.7224754953017367</c:v>
                </c:pt>
                <c:pt idx="287">
                  <c:v>14.238204749872015</c:v>
                </c:pt>
                <c:pt idx="288">
                  <c:v>-12.01998228926101</c:v>
                </c:pt>
                <c:pt idx="289">
                  <c:v>10.537607206561168</c:v>
                </c:pt>
                <c:pt idx="290">
                  <c:v>28.405580606581417</c:v>
                </c:pt>
                <c:pt idx="291">
                  <c:v>-0.5647685389813013</c:v>
                </c:pt>
                <c:pt idx="292">
                  <c:v>10.25427339598183</c:v>
                </c:pt>
                <c:pt idx="293">
                  <c:v>23.618909304708954</c:v>
                </c:pt>
                <c:pt idx="294">
                  <c:v>18.125246200119271</c:v>
                </c:pt>
                <c:pt idx="295">
                  <c:v>-2.1164579229580749</c:v>
                </c:pt>
                <c:pt idx="296">
                  <c:v>-13.427680484421444</c:v>
                </c:pt>
                <c:pt idx="297">
                  <c:v>-2.0846866642412705</c:v>
                </c:pt>
                <c:pt idx="298">
                  <c:v>24.722092502392233</c:v>
                </c:pt>
                <c:pt idx="299">
                  <c:v>8.2359264665575047</c:v>
                </c:pt>
                <c:pt idx="300">
                  <c:v>-0.22198834347788843</c:v>
                </c:pt>
                <c:pt idx="301">
                  <c:v>2.5700186808801484</c:v>
                </c:pt>
                <c:pt idx="302">
                  <c:v>8.6280806615641659</c:v>
                </c:pt>
                <c:pt idx="303">
                  <c:v>24.513229820774612</c:v>
                </c:pt>
                <c:pt idx="304">
                  <c:v>-16.079434354431179</c:v>
                </c:pt>
                <c:pt idx="305">
                  <c:v>-6.7807669645992057</c:v>
                </c:pt>
                <c:pt idx="306">
                  <c:v>26.923963763953154</c:v>
                </c:pt>
                <c:pt idx="307">
                  <c:v>31.728060957844054</c:v>
                </c:pt>
                <c:pt idx="308">
                  <c:v>16.807870649074019</c:v>
                </c:pt>
                <c:pt idx="309">
                  <c:v>11.586824056434306</c:v>
                </c:pt>
                <c:pt idx="310">
                  <c:v>6.6238911573054313</c:v>
                </c:pt>
                <c:pt idx="311">
                  <c:v>-2.2845147018080718</c:v>
                </c:pt>
                <c:pt idx="312">
                  <c:v>47.016995635947673</c:v>
                </c:pt>
                <c:pt idx="313">
                  <c:v>11.291555056517588</c:v>
                </c:pt>
                <c:pt idx="314">
                  <c:v>14.505737017463694</c:v>
                </c:pt>
                <c:pt idx="315">
                  <c:v>7.8142354355677046</c:v>
                </c:pt>
                <c:pt idx="316">
                  <c:v>8.0371970589568544</c:v>
                </c:pt>
                <c:pt idx="317">
                  <c:v>37.994946840061402</c:v>
                </c:pt>
                <c:pt idx="318">
                  <c:v>24.986700931640254</c:v>
                </c:pt>
                <c:pt idx="319">
                  <c:v>25.027299187145402</c:v>
                </c:pt>
                <c:pt idx="320">
                  <c:v>2.4705845640757342</c:v>
                </c:pt>
                <c:pt idx="321">
                  <c:v>-1.3687661470260801</c:v>
                </c:pt>
                <c:pt idx="322">
                  <c:v>7.8920312397625016</c:v>
                </c:pt>
                <c:pt idx="323">
                  <c:v>46.311677884364336</c:v>
                </c:pt>
                <c:pt idx="324">
                  <c:v>18.228221952613591</c:v>
                </c:pt>
                <c:pt idx="325">
                  <c:v>14.645956183529687</c:v>
                </c:pt>
                <c:pt idx="326">
                  <c:v>-12.346609378706587</c:v>
                </c:pt>
                <c:pt idx="327">
                  <c:v>5.7524024076109361</c:v>
                </c:pt>
                <c:pt idx="328">
                  <c:v>8.7065683142202488</c:v>
                </c:pt>
                <c:pt idx="329">
                  <c:v>-6.5369053067841927</c:v>
                </c:pt>
                <c:pt idx="330">
                  <c:v>4.1467174374885261</c:v>
                </c:pt>
                <c:pt idx="331">
                  <c:v>1.8254416441596724</c:v>
                </c:pt>
                <c:pt idx="332">
                  <c:v>24.785545132688998</c:v>
                </c:pt>
                <c:pt idx="333">
                  <c:v>4.9835541111052057</c:v>
                </c:pt>
                <c:pt idx="334">
                  <c:v>25.194312494938309</c:v>
                </c:pt>
                <c:pt idx="335">
                  <c:v>2.0579516476727155</c:v>
                </c:pt>
                <c:pt idx="336">
                  <c:v>36.948533812699459</c:v>
                </c:pt>
                <c:pt idx="337">
                  <c:v>4.8409837260078259</c:v>
                </c:pt>
                <c:pt idx="338">
                  <c:v>5.5975790740045692</c:v>
                </c:pt>
                <c:pt idx="339">
                  <c:v>-3.685472331510586</c:v>
                </c:pt>
                <c:pt idx="340">
                  <c:v>6.5248633794005668</c:v>
                </c:pt>
                <c:pt idx="341">
                  <c:v>-3.0524751611853169</c:v>
                </c:pt>
                <c:pt idx="342">
                  <c:v>47.326972971309047</c:v>
                </c:pt>
                <c:pt idx="343">
                  <c:v>-6.2676248848736016E-2</c:v>
                </c:pt>
                <c:pt idx="344">
                  <c:v>6.5690071958018077</c:v>
                </c:pt>
                <c:pt idx="345">
                  <c:v>24.651825837027925</c:v>
                </c:pt>
                <c:pt idx="346">
                  <c:v>-0.3655799633398189</c:v>
                </c:pt>
                <c:pt idx="347">
                  <c:v>-9.6487011111720733</c:v>
                </c:pt>
                <c:pt idx="348">
                  <c:v>-12.427649287034884</c:v>
                </c:pt>
                <c:pt idx="349">
                  <c:v>23.145748316418018</c:v>
                </c:pt>
                <c:pt idx="350">
                  <c:v>-6.263143575594718</c:v>
                </c:pt>
                <c:pt idx="351">
                  <c:v>36.924325009203407</c:v>
                </c:pt>
                <c:pt idx="352">
                  <c:v>10.57860927237828</c:v>
                </c:pt>
                <c:pt idx="353">
                  <c:v>-7.2930450018082738E-3</c:v>
                </c:pt>
                <c:pt idx="354">
                  <c:v>-2.0094780512264876E-2</c:v>
                </c:pt>
                <c:pt idx="355">
                  <c:v>-2.4838516777335435</c:v>
                </c:pt>
                <c:pt idx="356">
                  <c:v>11.24315210171844</c:v>
                </c:pt>
                <c:pt idx="357">
                  <c:v>-6.9375273692968351</c:v>
                </c:pt>
                <c:pt idx="358">
                  <c:v>-3.1793223589443054</c:v>
                </c:pt>
                <c:pt idx="359">
                  <c:v>-3.4486687954231643</c:v>
                </c:pt>
                <c:pt idx="360">
                  <c:v>10.6902476695355</c:v>
                </c:pt>
                <c:pt idx="361">
                  <c:v>16.99624249251994</c:v>
                </c:pt>
                <c:pt idx="362">
                  <c:v>0.475405174838615</c:v>
                </c:pt>
                <c:pt idx="363">
                  <c:v>8.0454784033853031</c:v>
                </c:pt>
                <c:pt idx="364">
                  <c:v>9.4865684356976097</c:v>
                </c:pt>
                <c:pt idx="365">
                  <c:v>-2.5049704045732275</c:v>
                </c:pt>
                <c:pt idx="366">
                  <c:v>8.4422473580549475</c:v>
                </c:pt>
                <c:pt idx="367">
                  <c:v>3.085436182102105</c:v>
                </c:pt>
                <c:pt idx="368">
                  <c:v>24.960792991417669</c:v>
                </c:pt>
                <c:pt idx="369">
                  <c:v>10.454122531190487</c:v>
                </c:pt>
                <c:pt idx="370">
                  <c:v>2.0158751572747251</c:v>
                </c:pt>
                <c:pt idx="371">
                  <c:v>0.84085377507468184</c:v>
                </c:pt>
                <c:pt idx="372">
                  <c:v>-9.1840784922150362</c:v>
                </c:pt>
                <c:pt idx="373">
                  <c:v>6.1695425791100913</c:v>
                </c:pt>
                <c:pt idx="374">
                  <c:v>10.806705432370865</c:v>
                </c:pt>
                <c:pt idx="375">
                  <c:v>5.6171893069219632</c:v>
                </c:pt>
                <c:pt idx="376">
                  <c:v>14.464181308454073</c:v>
                </c:pt>
                <c:pt idx="377">
                  <c:v>-10.6391251937715</c:v>
                </c:pt>
                <c:pt idx="378">
                  <c:v>18.059287732605064</c:v>
                </c:pt>
                <c:pt idx="379">
                  <c:v>11.642744522728224</c:v>
                </c:pt>
                <c:pt idx="380">
                  <c:v>-5.3827736757580693</c:v>
                </c:pt>
                <c:pt idx="381">
                  <c:v>47.368722635169647</c:v>
                </c:pt>
                <c:pt idx="382">
                  <c:v>28.7421694902708</c:v>
                </c:pt>
                <c:pt idx="383">
                  <c:v>0.9701393201889541</c:v>
                </c:pt>
                <c:pt idx="384">
                  <c:v>10.671193940255904</c:v>
                </c:pt>
                <c:pt idx="385">
                  <c:v>5.8991719722368918</c:v>
                </c:pt>
                <c:pt idx="386">
                  <c:v>18.965922383411566</c:v>
                </c:pt>
                <c:pt idx="387">
                  <c:v>10.28765597998439</c:v>
                </c:pt>
                <c:pt idx="388">
                  <c:v>6.0371094652003912</c:v>
                </c:pt>
                <c:pt idx="389">
                  <c:v>8.1381141793691558</c:v>
                </c:pt>
                <c:pt idx="390">
                  <c:v>37.623304451164763</c:v>
                </c:pt>
                <c:pt idx="391">
                  <c:v>3.5038892511514588</c:v>
                </c:pt>
                <c:pt idx="392">
                  <c:v>-0.52060786543635107</c:v>
                </c:pt>
                <c:pt idx="393">
                  <c:v>15.708457292789038</c:v>
                </c:pt>
                <c:pt idx="394">
                  <c:v>-13.064953285544155</c:v>
                </c:pt>
                <c:pt idx="395">
                  <c:v>-2.5988053590715579</c:v>
                </c:pt>
                <c:pt idx="396">
                  <c:v>0.22364740846335529</c:v>
                </c:pt>
                <c:pt idx="397">
                  <c:v>14.174752119575249</c:v>
                </c:pt>
                <c:pt idx="398">
                  <c:v>18.606766312729796</c:v>
                </c:pt>
                <c:pt idx="399">
                  <c:v>0.70703155808141993</c:v>
                </c:pt>
                <c:pt idx="400">
                  <c:v>0.77973077152091319</c:v>
                </c:pt>
                <c:pt idx="401">
                  <c:v>17.732226434194136</c:v>
                </c:pt>
                <c:pt idx="402">
                  <c:v>0.68410609958049662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EB3-4846-91FD-647F4EEA7833}"/>
            </c:ext>
          </c:extLst>
        </c:ser>
        <c:ser>
          <c:idx val="7"/>
          <c:order val="6"/>
          <c:tx>
            <c:v>MNLR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dim_training!$P$2:$P$404</c:f>
              <c:numCache>
                <c:formatCode>0.000</c:formatCode>
                <c:ptCount val="403"/>
                <c:pt idx="0">
                  <c:v>-1.9224670523719283</c:v>
                </c:pt>
                <c:pt idx="1">
                  <c:v>21.850318065033356</c:v>
                </c:pt>
                <c:pt idx="2">
                  <c:v>7.3763255001827268</c:v>
                </c:pt>
                <c:pt idx="3">
                  <c:v>3.4833846931112546</c:v>
                </c:pt>
                <c:pt idx="4">
                  <c:v>2.5388570326609958</c:v>
                </c:pt>
                <c:pt idx="5">
                  <c:v>-1.6478402710232132</c:v>
                </c:pt>
                <c:pt idx="6">
                  <c:v>15.456939179345063</c:v>
                </c:pt>
                <c:pt idx="7">
                  <c:v>-0.87591929870960428</c:v>
                </c:pt>
                <c:pt idx="8">
                  <c:v>32.128889391265432</c:v>
                </c:pt>
                <c:pt idx="9">
                  <c:v>-0.3888511331090605</c:v>
                </c:pt>
                <c:pt idx="10">
                  <c:v>2.1404298828941606</c:v>
                </c:pt>
                <c:pt idx="11">
                  <c:v>-0.90144632614649112</c:v>
                </c:pt>
                <c:pt idx="12">
                  <c:v>-8.1628504031892088</c:v>
                </c:pt>
                <c:pt idx="13">
                  <c:v>-1.3490838685384361</c:v>
                </c:pt>
                <c:pt idx="14">
                  <c:v>-1.7973153553297649</c:v>
                </c:pt>
                <c:pt idx="15">
                  <c:v>-7.7284573030929504</c:v>
                </c:pt>
                <c:pt idx="16">
                  <c:v>4.3114958283801066</c:v>
                </c:pt>
                <c:pt idx="17">
                  <c:v>58.293749057167446</c:v>
                </c:pt>
                <c:pt idx="18">
                  <c:v>26.231338084782607</c:v>
                </c:pt>
                <c:pt idx="19">
                  <c:v>-5.3532175945021052</c:v>
                </c:pt>
                <c:pt idx="20">
                  <c:v>-5.302131237743362</c:v>
                </c:pt>
                <c:pt idx="21">
                  <c:v>-7.1472955998583743</c:v>
                </c:pt>
                <c:pt idx="22">
                  <c:v>-4.7295989907201488</c:v>
                </c:pt>
                <c:pt idx="23">
                  <c:v>22.26136433194764</c:v>
                </c:pt>
                <c:pt idx="24">
                  <c:v>13.420689680461614</c:v>
                </c:pt>
                <c:pt idx="25">
                  <c:v>-1.8946186430319809</c:v>
                </c:pt>
                <c:pt idx="26">
                  <c:v>10.85901253336894</c:v>
                </c:pt>
                <c:pt idx="27">
                  <c:v>27.707496122475177</c:v>
                </c:pt>
                <c:pt idx="28">
                  <c:v>46.026853835615782</c:v>
                </c:pt>
                <c:pt idx="29">
                  <c:v>41.672008550715177</c:v>
                </c:pt>
                <c:pt idx="30">
                  <c:v>45.910948524639295</c:v>
                </c:pt>
                <c:pt idx="31">
                  <c:v>-0.58340343217748925</c:v>
                </c:pt>
                <c:pt idx="32">
                  <c:v>22.252787393293552</c:v>
                </c:pt>
                <c:pt idx="33">
                  <c:v>33.785208513616993</c:v>
                </c:pt>
                <c:pt idx="34">
                  <c:v>6.1079535262580222</c:v>
                </c:pt>
                <c:pt idx="35">
                  <c:v>13.824733561408941</c:v>
                </c:pt>
                <c:pt idx="36">
                  <c:v>19.585018568707838</c:v>
                </c:pt>
                <c:pt idx="37">
                  <c:v>1.2067059503210245</c:v>
                </c:pt>
                <c:pt idx="38">
                  <c:v>4.9479796106444569</c:v>
                </c:pt>
                <c:pt idx="39">
                  <c:v>1.5153483295446648</c:v>
                </c:pt>
                <c:pt idx="40">
                  <c:v>1.1488448497384915</c:v>
                </c:pt>
                <c:pt idx="41">
                  <c:v>3.2307327323734967</c:v>
                </c:pt>
                <c:pt idx="42">
                  <c:v>11.458936668258403</c:v>
                </c:pt>
                <c:pt idx="43">
                  <c:v>-5.1728292896512116</c:v>
                </c:pt>
                <c:pt idx="44">
                  <c:v>4.5077629529369574</c:v>
                </c:pt>
                <c:pt idx="45">
                  <c:v>54.258308634450671</c:v>
                </c:pt>
                <c:pt idx="46">
                  <c:v>-7.8111219350320695</c:v>
                </c:pt>
                <c:pt idx="47">
                  <c:v>8.3047653301883493</c:v>
                </c:pt>
                <c:pt idx="48">
                  <c:v>17.870704023807612</c:v>
                </c:pt>
                <c:pt idx="49">
                  <c:v>-7.0321779628081273</c:v>
                </c:pt>
                <c:pt idx="50">
                  <c:v>-12.066474921971739</c:v>
                </c:pt>
                <c:pt idx="51">
                  <c:v>-0.86973508133048938</c:v>
                </c:pt>
                <c:pt idx="52">
                  <c:v>-4.6668269738030119</c:v>
                </c:pt>
                <c:pt idx="53">
                  <c:v>0.53760713944276439</c:v>
                </c:pt>
                <c:pt idx="54">
                  <c:v>3.6388827864811191</c:v>
                </c:pt>
                <c:pt idx="55">
                  <c:v>-0.80317846305350571</c:v>
                </c:pt>
                <c:pt idx="56">
                  <c:v>5.4803810818501919</c:v>
                </c:pt>
                <c:pt idx="57">
                  <c:v>4.8681049090767345</c:v>
                </c:pt>
                <c:pt idx="58">
                  <c:v>42.171967297903052</c:v>
                </c:pt>
                <c:pt idx="59">
                  <c:v>-0.90520748912085347</c:v>
                </c:pt>
                <c:pt idx="60">
                  <c:v>-8.5911378306398802</c:v>
                </c:pt>
                <c:pt idx="61">
                  <c:v>-10.509502228757562</c:v>
                </c:pt>
                <c:pt idx="62">
                  <c:v>6.0985057600641781</c:v>
                </c:pt>
                <c:pt idx="63">
                  <c:v>0.85165335895883132</c:v>
                </c:pt>
                <c:pt idx="64">
                  <c:v>11.756198121897716</c:v>
                </c:pt>
                <c:pt idx="65">
                  <c:v>4.6800295374890517</c:v>
                </c:pt>
                <c:pt idx="66">
                  <c:v>56.259967728901941</c:v>
                </c:pt>
                <c:pt idx="67">
                  <c:v>0.99478012427939189</c:v>
                </c:pt>
                <c:pt idx="68">
                  <c:v>12.412637305585541</c:v>
                </c:pt>
                <c:pt idx="69">
                  <c:v>9.5992244091625238</c:v>
                </c:pt>
                <c:pt idx="70">
                  <c:v>1.3484541688662475</c:v>
                </c:pt>
                <c:pt idx="71">
                  <c:v>6.6691245362261444</c:v>
                </c:pt>
                <c:pt idx="72">
                  <c:v>3.5532667723419991</c:v>
                </c:pt>
                <c:pt idx="73">
                  <c:v>25.460099215978268</c:v>
                </c:pt>
                <c:pt idx="74">
                  <c:v>-1.1082125662424573</c:v>
                </c:pt>
                <c:pt idx="75">
                  <c:v>12.216570691823719</c:v>
                </c:pt>
                <c:pt idx="76">
                  <c:v>14.051417127227667</c:v>
                </c:pt>
                <c:pt idx="77">
                  <c:v>2.4946325009122616</c:v>
                </c:pt>
                <c:pt idx="78">
                  <c:v>-6.6132230931332536</c:v>
                </c:pt>
                <c:pt idx="79">
                  <c:v>7.9294998757219304</c:v>
                </c:pt>
                <c:pt idx="80">
                  <c:v>3.2867961660358702</c:v>
                </c:pt>
                <c:pt idx="81">
                  <c:v>-3.3464187772232421</c:v>
                </c:pt>
                <c:pt idx="82">
                  <c:v>0.29909817802474592</c:v>
                </c:pt>
                <c:pt idx="83">
                  <c:v>-7.6264208340210793</c:v>
                </c:pt>
                <c:pt idx="84">
                  <c:v>6.8088562752376802</c:v>
                </c:pt>
                <c:pt idx="85">
                  <c:v>26.151527081322413</c:v>
                </c:pt>
                <c:pt idx="86">
                  <c:v>36.525699165012313</c:v>
                </c:pt>
                <c:pt idx="87">
                  <c:v>-13.026065840495512</c:v>
                </c:pt>
                <c:pt idx="88">
                  <c:v>-2.9109045126864999</c:v>
                </c:pt>
                <c:pt idx="89">
                  <c:v>5.8806952938536146</c:v>
                </c:pt>
                <c:pt idx="90">
                  <c:v>16.353784786962361</c:v>
                </c:pt>
                <c:pt idx="91">
                  <c:v>55.732881996543327</c:v>
                </c:pt>
                <c:pt idx="92">
                  <c:v>19.00389536915285</c:v>
                </c:pt>
                <c:pt idx="93">
                  <c:v>10.049295526231408</c:v>
                </c:pt>
                <c:pt idx="94">
                  <c:v>1.8304931706758949</c:v>
                </c:pt>
                <c:pt idx="95">
                  <c:v>2.7206748485076044</c:v>
                </c:pt>
                <c:pt idx="96">
                  <c:v>-5.5103490240094075</c:v>
                </c:pt>
                <c:pt idx="97">
                  <c:v>-2.4502867931213856</c:v>
                </c:pt>
                <c:pt idx="98">
                  <c:v>8.278973566629972</c:v>
                </c:pt>
                <c:pt idx="99">
                  <c:v>20.425482930497324</c:v>
                </c:pt>
                <c:pt idx="100">
                  <c:v>6.39670640469906</c:v>
                </c:pt>
                <c:pt idx="101">
                  <c:v>1.000279445330797</c:v>
                </c:pt>
                <c:pt idx="102">
                  <c:v>-3.6142461582258179</c:v>
                </c:pt>
                <c:pt idx="103">
                  <c:v>-3.4433600928860209</c:v>
                </c:pt>
                <c:pt idx="104">
                  <c:v>5.4993330928464896</c:v>
                </c:pt>
                <c:pt idx="105">
                  <c:v>-0.68978923825328309</c:v>
                </c:pt>
                <c:pt idx="106">
                  <c:v>16.937833249715695</c:v>
                </c:pt>
                <c:pt idx="107">
                  <c:v>-1.1839952157438498</c:v>
                </c:pt>
                <c:pt idx="108">
                  <c:v>27.65348254858587</c:v>
                </c:pt>
                <c:pt idx="109">
                  <c:v>-1.6780118913620186</c:v>
                </c:pt>
                <c:pt idx="110">
                  <c:v>20.400153186009852</c:v>
                </c:pt>
                <c:pt idx="111">
                  <c:v>13.084279924914782</c:v>
                </c:pt>
                <c:pt idx="112">
                  <c:v>21.790965705023734</c:v>
                </c:pt>
                <c:pt idx="113">
                  <c:v>43.365954492501871</c:v>
                </c:pt>
                <c:pt idx="114">
                  <c:v>-1.3385754643562287</c:v>
                </c:pt>
                <c:pt idx="115">
                  <c:v>46.380236504720855</c:v>
                </c:pt>
                <c:pt idx="116">
                  <c:v>10.197048130633263</c:v>
                </c:pt>
                <c:pt idx="117">
                  <c:v>-1.4151261469279923</c:v>
                </c:pt>
                <c:pt idx="118">
                  <c:v>-3.0729430950867922</c:v>
                </c:pt>
                <c:pt idx="119">
                  <c:v>-7.8700994534809254</c:v>
                </c:pt>
                <c:pt idx="120">
                  <c:v>9.9578369250664629</c:v>
                </c:pt>
                <c:pt idx="121">
                  <c:v>-3.0587730102207686</c:v>
                </c:pt>
                <c:pt idx="122">
                  <c:v>-1.8076799940002317</c:v>
                </c:pt>
                <c:pt idx="123">
                  <c:v>-9.6533255349542557</c:v>
                </c:pt>
                <c:pt idx="124">
                  <c:v>14.953280629759449</c:v>
                </c:pt>
                <c:pt idx="125">
                  <c:v>23.681554142156891</c:v>
                </c:pt>
                <c:pt idx="126">
                  <c:v>-6.0783562915093299</c:v>
                </c:pt>
                <c:pt idx="127">
                  <c:v>-6.7145437201006146</c:v>
                </c:pt>
                <c:pt idx="128">
                  <c:v>10.414042526716662</c:v>
                </c:pt>
                <c:pt idx="129">
                  <c:v>43.941451686564633</c:v>
                </c:pt>
                <c:pt idx="130">
                  <c:v>-6.6565783388122313</c:v>
                </c:pt>
                <c:pt idx="131">
                  <c:v>-1.1169827692200229</c:v>
                </c:pt>
                <c:pt idx="132">
                  <c:v>-11.866239337997492</c:v>
                </c:pt>
                <c:pt idx="133">
                  <c:v>-9.523329112304225</c:v>
                </c:pt>
                <c:pt idx="134">
                  <c:v>34.558811750357648</c:v>
                </c:pt>
                <c:pt idx="135">
                  <c:v>-3.9605099050991868</c:v>
                </c:pt>
                <c:pt idx="136">
                  <c:v>23.882966878449182</c:v>
                </c:pt>
                <c:pt idx="137">
                  <c:v>2.5371036812156489</c:v>
                </c:pt>
                <c:pt idx="138">
                  <c:v>-1.6402248612618386</c:v>
                </c:pt>
                <c:pt idx="139">
                  <c:v>-1.5743735312794489</c:v>
                </c:pt>
                <c:pt idx="140">
                  <c:v>8.9681603741639861</c:v>
                </c:pt>
                <c:pt idx="141">
                  <c:v>0.62002736980459039</c:v>
                </c:pt>
                <c:pt idx="142">
                  <c:v>-8.7443604237334043</c:v>
                </c:pt>
                <c:pt idx="143">
                  <c:v>1.1257578748846568</c:v>
                </c:pt>
                <c:pt idx="144">
                  <c:v>18.19729598856518</c:v>
                </c:pt>
                <c:pt idx="145">
                  <c:v>2.813794906342693</c:v>
                </c:pt>
                <c:pt idx="146">
                  <c:v>-6.9699931981321228</c:v>
                </c:pt>
                <c:pt idx="147">
                  <c:v>-9.5671876059369083</c:v>
                </c:pt>
                <c:pt idx="148">
                  <c:v>0.85897512411654364</c:v>
                </c:pt>
                <c:pt idx="149">
                  <c:v>1.8091012401992774</c:v>
                </c:pt>
                <c:pt idx="150">
                  <c:v>34.166548732065984</c:v>
                </c:pt>
                <c:pt idx="151">
                  <c:v>4.2719257906015144</c:v>
                </c:pt>
                <c:pt idx="152">
                  <c:v>-8.0923635162732168</c:v>
                </c:pt>
                <c:pt idx="153">
                  <c:v>-5.7445535633903155</c:v>
                </c:pt>
                <c:pt idx="154">
                  <c:v>-4.5037605917209689</c:v>
                </c:pt>
                <c:pt idx="155">
                  <c:v>5.6560257764609636</c:v>
                </c:pt>
                <c:pt idx="156">
                  <c:v>-5.7490297711155094</c:v>
                </c:pt>
                <c:pt idx="157">
                  <c:v>15.355686125173364</c:v>
                </c:pt>
                <c:pt idx="158">
                  <c:v>-4.0988175395998994</c:v>
                </c:pt>
                <c:pt idx="159">
                  <c:v>55.952254576237365</c:v>
                </c:pt>
                <c:pt idx="160">
                  <c:v>18.080206098100163</c:v>
                </c:pt>
                <c:pt idx="161">
                  <c:v>11.850733576649557</c:v>
                </c:pt>
                <c:pt idx="162">
                  <c:v>-3.1760650948766056</c:v>
                </c:pt>
                <c:pt idx="163">
                  <c:v>20.274491279340445</c:v>
                </c:pt>
                <c:pt idx="164">
                  <c:v>-1.1583355391649661</c:v>
                </c:pt>
                <c:pt idx="165">
                  <c:v>11.238015546156745</c:v>
                </c:pt>
                <c:pt idx="166">
                  <c:v>15.221380568126555</c:v>
                </c:pt>
                <c:pt idx="167">
                  <c:v>9.9749441426804957</c:v>
                </c:pt>
                <c:pt idx="168">
                  <c:v>-2.3607849708046729</c:v>
                </c:pt>
                <c:pt idx="169">
                  <c:v>1.4817086706502316</c:v>
                </c:pt>
                <c:pt idx="170">
                  <c:v>0.98204417468440397</c:v>
                </c:pt>
                <c:pt idx="171">
                  <c:v>5.5610300750282864</c:v>
                </c:pt>
                <c:pt idx="172">
                  <c:v>-14.538388666368505</c:v>
                </c:pt>
                <c:pt idx="173">
                  <c:v>19.04907246171134</c:v>
                </c:pt>
                <c:pt idx="174">
                  <c:v>-4.6066750406686623</c:v>
                </c:pt>
                <c:pt idx="175">
                  <c:v>6.9696635377360323</c:v>
                </c:pt>
                <c:pt idx="176">
                  <c:v>1.0964215209124399</c:v>
                </c:pt>
                <c:pt idx="177">
                  <c:v>27.693292225019917</c:v>
                </c:pt>
                <c:pt idx="178">
                  <c:v>-10.522824860761396</c:v>
                </c:pt>
                <c:pt idx="179">
                  <c:v>1.3815062112080163</c:v>
                </c:pt>
                <c:pt idx="180">
                  <c:v>-0.18010452990375825</c:v>
                </c:pt>
                <c:pt idx="181">
                  <c:v>2.6123956124785224</c:v>
                </c:pt>
                <c:pt idx="182">
                  <c:v>-0.47878604263811297</c:v>
                </c:pt>
                <c:pt idx="183">
                  <c:v>20.556052298580333</c:v>
                </c:pt>
                <c:pt idx="184">
                  <c:v>8.6571472263112881</c:v>
                </c:pt>
                <c:pt idx="185">
                  <c:v>-0.9213349829555284</c:v>
                </c:pt>
                <c:pt idx="186">
                  <c:v>-1.8628749416962693</c:v>
                </c:pt>
                <c:pt idx="187">
                  <c:v>0.71772367783772129</c:v>
                </c:pt>
                <c:pt idx="188">
                  <c:v>27.506656395372104</c:v>
                </c:pt>
                <c:pt idx="189">
                  <c:v>15.177289917480692</c:v>
                </c:pt>
                <c:pt idx="190">
                  <c:v>18.361457243719045</c:v>
                </c:pt>
                <c:pt idx="191">
                  <c:v>16.982902274598651</c:v>
                </c:pt>
                <c:pt idx="192">
                  <c:v>10.454376062011303</c:v>
                </c:pt>
                <c:pt idx="193">
                  <c:v>-15.127892804283711</c:v>
                </c:pt>
                <c:pt idx="194">
                  <c:v>-6.4182282180349084</c:v>
                </c:pt>
                <c:pt idx="195">
                  <c:v>46.437594936660091</c:v>
                </c:pt>
                <c:pt idx="196">
                  <c:v>-5.4409745469104518</c:v>
                </c:pt>
                <c:pt idx="197">
                  <c:v>-9.7547913043452112</c:v>
                </c:pt>
                <c:pt idx="198">
                  <c:v>-3.9552859276090366</c:v>
                </c:pt>
                <c:pt idx="199">
                  <c:v>0.60042305009155683</c:v>
                </c:pt>
                <c:pt idx="200">
                  <c:v>15.524010557948841</c:v>
                </c:pt>
                <c:pt idx="201">
                  <c:v>4.4945334791026657</c:v>
                </c:pt>
                <c:pt idx="202">
                  <c:v>7.798829308610145</c:v>
                </c:pt>
                <c:pt idx="203">
                  <c:v>9.2585677454801569</c:v>
                </c:pt>
                <c:pt idx="204">
                  <c:v>0.73814962902115155</c:v>
                </c:pt>
                <c:pt idx="205">
                  <c:v>2.4322126647799891</c:v>
                </c:pt>
                <c:pt idx="206">
                  <c:v>14.471714099674511</c:v>
                </c:pt>
                <c:pt idx="207">
                  <c:v>-2.5330558818007169</c:v>
                </c:pt>
                <c:pt idx="208">
                  <c:v>16.136161295065833</c:v>
                </c:pt>
                <c:pt idx="209">
                  <c:v>1.6800978382467378</c:v>
                </c:pt>
                <c:pt idx="210">
                  <c:v>24.714942949754885</c:v>
                </c:pt>
                <c:pt idx="211">
                  <c:v>4.3802672446588282</c:v>
                </c:pt>
                <c:pt idx="212">
                  <c:v>29.859772300080024</c:v>
                </c:pt>
                <c:pt idx="213">
                  <c:v>-4.6862978745075665</c:v>
                </c:pt>
                <c:pt idx="214">
                  <c:v>5.8772674283623374</c:v>
                </c:pt>
                <c:pt idx="215">
                  <c:v>23.125092393758365</c:v>
                </c:pt>
                <c:pt idx="216">
                  <c:v>-1.134055336929368</c:v>
                </c:pt>
                <c:pt idx="217">
                  <c:v>16.251669739693369</c:v>
                </c:pt>
                <c:pt idx="218">
                  <c:v>9.2378614740843474</c:v>
                </c:pt>
                <c:pt idx="219">
                  <c:v>7.0925869378777193</c:v>
                </c:pt>
                <c:pt idx="220">
                  <c:v>-15.870288971033297</c:v>
                </c:pt>
                <c:pt idx="221">
                  <c:v>45.910516163087358</c:v>
                </c:pt>
                <c:pt idx="222">
                  <c:v>27.370314268315859</c:v>
                </c:pt>
                <c:pt idx="223">
                  <c:v>5.4936636646082153</c:v>
                </c:pt>
                <c:pt idx="224">
                  <c:v>7.8621731819060656</c:v>
                </c:pt>
                <c:pt idx="225">
                  <c:v>9.1024791892359502</c:v>
                </c:pt>
                <c:pt idx="226">
                  <c:v>2.4355571885102556</c:v>
                </c:pt>
                <c:pt idx="227">
                  <c:v>20.899683596253595</c:v>
                </c:pt>
                <c:pt idx="228">
                  <c:v>1.487406308835368</c:v>
                </c:pt>
                <c:pt idx="229">
                  <c:v>-2.7638193627804371</c:v>
                </c:pt>
                <c:pt idx="230">
                  <c:v>12.618260468875402</c:v>
                </c:pt>
                <c:pt idx="231">
                  <c:v>-0.68524459483303701</c:v>
                </c:pt>
                <c:pt idx="232">
                  <c:v>-0.23562676580020536</c:v>
                </c:pt>
                <c:pt idx="233">
                  <c:v>23.955310273734341</c:v>
                </c:pt>
                <c:pt idx="234">
                  <c:v>27.026950717892568</c:v>
                </c:pt>
                <c:pt idx="235">
                  <c:v>1.4232919465942913</c:v>
                </c:pt>
                <c:pt idx="236">
                  <c:v>20.824860143001004</c:v>
                </c:pt>
                <c:pt idx="237">
                  <c:v>0.32462064722958672</c:v>
                </c:pt>
                <c:pt idx="238">
                  <c:v>-6.1031520926512073</c:v>
                </c:pt>
                <c:pt idx="239">
                  <c:v>3.8069652942950043</c:v>
                </c:pt>
                <c:pt idx="240">
                  <c:v>0.1543707670074923</c:v>
                </c:pt>
                <c:pt idx="241">
                  <c:v>9.6891156252193866</c:v>
                </c:pt>
                <c:pt idx="242">
                  <c:v>6.9064286914771955</c:v>
                </c:pt>
                <c:pt idx="243">
                  <c:v>-2.1650408835470429</c:v>
                </c:pt>
                <c:pt idx="244">
                  <c:v>-2.8287553285416323E-2</c:v>
                </c:pt>
                <c:pt idx="245">
                  <c:v>-0.56280849947863354</c:v>
                </c:pt>
                <c:pt idx="246">
                  <c:v>-4.1161167632100497</c:v>
                </c:pt>
                <c:pt idx="247">
                  <c:v>-10.534773586605461</c:v>
                </c:pt>
                <c:pt idx="248">
                  <c:v>-5.3901034521194227</c:v>
                </c:pt>
                <c:pt idx="249">
                  <c:v>3.2537566008694645</c:v>
                </c:pt>
                <c:pt idx="250">
                  <c:v>12.098658734365625</c:v>
                </c:pt>
                <c:pt idx="251">
                  <c:v>9.1252142641745841</c:v>
                </c:pt>
                <c:pt idx="252">
                  <c:v>6.8549391120008139</c:v>
                </c:pt>
                <c:pt idx="253">
                  <c:v>2.0927641936861363</c:v>
                </c:pt>
                <c:pt idx="254">
                  <c:v>-2.0568528631936509</c:v>
                </c:pt>
                <c:pt idx="255">
                  <c:v>2.4226446126600791</c:v>
                </c:pt>
                <c:pt idx="256">
                  <c:v>7.7141110848590699</c:v>
                </c:pt>
                <c:pt idx="257">
                  <c:v>7.3008397958564828</c:v>
                </c:pt>
                <c:pt idx="258">
                  <c:v>-6.3413324965512672</c:v>
                </c:pt>
                <c:pt idx="259">
                  <c:v>4.4515399233378181</c:v>
                </c:pt>
                <c:pt idx="260">
                  <c:v>-6.1539006560396317</c:v>
                </c:pt>
                <c:pt idx="261">
                  <c:v>-3.2519474646302755</c:v>
                </c:pt>
                <c:pt idx="262">
                  <c:v>33.398444294899491</c:v>
                </c:pt>
                <c:pt idx="263">
                  <c:v>7.5118597866303816E-2</c:v>
                </c:pt>
                <c:pt idx="264">
                  <c:v>-2.1634533709313795</c:v>
                </c:pt>
                <c:pt idx="265">
                  <c:v>-14.770152063961064</c:v>
                </c:pt>
                <c:pt idx="266">
                  <c:v>-1.5915254357948125</c:v>
                </c:pt>
                <c:pt idx="267">
                  <c:v>-7.3093800181157516</c:v>
                </c:pt>
                <c:pt idx="268">
                  <c:v>18.446191628988363</c:v>
                </c:pt>
                <c:pt idx="269">
                  <c:v>-2.0921422715290703</c:v>
                </c:pt>
                <c:pt idx="270">
                  <c:v>-5.8948037150546364</c:v>
                </c:pt>
                <c:pt idx="271">
                  <c:v>11.573476954396774</c:v>
                </c:pt>
                <c:pt idx="272">
                  <c:v>-1.8792395543108382</c:v>
                </c:pt>
                <c:pt idx="273">
                  <c:v>29.576604019810013</c:v>
                </c:pt>
                <c:pt idx="274">
                  <c:v>-14.002022147938881</c:v>
                </c:pt>
                <c:pt idx="275">
                  <c:v>20.462919085977877</c:v>
                </c:pt>
                <c:pt idx="276">
                  <c:v>25.015859983714275</c:v>
                </c:pt>
                <c:pt idx="277">
                  <c:v>34.83138522753859</c:v>
                </c:pt>
                <c:pt idx="278">
                  <c:v>18.421407271423689</c:v>
                </c:pt>
                <c:pt idx="279">
                  <c:v>-8.2587690991519267</c:v>
                </c:pt>
                <c:pt idx="280">
                  <c:v>-16.708172126884449</c:v>
                </c:pt>
                <c:pt idx="281">
                  <c:v>12.084605854294452</c:v>
                </c:pt>
                <c:pt idx="282">
                  <c:v>8.7329291875633643</c:v>
                </c:pt>
                <c:pt idx="283">
                  <c:v>6.3399580027564326</c:v>
                </c:pt>
                <c:pt idx="284">
                  <c:v>9.143723255180344</c:v>
                </c:pt>
                <c:pt idx="285">
                  <c:v>-2.4676266773664328</c:v>
                </c:pt>
                <c:pt idx="286">
                  <c:v>-10.381793176312087</c:v>
                </c:pt>
                <c:pt idx="287">
                  <c:v>18.287138186732541</c:v>
                </c:pt>
                <c:pt idx="288">
                  <c:v>-3.8115367462439913</c:v>
                </c:pt>
                <c:pt idx="289">
                  <c:v>13.799440722928956</c:v>
                </c:pt>
                <c:pt idx="290">
                  <c:v>14.976246319852464</c:v>
                </c:pt>
                <c:pt idx="291">
                  <c:v>-2.528711416084354</c:v>
                </c:pt>
                <c:pt idx="292">
                  <c:v>9.3425710937668853</c:v>
                </c:pt>
                <c:pt idx="293">
                  <c:v>22.159364907578322</c:v>
                </c:pt>
                <c:pt idx="294">
                  <c:v>25.797255928972234</c:v>
                </c:pt>
                <c:pt idx="295">
                  <c:v>-3.7169321994153828</c:v>
                </c:pt>
                <c:pt idx="296">
                  <c:v>-9.8502701889334539</c:v>
                </c:pt>
                <c:pt idx="297">
                  <c:v>-7.371543338101155</c:v>
                </c:pt>
                <c:pt idx="298">
                  <c:v>34.627357096691945</c:v>
                </c:pt>
                <c:pt idx="299">
                  <c:v>7.5062697443037969</c:v>
                </c:pt>
                <c:pt idx="300">
                  <c:v>-1.0076642675991323</c:v>
                </c:pt>
                <c:pt idx="301">
                  <c:v>-1.0625168736926165</c:v>
                </c:pt>
                <c:pt idx="302">
                  <c:v>7.1781852995252535</c:v>
                </c:pt>
                <c:pt idx="303">
                  <c:v>23.61696023349641</c:v>
                </c:pt>
                <c:pt idx="304">
                  <c:v>5.2494502742919309</c:v>
                </c:pt>
                <c:pt idx="305">
                  <c:v>-7.1184127316916435</c:v>
                </c:pt>
                <c:pt idx="306">
                  <c:v>10.152629313285658</c:v>
                </c:pt>
                <c:pt idx="307">
                  <c:v>41.753339456418558</c:v>
                </c:pt>
                <c:pt idx="308">
                  <c:v>13.511100414720772</c:v>
                </c:pt>
                <c:pt idx="309">
                  <c:v>12.533084424587422</c:v>
                </c:pt>
                <c:pt idx="310">
                  <c:v>-0.20836929304769214</c:v>
                </c:pt>
                <c:pt idx="311">
                  <c:v>-10.696913021246573</c:v>
                </c:pt>
                <c:pt idx="312">
                  <c:v>58.496889942230993</c:v>
                </c:pt>
                <c:pt idx="313">
                  <c:v>13.392702118111218</c:v>
                </c:pt>
                <c:pt idx="314">
                  <c:v>23.154551414397204</c:v>
                </c:pt>
                <c:pt idx="315">
                  <c:v>3.7641626409800111</c:v>
                </c:pt>
                <c:pt idx="316">
                  <c:v>8.8652596564892452</c:v>
                </c:pt>
                <c:pt idx="317">
                  <c:v>36.141516022592292</c:v>
                </c:pt>
                <c:pt idx="318">
                  <c:v>36.116964548181457</c:v>
                </c:pt>
                <c:pt idx="319">
                  <c:v>37.636951907271687</c:v>
                </c:pt>
                <c:pt idx="320">
                  <c:v>4.4764127419886393</c:v>
                </c:pt>
                <c:pt idx="321">
                  <c:v>-1.1245086250859124</c:v>
                </c:pt>
                <c:pt idx="322">
                  <c:v>11.640998479978613</c:v>
                </c:pt>
                <c:pt idx="323">
                  <c:v>51.4943211048313</c:v>
                </c:pt>
                <c:pt idx="324">
                  <c:v>5.5844405147333163</c:v>
                </c:pt>
                <c:pt idx="325">
                  <c:v>26.499915778894838</c:v>
                </c:pt>
                <c:pt idx="326">
                  <c:v>-9.6753037630114918</c:v>
                </c:pt>
                <c:pt idx="327">
                  <c:v>4.0907656478993637</c:v>
                </c:pt>
                <c:pt idx="328">
                  <c:v>8.8449656158164913</c:v>
                </c:pt>
                <c:pt idx="329">
                  <c:v>-16.673164529440477</c:v>
                </c:pt>
                <c:pt idx="330">
                  <c:v>-3.1333699826562262</c:v>
                </c:pt>
                <c:pt idx="331">
                  <c:v>1.2834451185997042</c:v>
                </c:pt>
                <c:pt idx="332">
                  <c:v>36.200363277458784</c:v>
                </c:pt>
                <c:pt idx="333">
                  <c:v>-0.41999430525431336</c:v>
                </c:pt>
                <c:pt idx="334">
                  <c:v>35.0923902366862</c:v>
                </c:pt>
                <c:pt idx="335">
                  <c:v>-5.1342652472377317</c:v>
                </c:pt>
                <c:pt idx="336">
                  <c:v>33.8158369504863</c:v>
                </c:pt>
                <c:pt idx="337">
                  <c:v>5.3721810993144175</c:v>
                </c:pt>
                <c:pt idx="338">
                  <c:v>0.51858652168191988</c:v>
                </c:pt>
                <c:pt idx="339">
                  <c:v>0.20670974481820181</c:v>
                </c:pt>
                <c:pt idx="340">
                  <c:v>2.5106844011261202</c:v>
                </c:pt>
                <c:pt idx="341">
                  <c:v>-2.8317142495803438</c:v>
                </c:pt>
                <c:pt idx="342">
                  <c:v>55.749141998019333</c:v>
                </c:pt>
                <c:pt idx="343">
                  <c:v>-7.10750222976327</c:v>
                </c:pt>
                <c:pt idx="344">
                  <c:v>8.8654993773132098</c:v>
                </c:pt>
                <c:pt idx="345">
                  <c:v>37.645112076586656</c:v>
                </c:pt>
                <c:pt idx="346">
                  <c:v>-0.2975314524148871</c:v>
                </c:pt>
                <c:pt idx="347">
                  <c:v>4.8018991296474027</c:v>
                </c:pt>
                <c:pt idx="348">
                  <c:v>2.0694281876953369</c:v>
                </c:pt>
                <c:pt idx="349">
                  <c:v>26.692556969824444</c:v>
                </c:pt>
                <c:pt idx="350">
                  <c:v>-6.1580524281017546</c:v>
                </c:pt>
                <c:pt idx="351">
                  <c:v>30.849296087179525</c:v>
                </c:pt>
                <c:pt idx="352">
                  <c:v>3.8863469101100421</c:v>
                </c:pt>
                <c:pt idx="353">
                  <c:v>-1.4593886735502863</c:v>
                </c:pt>
                <c:pt idx="354">
                  <c:v>3.1938014304768387</c:v>
                </c:pt>
                <c:pt idx="355">
                  <c:v>-4.8506555683252017E-2</c:v>
                </c:pt>
                <c:pt idx="356">
                  <c:v>17.838364071737175</c:v>
                </c:pt>
                <c:pt idx="357">
                  <c:v>-0.10480124286492298</c:v>
                </c:pt>
                <c:pt idx="358">
                  <c:v>-12.94944251056681</c:v>
                </c:pt>
                <c:pt idx="359">
                  <c:v>-9.7868015269665349</c:v>
                </c:pt>
                <c:pt idx="360">
                  <c:v>15.097513186955284</c:v>
                </c:pt>
                <c:pt idx="361">
                  <c:v>1.8467927770665824</c:v>
                </c:pt>
                <c:pt idx="362">
                  <c:v>-1.7306505503825478</c:v>
                </c:pt>
                <c:pt idx="363">
                  <c:v>8.2119867351535962</c:v>
                </c:pt>
                <c:pt idx="364">
                  <c:v>8.6566613133049302</c:v>
                </c:pt>
                <c:pt idx="365">
                  <c:v>-2.3682077801233046</c:v>
                </c:pt>
                <c:pt idx="366">
                  <c:v>5.89820135681388</c:v>
                </c:pt>
                <c:pt idx="367">
                  <c:v>0.68698560822110011</c:v>
                </c:pt>
                <c:pt idx="368">
                  <c:v>38.780169195285822</c:v>
                </c:pt>
                <c:pt idx="369">
                  <c:v>18.038019988672584</c:v>
                </c:pt>
                <c:pt idx="370">
                  <c:v>11.449313159626378</c:v>
                </c:pt>
                <c:pt idx="371">
                  <c:v>-3.2478422378730443E-2</c:v>
                </c:pt>
                <c:pt idx="372">
                  <c:v>5.7466634144533231</c:v>
                </c:pt>
                <c:pt idx="373">
                  <c:v>2.0601005717097074</c:v>
                </c:pt>
                <c:pt idx="374">
                  <c:v>8.8083878876396611</c:v>
                </c:pt>
                <c:pt idx="375">
                  <c:v>4.4797884755077337</c:v>
                </c:pt>
                <c:pt idx="376">
                  <c:v>23.378146374867011</c:v>
                </c:pt>
                <c:pt idx="377">
                  <c:v>2.8984854095324231</c:v>
                </c:pt>
                <c:pt idx="378">
                  <c:v>30.141419114204048</c:v>
                </c:pt>
                <c:pt idx="379">
                  <c:v>14.060600988605712</c:v>
                </c:pt>
                <c:pt idx="380">
                  <c:v>-4.3908404828869401</c:v>
                </c:pt>
                <c:pt idx="381">
                  <c:v>58.820782442177567</c:v>
                </c:pt>
                <c:pt idx="382">
                  <c:v>18.165554041202512</c:v>
                </c:pt>
                <c:pt idx="383">
                  <c:v>-4.9625581856432177</c:v>
                </c:pt>
                <c:pt idx="384">
                  <c:v>5.398740755210369</c:v>
                </c:pt>
                <c:pt idx="385">
                  <c:v>5.6257067736904904</c:v>
                </c:pt>
                <c:pt idx="386">
                  <c:v>18.819411812538853</c:v>
                </c:pt>
                <c:pt idx="387">
                  <c:v>10.750121679963293</c:v>
                </c:pt>
                <c:pt idx="388">
                  <c:v>-1.3628884478537771</c:v>
                </c:pt>
                <c:pt idx="389">
                  <c:v>1.8791621832376819</c:v>
                </c:pt>
                <c:pt idx="390">
                  <c:v>34.628244342475028</c:v>
                </c:pt>
                <c:pt idx="391">
                  <c:v>1.9666267101813579</c:v>
                </c:pt>
                <c:pt idx="392">
                  <c:v>-8.3987807442804154</c:v>
                </c:pt>
                <c:pt idx="393">
                  <c:v>9.9481183255047156</c:v>
                </c:pt>
                <c:pt idx="394">
                  <c:v>2.9922470180996896</c:v>
                </c:pt>
                <c:pt idx="395">
                  <c:v>-2.7542825259502735</c:v>
                </c:pt>
                <c:pt idx="396">
                  <c:v>-1.9750697505892689</c:v>
                </c:pt>
                <c:pt idx="397">
                  <c:v>16.711332444464517</c:v>
                </c:pt>
                <c:pt idx="398">
                  <c:v>21.434448096484822</c:v>
                </c:pt>
                <c:pt idx="399">
                  <c:v>-5.3249898105246096</c:v>
                </c:pt>
                <c:pt idx="400">
                  <c:v>2.8585500250009321</c:v>
                </c:pt>
                <c:pt idx="401">
                  <c:v>17.450271242770462</c:v>
                </c:pt>
                <c:pt idx="402">
                  <c:v>-7.3239854059119693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EB3-4846-91FD-647F4EEA7833}"/>
            </c:ext>
          </c:extLst>
        </c:ser>
        <c:ser>
          <c:idx val="8"/>
          <c:order val="7"/>
          <c:tx>
            <c:v>Ideal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dim_training!$U$9:$V$9</c:f>
              <c:numCache>
                <c:formatCode>General</c:formatCode>
                <c:ptCount val="2"/>
                <c:pt idx="0">
                  <c:v>-20</c:v>
                </c:pt>
                <c:pt idx="1">
                  <c:v>60</c:v>
                </c:pt>
              </c:numCache>
            </c:numRef>
          </c:xVal>
          <c:yVal>
            <c:numRef>
              <c:f>dim_training!$U$10:$V$10</c:f>
              <c:numCache>
                <c:formatCode>General</c:formatCode>
                <c:ptCount val="2"/>
                <c:pt idx="0">
                  <c:v>-20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EB3-4846-91FD-647F4EEA7833}"/>
            </c:ext>
          </c:extLst>
        </c:ser>
        <c:ser>
          <c:idx val="9"/>
          <c:order val="8"/>
          <c:tx>
            <c:v>-10%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dim_training!$U$13:$V$13</c:f>
              <c:numCache>
                <c:formatCode>General</c:formatCode>
                <c:ptCount val="2"/>
                <c:pt idx="0">
                  <c:v>-12</c:v>
                </c:pt>
                <c:pt idx="1">
                  <c:v>60</c:v>
                </c:pt>
              </c:numCache>
            </c:numRef>
          </c:xVal>
          <c:yVal>
            <c:numRef>
              <c:f>dim_training!$U$14:$V$14</c:f>
              <c:numCache>
                <c:formatCode>General</c:formatCode>
                <c:ptCount val="2"/>
                <c:pt idx="0">
                  <c:v>-20</c:v>
                </c:pt>
                <c:pt idx="1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EB3-4846-91FD-647F4EEA7833}"/>
            </c:ext>
          </c:extLst>
        </c:ser>
        <c:ser>
          <c:idx val="10"/>
          <c:order val="9"/>
          <c:tx>
            <c:v>+10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dim_training!$U$17:$V$17</c:f>
              <c:numCache>
                <c:formatCode>General</c:formatCode>
                <c:ptCount val="2"/>
                <c:pt idx="0">
                  <c:v>-20</c:v>
                </c:pt>
                <c:pt idx="1">
                  <c:v>52</c:v>
                </c:pt>
              </c:numCache>
            </c:numRef>
          </c:xVal>
          <c:yVal>
            <c:numRef>
              <c:f>dim_training!$U$18:$V$18</c:f>
              <c:numCache>
                <c:formatCode>General</c:formatCode>
                <c:ptCount val="2"/>
                <c:pt idx="0">
                  <c:v>-12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EB3-4846-91FD-647F4EEA7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157471"/>
        <c:axId val="1210147391"/>
      </c:scatterChart>
      <c:valAx>
        <c:axId val="1210157471"/>
        <c:scaling>
          <c:orientation val="minMax"/>
          <c:max val="60"/>
          <c:min val="-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Actual</a:t>
                </a:r>
                <a:r>
                  <a:rPr lang="en-IN" baseline="0"/>
                  <a:t> Cavitation Index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47391"/>
        <c:crossesAt val="-20"/>
        <c:crossBetween val="midCat"/>
      </c:valAx>
      <c:valAx>
        <c:axId val="1210147391"/>
        <c:scaling>
          <c:orientation val="minMax"/>
          <c:max val="60"/>
          <c:min val="-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Predicted</a:t>
                </a:r>
                <a:r>
                  <a:rPr lang="en-IN" baseline="0"/>
                  <a:t> Cavitation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57471"/>
        <c:crossesAt val="-20"/>
        <c:crossBetween val="midCat"/>
      </c:valAx>
      <c:spPr>
        <a:noFill/>
        <a:ln w="12700">
          <a:solidFill>
            <a:schemeClr val="accent1"/>
          </a:solidFill>
        </a:ln>
        <a:effectLst/>
      </c:spPr>
    </c:plotArea>
    <c:legend>
      <c:legendPos val="t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ayout>
        <c:manualLayout>
          <c:xMode val="edge"/>
          <c:yMode val="edge"/>
          <c:x val="0.26503448519616774"/>
          <c:y val="7.7606494323558733E-2"/>
          <c:w val="0.44069387212872191"/>
          <c:h val="5.8358584718089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/ sigma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'Nonlinear regression'!$L$84:$L$486</c:f>
              <c:numCache>
                <c:formatCode>0.000</c:formatCode>
                <c:ptCount val="403"/>
                <c:pt idx="0">
                  <c:v>-1.9224670523719283</c:v>
                </c:pt>
                <c:pt idx="1">
                  <c:v>21.850318065033356</c:v>
                </c:pt>
                <c:pt idx="2">
                  <c:v>7.3763255001827268</c:v>
                </c:pt>
                <c:pt idx="3">
                  <c:v>3.4833846931112546</c:v>
                </c:pt>
                <c:pt idx="4">
                  <c:v>2.5388570326609958</c:v>
                </c:pt>
                <c:pt idx="5">
                  <c:v>-1.6478402710232132</c:v>
                </c:pt>
                <c:pt idx="6">
                  <c:v>15.456939179345063</c:v>
                </c:pt>
                <c:pt idx="7">
                  <c:v>-0.87591929870960428</c:v>
                </c:pt>
                <c:pt idx="8">
                  <c:v>32.128889391265432</c:v>
                </c:pt>
                <c:pt idx="9">
                  <c:v>-0.3888511331090605</c:v>
                </c:pt>
                <c:pt idx="10">
                  <c:v>2.1404298828941606</c:v>
                </c:pt>
                <c:pt idx="11">
                  <c:v>-0.90144632614649112</c:v>
                </c:pt>
                <c:pt idx="12">
                  <c:v>-8.1628504031892088</c:v>
                </c:pt>
                <c:pt idx="13">
                  <c:v>-1.3490838685384361</c:v>
                </c:pt>
                <c:pt idx="14">
                  <c:v>-1.7973153553297649</c:v>
                </c:pt>
                <c:pt idx="15">
                  <c:v>-7.7284573030929504</c:v>
                </c:pt>
                <c:pt idx="16">
                  <c:v>4.3114958283801066</c:v>
                </c:pt>
                <c:pt idx="17">
                  <c:v>58.293749057167446</c:v>
                </c:pt>
                <c:pt idx="18">
                  <c:v>26.231338084782607</c:v>
                </c:pt>
                <c:pt idx="19">
                  <c:v>-5.3532175945021052</c:v>
                </c:pt>
                <c:pt idx="20">
                  <c:v>-5.302131237743362</c:v>
                </c:pt>
                <c:pt idx="21">
                  <c:v>-7.1472955998583743</c:v>
                </c:pt>
                <c:pt idx="22">
                  <c:v>-4.7295989907201488</c:v>
                </c:pt>
                <c:pt idx="23">
                  <c:v>22.26136433194764</c:v>
                </c:pt>
                <c:pt idx="24">
                  <c:v>13.420689680461614</c:v>
                </c:pt>
                <c:pt idx="25">
                  <c:v>-1.8946186430319809</c:v>
                </c:pt>
                <c:pt idx="26">
                  <c:v>10.85901253336894</c:v>
                </c:pt>
                <c:pt idx="27">
                  <c:v>27.707496122475177</c:v>
                </c:pt>
                <c:pt idx="28">
                  <c:v>46.026853835615782</c:v>
                </c:pt>
                <c:pt idx="29">
                  <c:v>41.672008550715177</c:v>
                </c:pt>
                <c:pt idx="30">
                  <c:v>45.910948524639295</c:v>
                </c:pt>
                <c:pt idx="31">
                  <c:v>-0.58340343217748925</c:v>
                </c:pt>
                <c:pt idx="32">
                  <c:v>22.252787393293552</c:v>
                </c:pt>
                <c:pt idx="33">
                  <c:v>33.785208513616993</c:v>
                </c:pt>
                <c:pt idx="34">
                  <c:v>6.1079535262580222</c:v>
                </c:pt>
                <c:pt idx="35">
                  <c:v>13.824733561408941</c:v>
                </c:pt>
                <c:pt idx="36">
                  <c:v>19.585018568707838</c:v>
                </c:pt>
                <c:pt idx="37">
                  <c:v>1.2067059503210245</c:v>
                </c:pt>
                <c:pt idx="38">
                  <c:v>4.9479796106444569</c:v>
                </c:pt>
                <c:pt idx="39">
                  <c:v>1.5153483295446648</c:v>
                </c:pt>
                <c:pt idx="40">
                  <c:v>1.1488448497384915</c:v>
                </c:pt>
                <c:pt idx="41">
                  <c:v>3.2307327323734967</c:v>
                </c:pt>
                <c:pt idx="42">
                  <c:v>11.458936668258403</c:v>
                </c:pt>
                <c:pt idx="43">
                  <c:v>-5.1728292896512116</c:v>
                </c:pt>
                <c:pt idx="44">
                  <c:v>4.5077629529369574</c:v>
                </c:pt>
                <c:pt idx="45">
                  <c:v>54.258308634450671</c:v>
                </c:pt>
                <c:pt idx="46">
                  <c:v>-7.8111219350320695</c:v>
                </c:pt>
                <c:pt idx="47">
                  <c:v>8.3047653301883493</c:v>
                </c:pt>
                <c:pt idx="48">
                  <c:v>17.870704023807612</c:v>
                </c:pt>
                <c:pt idx="49">
                  <c:v>-7.0321779628081273</c:v>
                </c:pt>
                <c:pt idx="50">
                  <c:v>-12.066474921971739</c:v>
                </c:pt>
                <c:pt idx="51">
                  <c:v>-0.86973508133048938</c:v>
                </c:pt>
                <c:pt idx="52">
                  <c:v>-4.6668269738030119</c:v>
                </c:pt>
                <c:pt idx="53">
                  <c:v>0.53760713944276439</c:v>
                </c:pt>
                <c:pt idx="54">
                  <c:v>3.6388827864811191</c:v>
                </c:pt>
                <c:pt idx="55">
                  <c:v>-0.80317846305350571</c:v>
                </c:pt>
                <c:pt idx="56">
                  <c:v>5.4803810818501919</c:v>
                </c:pt>
                <c:pt idx="57">
                  <c:v>4.8681049090767345</c:v>
                </c:pt>
                <c:pt idx="58">
                  <c:v>42.171967297903052</c:v>
                </c:pt>
                <c:pt idx="59">
                  <c:v>-0.90520748912085347</c:v>
                </c:pt>
                <c:pt idx="60">
                  <c:v>-8.5911378306398802</c:v>
                </c:pt>
                <c:pt idx="61">
                  <c:v>-10.509502228757562</c:v>
                </c:pt>
                <c:pt idx="62">
                  <c:v>6.0985057600641781</c:v>
                </c:pt>
                <c:pt idx="63">
                  <c:v>0.85165335895883132</c:v>
                </c:pt>
                <c:pt idx="64">
                  <c:v>11.756198121897716</c:v>
                </c:pt>
                <c:pt idx="65">
                  <c:v>4.6800295374890517</c:v>
                </c:pt>
                <c:pt idx="66">
                  <c:v>56.259967728901941</c:v>
                </c:pt>
                <c:pt idx="67">
                  <c:v>0.99478012427939189</c:v>
                </c:pt>
                <c:pt idx="68">
                  <c:v>12.412637305585541</c:v>
                </c:pt>
                <c:pt idx="69">
                  <c:v>9.5992244091625238</c:v>
                </c:pt>
                <c:pt idx="70">
                  <c:v>1.3484541688662475</c:v>
                </c:pt>
                <c:pt idx="71">
                  <c:v>6.6691245362261444</c:v>
                </c:pt>
                <c:pt idx="72">
                  <c:v>3.5532667723419991</c:v>
                </c:pt>
                <c:pt idx="73">
                  <c:v>25.460099215978268</c:v>
                </c:pt>
                <c:pt idx="74">
                  <c:v>-1.1082125662424573</c:v>
                </c:pt>
                <c:pt idx="75">
                  <c:v>12.216570691823719</c:v>
                </c:pt>
                <c:pt idx="76">
                  <c:v>14.051417127227667</c:v>
                </c:pt>
                <c:pt idx="77">
                  <c:v>2.4946325009122616</c:v>
                </c:pt>
                <c:pt idx="78">
                  <c:v>-6.6132230931332536</c:v>
                </c:pt>
                <c:pt idx="79">
                  <c:v>7.9294998757219304</c:v>
                </c:pt>
                <c:pt idx="80">
                  <c:v>3.2867961660358702</c:v>
                </c:pt>
                <c:pt idx="81">
                  <c:v>-3.3464187772232421</c:v>
                </c:pt>
                <c:pt idx="82">
                  <c:v>0.29909817802474592</c:v>
                </c:pt>
                <c:pt idx="83">
                  <c:v>-7.6264208340210793</c:v>
                </c:pt>
                <c:pt idx="84">
                  <c:v>6.8088562752376802</c:v>
                </c:pt>
                <c:pt idx="85">
                  <c:v>26.151527081322413</c:v>
                </c:pt>
                <c:pt idx="86">
                  <c:v>36.525699165012313</c:v>
                </c:pt>
                <c:pt idx="87">
                  <c:v>-13.026065840495512</c:v>
                </c:pt>
                <c:pt idx="88">
                  <c:v>-2.9109045126864999</c:v>
                </c:pt>
                <c:pt idx="89">
                  <c:v>5.8806952938536146</c:v>
                </c:pt>
                <c:pt idx="90">
                  <c:v>16.353784786962361</c:v>
                </c:pt>
                <c:pt idx="91">
                  <c:v>55.732881996543327</c:v>
                </c:pt>
                <c:pt idx="92">
                  <c:v>19.00389536915285</c:v>
                </c:pt>
                <c:pt idx="93">
                  <c:v>10.049295526231408</c:v>
                </c:pt>
                <c:pt idx="94">
                  <c:v>1.8304931706758949</c:v>
                </c:pt>
                <c:pt idx="95">
                  <c:v>2.7206748485076044</c:v>
                </c:pt>
                <c:pt idx="96">
                  <c:v>-5.5103490240094075</c:v>
                </c:pt>
                <c:pt idx="97">
                  <c:v>-2.4502867931213856</c:v>
                </c:pt>
                <c:pt idx="98">
                  <c:v>8.278973566629972</c:v>
                </c:pt>
                <c:pt idx="99">
                  <c:v>20.425482930497324</c:v>
                </c:pt>
                <c:pt idx="100">
                  <c:v>6.39670640469906</c:v>
                </c:pt>
                <c:pt idx="101">
                  <c:v>1.000279445330797</c:v>
                </c:pt>
                <c:pt idx="102">
                  <c:v>-3.6142461582258179</c:v>
                </c:pt>
                <c:pt idx="103">
                  <c:v>-3.4433600928860209</c:v>
                </c:pt>
                <c:pt idx="104">
                  <c:v>5.4993330928464896</c:v>
                </c:pt>
                <c:pt idx="105">
                  <c:v>-0.68978923825328309</c:v>
                </c:pt>
                <c:pt idx="106">
                  <c:v>16.937833249715695</c:v>
                </c:pt>
                <c:pt idx="107">
                  <c:v>-1.1839952157438498</c:v>
                </c:pt>
                <c:pt idx="108">
                  <c:v>27.65348254858587</c:v>
                </c:pt>
                <c:pt idx="109">
                  <c:v>-1.6780118913620186</c:v>
                </c:pt>
                <c:pt idx="110">
                  <c:v>20.400153186009852</c:v>
                </c:pt>
                <c:pt idx="111">
                  <c:v>13.084279924914782</c:v>
                </c:pt>
                <c:pt idx="112">
                  <c:v>21.790965705023734</c:v>
                </c:pt>
                <c:pt idx="113">
                  <c:v>43.365954492501871</c:v>
                </c:pt>
                <c:pt idx="114">
                  <c:v>-1.3385754643562287</c:v>
                </c:pt>
                <c:pt idx="115">
                  <c:v>46.380236504720855</c:v>
                </c:pt>
                <c:pt idx="116">
                  <c:v>10.197048130633263</c:v>
                </c:pt>
                <c:pt idx="117">
                  <c:v>-1.4151261469279923</c:v>
                </c:pt>
                <c:pt idx="118">
                  <c:v>-3.0729430950867922</c:v>
                </c:pt>
                <c:pt idx="119">
                  <c:v>-7.8700994534809254</c:v>
                </c:pt>
                <c:pt idx="120">
                  <c:v>9.9578369250664629</c:v>
                </c:pt>
                <c:pt idx="121">
                  <c:v>-3.0587730102207686</c:v>
                </c:pt>
                <c:pt idx="122">
                  <c:v>-1.8076799940002317</c:v>
                </c:pt>
                <c:pt idx="123">
                  <c:v>-9.6533255349542557</c:v>
                </c:pt>
                <c:pt idx="124">
                  <c:v>14.953280629759449</c:v>
                </c:pt>
                <c:pt idx="125">
                  <c:v>23.681554142156891</c:v>
                </c:pt>
                <c:pt idx="126">
                  <c:v>-6.0783562915093299</c:v>
                </c:pt>
                <c:pt idx="127">
                  <c:v>-6.7145437201006146</c:v>
                </c:pt>
                <c:pt idx="128">
                  <c:v>10.414042526716662</c:v>
                </c:pt>
                <c:pt idx="129">
                  <c:v>43.941451686564633</c:v>
                </c:pt>
                <c:pt idx="130">
                  <c:v>-6.6565783388122313</c:v>
                </c:pt>
                <c:pt idx="131">
                  <c:v>-1.1169827692200229</c:v>
                </c:pt>
                <c:pt idx="132">
                  <c:v>-11.866239337997492</c:v>
                </c:pt>
                <c:pt idx="133">
                  <c:v>-9.523329112304225</c:v>
                </c:pt>
                <c:pt idx="134">
                  <c:v>34.558811750357648</c:v>
                </c:pt>
                <c:pt idx="135">
                  <c:v>-3.9605099050991868</c:v>
                </c:pt>
                <c:pt idx="136">
                  <c:v>23.882966878449182</c:v>
                </c:pt>
                <c:pt idx="137">
                  <c:v>2.5371036812156489</c:v>
                </c:pt>
                <c:pt idx="138">
                  <c:v>-1.6402248612618386</c:v>
                </c:pt>
                <c:pt idx="139">
                  <c:v>-1.5743735312794489</c:v>
                </c:pt>
                <c:pt idx="140">
                  <c:v>8.9681603741639861</c:v>
                </c:pt>
                <c:pt idx="141">
                  <c:v>0.62002736980459039</c:v>
                </c:pt>
                <c:pt idx="142">
                  <c:v>-8.7443604237334043</c:v>
                </c:pt>
                <c:pt idx="143">
                  <c:v>1.1257578748846568</c:v>
                </c:pt>
                <c:pt idx="144">
                  <c:v>18.19729598856518</c:v>
                </c:pt>
                <c:pt idx="145">
                  <c:v>2.813794906342693</c:v>
                </c:pt>
                <c:pt idx="146">
                  <c:v>-6.9699931981321228</c:v>
                </c:pt>
                <c:pt idx="147">
                  <c:v>-9.5671876059369083</c:v>
                </c:pt>
                <c:pt idx="148">
                  <c:v>0.85897512411654364</c:v>
                </c:pt>
                <c:pt idx="149">
                  <c:v>1.8091012401992774</c:v>
                </c:pt>
                <c:pt idx="150">
                  <c:v>34.166548732065984</c:v>
                </c:pt>
                <c:pt idx="151">
                  <c:v>4.2719257906015144</c:v>
                </c:pt>
                <c:pt idx="152">
                  <c:v>-8.0923635162732168</c:v>
                </c:pt>
                <c:pt idx="153">
                  <c:v>-5.7445535633903155</c:v>
                </c:pt>
                <c:pt idx="154">
                  <c:v>-4.5037605917209689</c:v>
                </c:pt>
                <c:pt idx="155">
                  <c:v>5.6560257764609636</c:v>
                </c:pt>
                <c:pt idx="156">
                  <c:v>-5.7490297711155094</c:v>
                </c:pt>
                <c:pt idx="157">
                  <c:v>15.355686125173364</c:v>
                </c:pt>
                <c:pt idx="158">
                  <c:v>-4.0988175395998994</c:v>
                </c:pt>
                <c:pt idx="159">
                  <c:v>55.952254576237365</c:v>
                </c:pt>
                <c:pt idx="160">
                  <c:v>18.080206098100163</c:v>
                </c:pt>
                <c:pt idx="161">
                  <c:v>11.850733576649557</c:v>
                </c:pt>
                <c:pt idx="162">
                  <c:v>-3.1760650948766056</c:v>
                </c:pt>
                <c:pt idx="163">
                  <c:v>20.274491279340445</c:v>
                </c:pt>
                <c:pt idx="164">
                  <c:v>-1.1583355391649661</c:v>
                </c:pt>
                <c:pt idx="165">
                  <c:v>11.238015546156745</c:v>
                </c:pt>
                <c:pt idx="166">
                  <c:v>15.221380568126555</c:v>
                </c:pt>
                <c:pt idx="167">
                  <c:v>9.9749441426804957</c:v>
                </c:pt>
                <c:pt idx="168">
                  <c:v>-2.3607849708046729</c:v>
                </c:pt>
                <c:pt idx="169">
                  <c:v>1.4817086706502316</c:v>
                </c:pt>
                <c:pt idx="170">
                  <c:v>0.98204417468440397</c:v>
                </c:pt>
                <c:pt idx="171">
                  <c:v>5.5610300750282864</c:v>
                </c:pt>
                <c:pt idx="172">
                  <c:v>-14.538388666368505</c:v>
                </c:pt>
                <c:pt idx="173">
                  <c:v>19.04907246171134</c:v>
                </c:pt>
                <c:pt idx="174">
                  <c:v>-4.6066750406686623</c:v>
                </c:pt>
                <c:pt idx="175">
                  <c:v>6.9696635377360323</c:v>
                </c:pt>
                <c:pt idx="176">
                  <c:v>1.0964215209124399</c:v>
                </c:pt>
                <c:pt idx="177">
                  <c:v>27.693292225019917</c:v>
                </c:pt>
                <c:pt idx="178">
                  <c:v>-10.522824860761396</c:v>
                </c:pt>
                <c:pt idx="179">
                  <c:v>1.3815062112080163</c:v>
                </c:pt>
                <c:pt idx="180">
                  <c:v>-0.18010452990375825</c:v>
                </c:pt>
                <c:pt idx="181">
                  <c:v>2.6123956124785224</c:v>
                </c:pt>
                <c:pt idx="182">
                  <c:v>-0.47878604263811297</c:v>
                </c:pt>
                <c:pt idx="183">
                  <c:v>20.556052298580333</c:v>
                </c:pt>
                <c:pt idx="184">
                  <c:v>8.6571472263112881</c:v>
                </c:pt>
                <c:pt idx="185">
                  <c:v>-0.9213349829555284</c:v>
                </c:pt>
                <c:pt idx="186">
                  <c:v>-1.8628749416962693</c:v>
                </c:pt>
                <c:pt idx="187">
                  <c:v>0.71772367783772129</c:v>
                </c:pt>
                <c:pt idx="188">
                  <c:v>27.506656395372104</c:v>
                </c:pt>
                <c:pt idx="189">
                  <c:v>15.177289917480692</c:v>
                </c:pt>
                <c:pt idx="190">
                  <c:v>18.361457243719045</c:v>
                </c:pt>
                <c:pt idx="191">
                  <c:v>16.982902274598651</c:v>
                </c:pt>
                <c:pt idx="192">
                  <c:v>10.454376062011303</c:v>
                </c:pt>
                <c:pt idx="193">
                  <c:v>-15.127892804283711</c:v>
                </c:pt>
                <c:pt idx="194">
                  <c:v>-6.4182282180349084</c:v>
                </c:pt>
                <c:pt idx="195">
                  <c:v>46.437594936660091</c:v>
                </c:pt>
                <c:pt idx="196">
                  <c:v>-5.4409745469104518</c:v>
                </c:pt>
                <c:pt idx="197">
                  <c:v>-9.7547913043452112</c:v>
                </c:pt>
                <c:pt idx="198">
                  <c:v>-3.9552859276090366</c:v>
                </c:pt>
                <c:pt idx="199">
                  <c:v>0.60042305009155683</c:v>
                </c:pt>
                <c:pt idx="200">
                  <c:v>15.524010557948841</c:v>
                </c:pt>
                <c:pt idx="201">
                  <c:v>4.4945334791026657</c:v>
                </c:pt>
                <c:pt idx="202">
                  <c:v>7.798829308610145</c:v>
                </c:pt>
                <c:pt idx="203">
                  <c:v>9.2585677454801569</c:v>
                </c:pt>
                <c:pt idx="204">
                  <c:v>0.73814962902115155</c:v>
                </c:pt>
                <c:pt idx="205">
                  <c:v>2.4322126647799891</c:v>
                </c:pt>
                <c:pt idx="206">
                  <c:v>14.471714099674511</c:v>
                </c:pt>
                <c:pt idx="207">
                  <c:v>-2.5330558818007169</c:v>
                </c:pt>
                <c:pt idx="208">
                  <c:v>16.136161295065833</c:v>
                </c:pt>
                <c:pt idx="209">
                  <c:v>1.6800978382467378</c:v>
                </c:pt>
                <c:pt idx="210">
                  <c:v>24.714942949754885</c:v>
                </c:pt>
                <c:pt idx="211">
                  <c:v>4.3802672446588282</c:v>
                </c:pt>
                <c:pt idx="212">
                  <c:v>29.859772300080024</c:v>
                </c:pt>
                <c:pt idx="213">
                  <c:v>-4.6862978745075665</c:v>
                </c:pt>
                <c:pt idx="214">
                  <c:v>5.8772674283623374</c:v>
                </c:pt>
                <c:pt idx="215">
                  <c:v>23.125092393758365</c:v>
                </c:pt>
                <c:pt idx="216">
                  <c:v>-1.134055336929368</c:v>
                </c:pt>
                <c:pt idx="217">
                  <c:v>16.251669739693369</c:v>
                </c:pt>
                <c:pt idx="218">
                  <c:v>9.2378614740843474</c:v>
                </c:pt>
                <c:pt idx="219">
                  <c:v>7.0925869378777193</c:v>
                </c:pt>
                <c:pt idx="220">
                  <c:v>-15.870288971033297</c:v>
                </c:pt>
                <c:pt idx="221">
                  <c:v>45.910516163087358</c:v>
                </c:pt>
                <c:pt idx="222">
                  <c:v>27.370314268315859</c:v>
                </c:pt>
                <c:pt idx="223">
                  <c:v>5.4936636646082153</c:v>
                </c:pt>
                <c:pt idx="224">
                  <c:v>7.8621731819060656</c:v>
                </c:pt>
                <c:pt idx="225">
                  <c:v>9.1024791892359502</c:v>
                </c:pt>
                <c:pt idx="226">
                  <c:v>2.4355571885102556</c:v>
                </c:pt>
                <c:pt idx="227">
                  <c:v>20.899683596253595</c:v>
                </c:pt>
                <c:pt idx="228">
                  <c:v>1.487406308835368</c:v>
                </c:pt>
                <c:pt idx="229">
                  <c:v>-2.7638193627804371</c:v>
                </c:pt>
                <c:pt idx="230">
                  <c:v>12.618260468875402</c:v>
                </c:pt>
                <c:pt idx="231">
                  <c:v>-0.68524459483303701</c:v>
                </c:pt>
                <c:pt idx="232">
                  <c:v>-0.23562676580020536</c:v>
                </c:pt>
                <c:pt idx="233">
                  <c:v>23.955310273734341</c:v>
                </c:pt>
                <c:pt idx="234">
                  <c:v>27.026950717892568</c:v>
                </c:pt>
                <c:pt idx="235">
                  <c:v>1.4232919465942913</c:v>
                </c:pt>
                <c:pt idx="236">
                  <c:v>20.824860143001004</c:v>
                </c:pt>
                <c:pt idx="237">
                  <c:v>0.32462064722958672</c:v>
                </c:pt>
                <c:pt idx="238">
                  <c:v>-6.1031520926512073</c:v>
                </c:pt>
                <c:pt idx="239">
                  <c:v>3.8069652942950043</c:v>
                </c:pt>
                <c:pt idx="240">
                  <c:v>0.1543707670074923</c:v>
                </c:pt>
                <c:pt idx="241">
                  <c:v>9.6891156252193866</c:v>
                </c:pt>
                <c:pt idx="242">
                  <c:v>6.9064286914771955</c:v>
                </c:pt>
                <c:pt idx="243">
                  <c:v>-2.1650408835470429</c:v>
                </c:pt>
                <c:pt idx="244">
                  <c:v>-2.8287553285416323E-2</c:v>
                </c:pt>
                <c:pt idx="245">
                  <c:v>-0.56280849947863354</c:v>
                </c:pt>
                <c:pt idx="246">
                  <c:v>-4.1161167632100497</c:v>
                </c:pt>
                <c:pt idx="247">
                  <c:v>-10.534773586605461</c:v>
                </c:pt>
                <c:pt idx="248">
                  <c:v>-5.3901034521194227</c:v>
                </c:pt>
                <c:pt idx="249">
                  <c:v>3.2537566008694645</c:v>
                </c:pt>
                <c:pt idx="250">
                  <c:v>12.098658734365625</c:v>
                </c:pt>
                <c:pt idx="251">
                  <c:v>9.1252142641745841</c:v>
                </c:pt>
                <c:pt idx="252">
                  <c:v>6.8549391120008139</c:v>
                </c:pt>
                <c:pt idx="253">
                  <c:v>2.0927641936861363</c:v>
                </c:pt>
                <c:pt idx="254">
                  <c:v>-2.0568528631936509</c:v>
                </c:pt>
                <c:pt idx="255">
                  <c:v>2.4226446126600791</c:v>
                </c:pt>
                <c:pt idx="256">
                  <c:v>7.7141110848590699</c:v>
                </c:pt>
                <c:pt idx="257">
                  <c:v>7.3008397958564828</c:v>
                </c:pt>
                <c:pt idx="258">
                  <c:v>-6.3413324965512672</c:v>
                </c:pt>
                <c:pt idx="259">
                  <c:v>4.4515399233378181</c:v>
                </c:pt>
                <c:pt idx="260">
                  <c:v>-6.1539006560396317</c:v>
                </c:pt>
                <c:pt idx="261">
                  <c:v>-3.2519474646302755</c:v>
                </c:pt>
                <c:pt idx="262">
                  <c:v>33.398444294899491</c:v>
                </c:pt>
                <c:pt idx="263">
                  <c:v>7.5118597866303816E-2</c:v>
                </c:pt>
                <c:pt idx="264">
                  <c:v>-2.1634533709313795</c:v>
                </c:pt>
                <c:pt idx="265">
                  <c:v>-14.770152063961064</c:v>
                </c:pt>
                <c:pt idx="266">
                  <c:v>-1.5915254357948125</c:v>
                </c:pt>
                <c:pt idx="267">
                  <c:v>-7.3093800181157516</c:v>
                </c:pt>
                <c:pt idx="268">
                  <c:v>18.446191628988363</c:v>
                </c:pt>
                <c:pt idx="269">
                  <c:v>-2.0921422715290703</c:v>
                </c:pt>
                <c:pt idx="270">
                  <c:v>-5.8948037150546364</c:v>
                </c:pt>
                <c:pt idx="271">
                  <c:v>11.573476954396774</c:v>
                </c:pt>
                <c:pt idx="272">
                  <c:v>-1.8792395543108382</c:v>
                </c:pt>
                <c:pt idx="273">
                  <c:v>29.576604019810013</c:v>
                </c:pt>
                <c:pt idx="274">
                  <c:v>-14.002022147938881</c:v>
                </c:pt>
                <c:pt idx="275">
                  <c:v>20.462919085977877</c:v>
                </c:pt>
                <c:pt idx="276">
                  <c:v>25.015859983714275</c:v>
                </c:pt>
                <c:pt idx="277">
                  <c:v>34.83138522753859</c:v>
                </c:pt>
                <c:pt idx="278">
                  <c:v>18.421407271423689</c:v>
                </c:pt>
                <c:pt idx="279">
                  <c:v>-8.2587690991519267</c:v>
                </c:pt>
                <c:pt idx="280">
                  <c:v>-16.708172126884449</c:v>
                </c:pt>
                <c:pt idx="281">
                  <c:v>12.084605854294452</c:v>
                </c:pt>
                <c:pt idx="282">
                  <c:v>8.7329291875633643</c:v>
                </c:pt>
                <c:pt idx="283">
                  <c:v>6.3399580027564326</c:v>
                </c:pt>
                <c:pt idx="284">
                  <c:v>9.143723255180344</c:v>
                </c:pt>
                <c:pt idx="285">
                  <c:v>-2.4676266773664328</c:v>
                </c:pt>
                <c:pt idx="286">
                  <c:v>-10.381793176312087</c:v>
                </c:pt>
                <c:pt idx="287">
                  <c:v>18.287138186732541</c:v>
                </c:pt>
                <c:pt idx="288">
                  <c:v>-3.8115367462439913</c:v>
                </c:pt>
                <c:pt idx="289">
                  <c:v>13.799440722928956</c:v>
                </c:pt>
                <c:pt idx="290">
                  <c:v>14.976246319852464</c:v>
                </c:pt>
                <c:pt idx="291">
                  <c:v>-2.528711416084354</c:v>
                </c:pt>
                <c:pt idx="292">
                  <c:v>9.3425710937668853</c:v>
                </c:pt>
                <c:pt idx="293">
                  <c:v>22.159364907578322</c:v>
                </c:pt>
                <c:pt idx="294">
                  <c:v>25.797255928972234</c:v>
                </c:pt>
                <c:pt idx="295">
                  <c:v>-3.7169321994153828</c:v>
                </c:pt>
                <c:pt idx="296">
                  <c:v>-9.8502701889334539</c:v>
                </c:pt>
                <c:pt idx="297">
                  <c:v>-7.371543338101155</c:v>
                </c:pt>
                <c:pt idx="298">
                  <c:v>34.627357096691945</c:v>
                </c:pt>
                <c:pt idx="299">
                  <c:v>7.5062697443037969</c:v>
                </c:pt>
                <c:pt idx="300">
                  <c:v>-1.0076642675991323</c:v>
                </c:pt>
                <c:pt idx="301">
                  <c:v>-1.0625168736926165</c:v>
                </c:pt>
                <c:pt idx="302">
                  <c:v>7.1781852995252535</c:v>
                </c:pt>
                <c:pt idx="303">
                  <c:v>23.61696023349641</c:v>
                </c:pt>
                <c:pt idx="304">
                  <c:v>5.2494502742919309</c:v>
                </c:pt>
                <c:pt idx="305">
                  <c:v>-7.1184127316916435</c:v>
                </c:pt>
                <c:pt idx="306">
                  <c:v>10.152629313285658</c:v>
                </c:pt>
                <c:pt idx="307">
                  <c:v>41.753339456418558</c:v>
                </c:pt>
                <c:pt idx="308">
                  <c:v>13.511100414720772</c:v>
                </c:pt>
                <c:pt idx="309">
                  <c:v>12.533084424587422</c:v>
                </c:pt>
                <c:pt idx="310">
                  <c:v>-0.20836929304769214</c:v>
                </c:pt>
                <c:pt idx="311">
                  <c:v>-10.696913021246573</c:v>
                </c:pt>
                <c:pt idx="312">
                  <c:v>58.496889942230993</c:v>
                </c:pt>
                <c:pt idx="313">
                  <c:v>13.392702118111218</c:v>
                </c:pt>
                <c:pt idx="314">
                  <c:v>23.154551414397204</c:v>
                </c:pt>
                <c:pt idx="315">
                  <c:v>3.7641626409800111</c:v>
                </c:pt>
                <c:pt idx="316">
                  <c:v>8.8652596564892452</c:v>
                </c:pt>
                <c:pt idx="317">
                  <c:v>36.141516022592292</c:v>
                </c:pt>
                <c:pt idx="318">
                  <c:v>36.116964548181457</c:v>
                </c:pt>
                <c:pt idx="319">
                  <c:v>37.636951907271687</c:v>
                </c:pt>
                <c:pt idx="320">
                  <c:v>4.4764127419886393</c:v>
                </c:pt>
                <c:pt idx="321">
                  <c:v>-1.1245086250859124</c:v>
                </c:pt>
                <c:pt idx="322">
                  <c:v>11.640998479978613</c:v>
                </c:pt>
                <c:pt idx="323">
                  <c:v>51.4943211048313</c:v>
                </c:pt>
                <c:pt idx="324">
                  <c:v>5.5844405147333163</c:v>
                </c:pt>
                <c:pt idx="325">
                  <c:v>26.499915778894838</c:v>
                </c:pt>
                <c:pt idx="326">
                  <c:v>-9.6753037630114918</c:v>
                </c:pt>
                <c:pt idx="327">
                  <c:v>4.0907656478993637</c:v>
                </c:pt>
                <c:pt idx="328">
                  <c:v>8.8449656158164913</c:v>
                </c:pt>
                <c:pt idx="329">
                  <c:v>-16.673164529440477</c:v>
                </c:pt>
                <c:pt idx="330">
                  <c:v>-3.1333699826562262</c:v>
                </c:pt>
                <c:pt idx="331">
                  <c:v>1.2834451185997042</c:v>
                </c:pt>
                <c:pt idx="332">
                  <c:v>36.200363277458784</c:v>
                </c:pt>
                <c:pt idx="333">
                  <c:v>-0.41999430525431336</c:v>
                </c:pt>
                <c:pt idx="334">
                  <c:v>35.0923902366862</c:v>
                </c:pt>
                <c:pt idx="335">
                  <c:v>-5.1342652472377317</c:v>
                </c:pt>
                <c:pt idx="336">
                  <c:v>33.8158369504863</c:v>
                </c:pt>
                <c:pt idx="337">
                  <c:v>5.3721810993144175</c:v>
                </c:pt>
                <c:pt idx="338">
                  <c:v>0.51858652168191988</c:v>
                </c:pt>
                <c:pt idx="339">
                  <c:v>0.20670974481820181</c:v>
                </c:pt>
                <c:pt idx="340">
                  <c:v>2.5106844011261202</c:v>
                </c:pt>
                <c:pt idx="341">
                  <c:v>-2.8317142495803438</c:v>
                </c:pt>
                <c:pt idx="342">
                  <c:v>55.749141998019333</c:v>
                </c:pt>
                <c:pt idx="343">
                  <c:v>-7.10750222976327</c:v>
                </c:pt>
                <c:pt idx="344">
                  <c:v>8.8654993773132098</c:v>
                </c:pt>
                <c:pt idx="345">
                  <c:v>37.645112076586656</c:v>
                </c:pt>
                <c:pt idx="346">
                  <c:v>-0.2975314524148871</c:v>
                </c:pt>
                <c:pt idx="347">
                  <c:v>4.8018991296474027</c:v>
                </c:pt>
                <c:pt idx="348">
                  <c:v>2.0694281876953369</c:v>
                </c:pt>
                <c:pt idx="349">
                  <c:v>26.692556969824444</c:v>
                </c:pt>
                <c:pt idx="350">
                  <c:v>-6.1580524281017546</c:v>
                </c:pt>
                <c:pt idx="351">
                  <c:v>30.849296087179525</c:v>
                </c:pt>
                <c:pt idx="352">
                  <c:v>3.8863469101100421</c:v>
                </c:pt>
                <c:pt idx="353">
                  <c:v>-1.4593886735502863</c:v>
                </c:pt>
                <c:pt idx="354">
                  <c:v>3.1938014304768387</c:v>
                </c:pt>
                <c:pt idx="355">
                  <c:v>-4.8506555683252017E-2</c:v>
                </c:pt>
                <c:pt idx="356">
                  <c:v>17.838364071737175</c:v>
                </c:pt>
                <c:pt idx="357">
                  <c:v>-0.10480124286492298</c:v>
                </c:pt>
                <c:pt idx="358">
                  <c:v>-12.94944251056681</c:v>
                </c:pt>
                <c:pt idx="359">
                  <c:v>-9.7868015269665349</c:v>
                </c:pt>
                <c:pt idx="360">
                  <c:v>15.097513186955284</c:v>
                </c:pt>
                <c:pt idx="361">
                  <c:v>1.8467927770665824</c:v>
                </c:pt>
                <c:pt idx="362">
                  <c:v>-1.7306505503825478</c:v>
                </c:pt>
                <c:pt idx="363">
                  <c:v>8.2119867351535962</c:v>
                </c:pt>
                <c:pt idx="364">
                  <c:v>8.6566613133049302</c:v>
                </c:pt>
                <c:pt idx="365">
                  <c:v>-2.3682077801233046</c:v>
                </c:pt>
                <c:pt idx="366">
                  <c:v>5.89820135681388</c:v>
                </c:pt>
                <c:pt idx="367">
                  <c:v>0.68698560822110011</c:v>
                </c:pt>
                <c:pt idx="368">
                  <c:v>38.780169195285822</c:v>
                </c:pt>
                <c:pt idx="369">
                  <c:v>18.038019988672584</c:v>
                </c:pt>
                <c:pt idx="370">
                  <c:v>11.449313159626378</c:v>
                </c:pt>
                <c:pt idx="371">
                  <c:v>-3.2478422378730443E-2</c:v>
                </c:pt>
                <c:pt idx="372">
                  <c:v>5.7466634144533231</c:v>
                </c:pt>
                <c:pt idx="373">
                  <c:v>2.0601005717097074</c:v>
                </c:pt>
                <c:pt idx="374">
                  <c:v>8.8083878876396611</c:v>
                </c:pt>
                <c:pt idx="375">
                  <c:v>4.4797884755077337</c:v>
                </c:pt>
                <c:pt idx="376">
                  <c:v>23.378146374867011</c:v>
                </c:pt>
                <c:pt idx="377">
                  <c:v>2.8984854095324231</c:v>
                </c:pt>
                <c:pt idx="378">
                  <c:v>30.141419114204048</c:v>
                </c:pt>
                <c:pt idx="379">
                  <c:v>14.060600988605712</c:v>
                </c:pt>
                <c:pt idx="380">
                  <c:v>-4.3908404828869401</c:v>
                </c:pt>
                <c:pt idx="381">
                  <c:v>58.820782442177567</c:v>
                </c:pt>
                <c:pt idx="382">
                  <c:v>18.165554041202512</c:v>
                </c:pt>
                <c:pt idx="383">
                  <c:v>-4.9625581856432177</c:v>
                </c:pt>
                <c:pt idx="384">
                  <c:v>5.398740755210369</c:v>
                </c:pt>
                <c:pt idx="385">
                  <c:v>5.6257067736904904</c:v>
                </c:pt>
                <c:pt idx="386">
                  <c:v>18.819411812538853</c:v>
                </c:pt>
                <c:pt idx="387">
                  <c:v>10.750121679963293</c:v>
                </c:pt>
                <c:pt idx="388">
                  <c:v>-1.3628884478537771</c:v>
                </c:pt>
                <c:pt idx="389">
                  <c:v>1.8791621832376819</c:v>
                </c:pt>
                <c:pt idx="390">
                  <c:v>34.628244342475028</c:v>
                </c:pt>
                <c:pt idx="391">
                  <c:v>1.9666267101813579</c:v>
                </c:pt>
                <c:pt idx="392">
                  <c:v>-8.3987807442804154</c:v>
                </c:pt>
                <c:pt idx="393">
                  <c:v>9.9481183255047156</c:v>
                </c:pt>
                <c:pt idx="394">
                  <c:v>2.9922470180996896</c:v>
                </c:pt>
                <c:pt idx="395">
                  <c:v>-2.7542825259502735</c:v>
                </c:pt>
                <c:pt idx="396">
                  <c:v>-1.9750697505892689</c:v>
                </c:pt>
                <c:pt idx="397">
                  <c:v>16.711332444464517</c:v>
                </c:pt>
                <c:pt idx="398">
                  <c:v>21.434448096484822</c:v>
                </c:pt>
                <c:pt idx="399">
                  <c:v>-5.3249898105246096</c:v>
                </c:pt>
                <c:pt idx="400">
                  <c:v>2.8585500250009321</c:v>
                </c:pt>
                <c:pt idx="401">
                  <c:v>17.450271242770462</c:v>
                </c:pt>
                <c:pt idx="402">
                  <c:v>-7.3239854059119693</c:v>
                </c:pt>
              </c:numCache>
            </c:numRef>
          </c:xVal>
          <c:yVal>
            <c:numRef>
              <c:f>'Nonlinear regression'!$K$84:$K$486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3-4EB7-BFB5-ACB24213FAF6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21.850318065033356</c:v>
              </c:pt>
            </c:numLit>
          </c:xVal>
          <c:yVal>
            <c:numLit>
              <c:formatCode>General</c:formatCode>
              <c:ptCount val="1"/>
              <c:pt idx="0">
                <c:v>8.5512575000000002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843-4EB7-BFB5-ACB24213FAF6}"/>
            </c:ext>
          </c:extLst>
        </c:ser>
        <c:ser>
          <c:idx val="2"/>
          <c:order val="2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-20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843-4EB7-BFB5-ACB24213F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455104"/>
        <c:axId val="1417333296"/>
      </c:scatterChart>
      <c:valAx>
        <c:axId val="1206455104"/>
        <c:scaling>
          <c:orientation val="minMax"/>
          <c:max val="10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417333296"/>
        <c:crosses val="autoZero"/>
        <c:crossBetween val="midCat"/>
      </c:valAx>
      <c:valAx>
        <c:axId val="1417333296"/>
        <c:scaling>
          <c:orientation val="minMax"/>
          <c:max val="100"/>
          <c:min val="-2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0645510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Residuals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'Nonlinear regression'!$B$84:$B$486</c:f>
              <c:strCache>
                <c:ptCount val="403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  <c:pt idx="311">
                  <c:v>Obs312</c:v>
                </c:pt>
                <c:pt idx="312">
                  <c:v>Obs313</c:v>
                </c:pt>
                <c:pt idx="313">
                  <c:v>Obs314</c:v>
                </c:pt>
                <c:pt idx="314">
                  <c:v>Obs315</c:v>
                </c:pt>
                <c:pt idx="315">
                  <c:v>Obs316</c:v>
                </c:pt>
                <c:pt idx="316">
                  <c:v>Obs317</c:v>
                </c:pt>
                <c:pt idx="317">
                  <c:v>Obs318</c:v>
                </c:pt>
                <c:pt idx="318">
                  <c:v>Obs319</c:v>
                </c:pt>
                <c:pt idx="319">
                  <c:v>Obs320</c:v>
                </c:pt>
                <c:pt idx="320">
                  <c:v>Obs321</c:v>
                </c:pt>
                <c:pt idx="321">
                  <c:v>Obs322</c:v>
                </c:pt>
                <c:pt idx="322">
                  <c:v>Obs323</c:v>
                </c:pt>
                <c:pt idx="323">
                  <c:v>Obs324</c:v>
                </c:pt>
                <c:pt idx="324">
                  <c:v>Obs325</c:v>
                </c:pt>
                <c:pt idx="325">
                  <c:v>Obs326</c:v>
                </c:pt>
                <c:pt idx="326">
                  <c:v>Obs327</c:v>
                </c:pt>
                <c:pt idx="327">
                  <c:v>Obs328</c:v>
                </c:pt>
                <c:pt idx="328">
                  <c:v>Obs329</c:v>
                </c:pt>
                <c:pt idx="329">
                  <c:v>Obs330</c:v>
                </c:pt>
                <c:pt idx="330">
                  <c:v>Obs331</c:v>
                </c:pt>
                <c:pt idx="331">
                  <c:v>Obs332</c:v>
                </c:pt>
                <c:pt idx="332">
                  <c:v>Obs333</c:v>
                </c:pt>
                <c:pt idx="333">
                  <c:v>Obs334</c:v>
                </c:pt>
                <c:pt idx="334">
                  <c:v>Obs335</c:v>
                </c:pt>
                <c:pt idx="335">
                  <c:v>Obs336</c:v>
                </c:pt>
                <c:pt idx="336">
                  <c:v>Obs337</c:v>
                </c:pt>
                <c:pt idx="337">
                  <c:v>Obs338</c:v>
                </c:pt>
                <c:pt idx="338">
                  <c:v>Obs339</c:v>
                </c:pt>
                <c:pt idx="339">
                  <c:v>Obs340</c:v>
                </c:pt>
                <c:pt idx="340">
                  <c:v>Obs341</c:v>
                </c:pt>
                <c:pt idx="341">
                  <c:v>Obs342</c:v>
                </c:pt>
                <c:pt idx="342">
                  <c:v>Obs343</c:v>
                </c:pt>
                <c:pt idx="343">
                  <c:v>Obs344</c:v>
                </c:pt>
                <c:pt idx="344">
                  <c:v>Obs345</c:v>
                </c:pt>
                <c:pt idx="345">
                  <c:v>Obs346</c:v>
                </c:pt>
                <c:pt idx="346">
                  <c:v>Obs347</c:v>
                </c:pt>
                <c:pt idx="347">
                  <c:v>Obs348</c:v>
                </c:pt>
                <c:pt idx="348">
                  <c:v>Obs349</c:v>
                </c:pt>
                <c:pt idx="349">
                  <c:v>Obs350</c:v>
                </c:pt>
                <c:pt idx="350">
                  <c:v>Obs351</c:v>
                </c:pt>
                <c:pt idx="351">
                  <c:v>Obs352</c:v>
                </c:pt>
                <c:pt idx="352">
                  <c:v>Obs353</c:v>
                </c:pt>
                <c:pt idx="353">
                  <c:v>Obs354</c:v>
                </c:pt>
                <c:pt idx="354">
                  <c:v>Obs355</c:v>
                </c:pt>
                <c:pt idx="355">
                  <c:v>Obs356</c:v>
                </c:pt>
                <c:pt idx="356">
                  <c:v>Obs357</c:v>
                </c:pt>
                <c:pt idx="357">
                  <c:v>Obs358</c:v>
                </c:pt>
                <c:pt idx="358">
                  <c:v>Obs359</c:v>
                </c:pt>
                <c:pt idx="359">
                  <c:v>Obs360</c:v>
                </c:pt>
                <c:pt idx="360">
                  <c:v>Obs361</c:v>
                </c:pt>
                <c:pt idx="361">
                  <c:v>Obs362</c:v>
                </c:pt>
                <c:pt idx="362">
                  <c:v>Obs363</c:v>
                </c:pt>
                <c:pt idx="363">
                  <c:v>Obs364</c:v>
                </c:pt>
                <c:pt idx="364">
                  <c:v>Obs365</c:v>
                </c:pt>
                <c:pt idx="365">
                  <c:v>Obs366</c:v>
                </c:pt>
                <c:pt idx="366">
                  <c:v>Obs367</c:v>
                </c:pt>
                <c:pt idx="367">
                  <c:v>Obs368</c:v>
                </c:pt>
                <c:pt idx="368">
                  <c:v>Obs369</c:v>
                </c:pt>
                <c:pt idx="369">
                  <c:v>Obs370</c:v>
                </c:pt>
                <c:pt idx="370">
                  <c:v>Obs371</c:v>
                </c:pt>
                <c:pt idx="371">
                  <c:v>Obs372</c:v>
                </c:pt>
                <c:pt idx="372">
                  <c:v>Obs373</c:v>
                </c:pt>
                <c:pt idx="373">
                  <c:v>Obs374</c:v>
                </c:pt>
                <c:pt idx="374">
                  <c:v>Obs375</c:v>
                </c:pt>
                <c:pt idx="375">
                  <c:v>Obs376</c:v>
                </c:pt>
                <c:pt idx="376">
                  <c:v>Obs377</c:v>
                </c:pt>
                <c:pt idx="377">
                  <c:v>Obs378</c:v>
                </c:pt>
                <c:pt idx="378">
                  <c:v>Obs379</c:v>
                </c:pt>
                <c:pt idx="379">
                  <c:v>Obs380</c:v>
                </c:pt>
                <c:pt idx="380">
                  <c:v>Obs381</c:v>
                </c:pt>
                <c:pt idx="381">
                  <c:v>Obs382</c:v>
                </c:pt>
                <c:pt idx="382">
                  <c:v>Obs383</c:v>
                </c:pt>
                <c:pt idx="383">
                  <c:v>Obs384</c:v>
                </c:pt>
                <c:pt idx="384">
                  <c:v>Obs385</c:v>
                </c:pt>
                <c:pt idx="385">
                  <c:v>Obs386</c:v>
                </c:pt>
                <c:pt idx="386">
                  <c:v>Obs387</c:v>
                </c:pt>
                <c:pt idx="387">
                  <c:v>Obs388</c:v>
                </c:pt>
                <c:pt idx="388">
                  <c:v>Obs389</c:v>
                </c:pt>
                <c:pt idx="389">
                  <c:v>Obs390</c:v>
                </c:pt>
                <c:pt idx="390">
                  <c:v>Obs391</c:v>
                </c:pt>
                <c:pt idx="391">
                  <c:v>Obs392</c:v>
                </c:pt>
                <c:pt idx="392">
                  <c:v>Obs393</c:v>
                </c:pt>
                <c:pt idx="393">
                  <c:v>Obs394</c:v>
                </c:pt>
                <c:pt idx="394">
                  <c:v>Obs395</c:v>
                </c:pt>
                <c:pt idx="395">
                  <c:v>Obs396</c:v>
                </c:pt>
                <c:pt idx="396">
                  <c:v>Obs397</c:v>
                </c:pt>
                <c:pt idx="397">
                  <c:v>Obs398</c:v>
                </c:pt>
                <c:pt idx="398">
                  <c:v>Obs399</c:v>
                </c:pt>
                <c:pt idx="399">
                  <c:v>Obs400</c:v>
                </c:pt>
                <c:pt idx="400">
                  <c:v>Obs401</c:v>
                </c:pt>
                <c:pt idx="401">
                  <c:v>Obs402</c:v>
                </c:pt>
                <c:pt idx="402">
                  <c:v>Obs403</c:v>
                </c:pt>
              </c:strCache>
            </c:strRef>
          </c:cat>
          <c:val>
            <c:numRef>
              <c:f>'Nonlinear regression'!$M$84:$M$486</c:f>
              <c:numCache>
                <c:formatCode>0.000</c:formatCode>
                <c:ptCount val="403"/>
                <c:pt idx="0">
                  <c:v>-0.72988151962807191</c:v>
                </c:pt>
                <c:pt idx="1">
                  <c:v>-13.299060565033356</c:v>
                </c:pt>
                <c:pt idx="2">
                  <c:v>-2.6638093551827264</c:v>
                </c:pt>
                <c:pt idx="3">
                  <c:v>1.7440258358887455</c:v>
                </c:pt>
                <c:pt idx="4">
                  <c:v>-3.6019948816609961</c:v>
                </c:pt>
                <c:pt idx="5">
                  <c:v>-0.15341392797678677</c:v>
                </c:pt>
                <c:pt idx="6">
                  <c:v>-6.1303132333450634</c:v>
                </c:pt>
                <c:pt idx="7">
                  <c:v>3.2692295367096045</c:v>
                </c:pt>
                <c:pt idx="8">
                  <c:v>6.46298663873457</c:v>
                </c:pt>
                <c:pt idx="9">
                  <c:v>2.0108559761090605</c:v>
                </c:pt>
                <c:pt idx="10">
                  <c:v>4.2261106105839552E-2</c:v>
                </c:pt>
                <c:pt idx="11">
                  <c:v>4.3656981221464912</c:v>
                </c:pt>
                <c:pt idx="12">
                  <c:v>7.1818958811892086</c:v>
                </c:pt>
                <c:pt idx="13">
                  <c:v>3.3657647025384363</c:v>
                </c:pt>
                <c:pt idx="14">
                  <c:v>-8.6396171670235056E-2</c:v>
                </c:pt>
                <c:pt idx="15">
                  <c:v>6.7729888560929501</c:v>
                </c:pt>
                <c:pt idx="16">
                  <c:v>-5.5106163633801071</c:v>
                </c:pt>
                <c:pt idx="17">
                  <c:v>28.537972022832548</c:v>
                </c:pt>
                <c:pt idx="18">
                  <c:v>12.174235315217395</c:v>
                </c:pt>
                <c:pt idx="19">
                  <c:v>1.3099890815021054</c:v>
                </c:pt>
                <c:pt idx="20">
                  <c:v>4.1865539897433619</c:v>
                </c:pt>
                <c:pt idx="21">
                  <c:v>6.875509216858374</c:v>
                </c:pt>
                <c:pt idx="22">
                  <c:v>5.111571302720149</c:v>
                </c:pt>
                <c:pt idx="23">
                  <c:v>9.5488714380523589</c:v>
                </c:pt>
                <c:pt idx="24">
                  <c:v>-12.832023322461614</c:v>
                </c:pt>
                <c:pt idx="25">
                  <c:v>1.7563253660319809</c:v>
                </c:pt>
                <c:pt idx="26">
                  <c:v>9.0776109266310598</c:v>
                </c:pt>
                <c:pt idx="27">
                  <c:v>-6.0293742724751773</c:v>
                </c:pt>
                <c:pt idx="28">
                  <c:v>7.6617784343842175</c:v>
                </c:pt>
                <c:pt idx="29">
                  <c:v>12.016623719284823</c:v>
                </c:pt>
                <c:pt idx="30">
                  <c:v>3.905695075360704</c:v>
                </c:pt>
                <c:pt idx="31">
                  <c:v>2.3742984801774893</c:v>
                </c:pt>
                <c:pt idx="32">
                  <c:v>-9.0374683732935512</c:v>
                </c:pt>
                <c:pt idx="33">
                  <c:v>-12.259873453616994</c:v>
                </c:pt>
                <c:pt idx="34">
                  <c:v>-2.894867042258022</c:v>
                </c:pt>
                <c:pt idx="35">
                  <c:v>-7.5156214064089406</c:v>
                </c:pt>
                <c:pt idx="36">
                  <c:v>-10.013359118707838</c:v>
                </c:pt>
                <c:pt idx="37">
                  <c:v>-3.3405650053210243</c:v>
                </c:pt>
                <c:pt idx="38">
                  <c:v>-4.9864974326444571</c:v>
                </c:pt>
                <c:pt idx="39">
                  <c:v>-1.7057876715446647</c:v>
                </c:pt>
                <c:pt idx="40">
                  <c:v>0.53455374026150837</c:v>
                </c:pt>
                <c:pt idx="41">
                  <c:v>-2.2276541473734968</c:v>
                </c:pt>
                <c:pt idx="42">
                  <c:v>-4.1043635592584025</c:v>
                </c:pt>
                <c:pt idx="43">
                  <c:v>3.9554130316512115</c:v>
                </c:pt>
                <c:pt idx="44">
                  <c:v>-5.1186508699369577</c:v>
                </c:pt>
                <c:pt idx="45">
                  <c:v>32.573412445549323</c:v>
                </c:pt>
                <c:pt idx="46">
                  <c:v>6.1980914250320698</c:v>
                </c:pt>
                <c:pt idx="47">
                  <c:v>-6.9868549461883491</c:v>
                </c:pt>
                <c:pt idx="48">
                  <c:v>-8.3692020058076118</c:v>
                </c:pt>
                <c:pt idx="49">
                  <c:v>5.6799483448081274</c:v>
                </c:pt>
                <c:pt idx="50">
                  <c:v>12.14610531297174</c:v>
                </c:pt>
                <c:pt idx="51">
                  <c:v>-0.21544920166951065</c:v>
                </c:pt>
                <c:pt idx="52">
                  <c:v>6.1552814248030119</c:v>
                </c:pt>
                <c:pt idx="53">
                  <c:v>0.46758348655723569</c:v>
                </c:pt>
                <c:pt idx="54">
                  <c:v>-2.2418230474811192</c:v>
                </c:pt>
                <c:pt idx="55">
                  <c:v>6.0837407940535053</c:v>
                </c:pt>
                <c:pt idx="56">
                  <c:v>-7.8422177478501922</c:v>
                </c:pt>
                <c:pt idx="57">
                  <c:v>-4.7988131510767342</c:v>
                </c:pt>
                <c:pt idx="58">
                  <c:v>11.350788262096948</c:v>
                </c:pt>
                <c:pt idx="59">
                  <c:v>0.61133874912085351</c:v>
                </c:pt>
                <c:pt idx="60">
                  <c:v>9.8689164536398799</c:v>
                </c:pt>
                <c:pt idx="61">
                  <c:v>10.401720367757562</c:v>
                </c:pt>
                <c:pt idx="62">
                  <c:v>-4.8821624100641783</c:v>
                </c:pt>
                <c:pt idx="63">
                  <c:v>-5.5291519089588315</c:v>
                </c:pt>
                <c:pt idx="64">
                  <c:v>-3.9102809878977167</c:v>
                </c:pt>
                <c:pt idx="65">
                  <c:v>-5.3617718744890519</c:v>
                </c:pt>
                <c:pt idx="66">
                  <c:v>29.036093891098062</c:v>
                </c:pt>
                <c:pt idx="67">
                  <c:v>-2.4873631512793919</c:v>
                </c:pt>
                <c:pt idx="68">
                  <c:v>7.4908610244144604</c:v>
                </c:pt>
                <c:pt idx="69">
                  <c:v>-4.8548166521625236</c:v>
                </c:pt>
                <c:pt idx="70">
                  <c:v>-2.9358364866247433E-2</c:v>
                </c:pt>
                <c:pt idx="71">
                  <c:v>-3.5476801762261445</c:v>
                </c:pt>
                <c:pt idx="72">
                  <c:v>1.6911205836580008</c:v>
                </c:pt>
                <c:pt idx="73">
                  <c:v>-13.195006445978267</c:v>
                </c:pt>
                <c:pt idx="74">
                  <c:v>0.78837912624245732</c:v>
                </c:pt>
                <c:pt idx="75">
                  <c:v>-6.616141948823719</c:v>
                </c:pt>
                <c:pt idx="76">
                  <c:v>5.7175103827723337</c:v>
                </c:pt>
                <c:pt idx="77">
                  <c:v>-2.6237696139122617</c:v>
                </c:pt>
                <c:pt idx="78">
                  <c:v>4.0463181961332531</c:v>
                </c:pt>
                <c:pt idx="79">
                  <c:v>-5.5763391017219304</c:v>
                </c:pt>
                <c:pt idx="80">
                  <c:v>-1.8411949480358702</c:v>
                </c:pt>
                <c:pt idx="81">
                  <c:v>0.89791807622324216</c:v>
                </c:pt>
                <c:pt idx="82">
                  <c:v>-3.4516036590247459</c:v>
                </c:pt>
                <c:pt idx="83">
                  <c:v>8.3280784490210795</c:v>
                </c:pt>
                <c:pt idx="84">
                  <c:v>-7.1484495602376805</c:v>
                </c:pt>
                <c:pt idx="85">
                  <c:v>-13.919002041322413</c:v>
                </c:pt>
                <c:pt idx="86">
                  <c:v>-14.928227725012313</c:v>
                </c:pt>
                <c:pt idx="87">
                  <c:v>13.139371183495513</c:v>
                </c:pt>
                <c:pt idx="88">
                  <c:v>2.8718861856864999</c:v>
                </c:pt>
                <c:pt idx="89">
                  <c:v>-7.0259474668536148</c:v>
                </c:pt>
                <c:pt idx="90">
                  <c:v>3.5434170330376382</c:v>
                </c:pt>
                <c:pt idx="91">
                  <c:v>29.563179623456676</c:v>
                </c:pt>
                <c:pt idx="92">
                  <c:v>-0.24351118915285141</c:v>
                </c:pt>
                <c:pt idx="93">
                  <c:v>-5.4384676032314072</c:v>
                </c:pt>
                <c:pt idx="94">
                  <c:v>-3.124225634675895</c:v>
                </c:pt>
                <c:pt idx="95">
                  <c:v>-4.2580313615076042</c:v>
                </c:pt>
                <c:pt idx="96">
                  <c:v>5.7926675700094075</c:v>
                </c:pt>
                <c:pt idx="97">
                  <c:v>-2.9477844878614157E-2</c:v>
                </c:pt>
                <c:pt idx="98">
                  <c:v>-6.8241628456299717</c:v>
                </c:pt>
                <c:pt idx="99">
                  <c:v>-10.550044446497324</c:v>
                </c:pt>
                <c:pt idx="100">
                  <c:v>-5.2024895976990599</c:v>
                </c:pt>
                <c:pt idx="101">
                  <c:v>-3.5056880103307972</c:v>
                </c:pt>
                <c:pt idx="102">
                  <c:v>3.760683324225818</c:v>
                </c:pt>
                <c:pt idx="103">
                  <c:v>1.2302018598860207</c:v>
                </c:pt>
                <c:pt idx="104">
                  <c:v>-5.0551624088464893</c:v>
                </c:pt>
                <c:pt idx="105">
                  <c:v>4.0610387592532833</c:v>
                </c:pt>
                <c:pt idx="106">
                  <c:v>-7.2898642407156942</c:v>
                </c:pt>
                <c:pt idx="107">
                  <c:v>2.6892198947438497</c:v>
                </c:pt>
                <c:pt idx="108">
                  <c:v>10.830785081414128</c:v>
                </c:pt>
                <c:pt idx="109">
                  <c:v>0.89580205336201857</c:v>
                </c:pt>
                <c:pt idx="110">
                  <c:v>-11.113867970009853</c:v>
                </c:pt>
                <c:pt idx="111">
                  <c:v>-16.591469318914783</c:v>
                </c:pt>
                <c:pt idx="112">
                  <c:v>-11.466214675023734</c:v>
                </c:pt>
                <c:pt idx="113">
                  <c:v>10.322677777498129</c:v>
                </c:pt>
                <c:pt idx="114">
                  <c:v>2.0846763373562287</c:v>
                </c:pt>
                <c:pt idx="115">
                  <c:v>7.1533931952791434</c:v>
                </c:pt>
                <c:pt idx="116">
                  <c:v>-9.697810668633263</c:v>
                </c:pt>
                <c:pt idx="117">
                  <c:v>-2.0663567250720076</c:v>
                </c:pt>
                <c:pt idx="118">
                  <c:v>3.4681952490867922</c:v>
                </c:pt>
                <c:pt idx="119">
                  <c:v>8.8349333714809255</c:v>
                </c:pt>
                <c:pt idx="120">
                  <c:v>-6.9341511850664634</c:v>
                </c:pt>
                <c:pt idx="121">
                  <c:v>-1.3715838527792314</c:v>
                </c:pt>
                <c:pt idx="122">
                  <c:v>2.2107669900002316</c:v>
                </c:pt>
                <c:pt idx="123">
                  <c:v>10.608156560954257</c:v>
                </c:pt>
                <c:pt idx="124">
                  <c:v>-7.2497072747594498</c:v>
                </c:pt>
                <c:pt idx="125">
                  <c:v>8.1286816278431075</c:v>
                </c:pt>
                <c:pt idx="126">
                  <c:v>6.4062752165093295</c:v>
                </c:pt>
                <c:pt idx="127">
                  <c:v>7.3579990921006146</c:v>
                </c:pt>
                <c:pt idx="128">
                  <c:v>-7.1211423677166614</c:v>
                </c:pt>
                <c:pt idx="129">
                  <c:v>9.5525058334353687</c:v>
                </c:pt>
                <c:pt idx="130">
                  <c:v>3.4702567508122311</c:v>
                </c:pt>
                <c:pt idx="131">
                  <c:v>3.347607337220023</c:v>
                </c:pt>
                <c:pt idx="132">
                  <c:v>11.408476043997492</c:v>
                </c:pt>
                <c:pt idx="133">
                  <c:v>9.3325771933042247</c:v>
                </c:pt>
                <c:pt idx="134">
                  <c:v>7.4120615996423496</c:v>
                </c:pt>
                <c:pt idx="135">
                  <c:v>2.5712460520991867</c:v>
                </c:pt>
                <c:pt idx="136">
                  <c:v>-11.847836278449181</c:v>
                </c:pt>
                <c:pt idx="137">
                  <c:v>-4.7990438362156489</c:v>
                </c:pt>
                <c:pt idx="138">
                  <c:v>0.81300669426183869</c:v>
                </c:pt>
                <c:pt idx="139">
                  <c:v>4.8122720982794487</c:v>
                </c:pt>
                <c:pt idx="140">
                  <c:v>-4.5011766481639865</c:v>
                </c:pt>
                <c:pt idx="141">
                  <c:v>1.0631415181954096</c:v>
                </c:pt>
                <c:pt idx="142">
                  <c:v>8.8152654087334046</c:v>
                </c:pt>
                <c:pt idx="143">
                  <c:v>0.1921525091153431</c:v>
                </c:pt>
                <c:pt idx="144">
                  <c:v>-9.1440381065651799</c:v>
                </c:pt>
                <c:pt idx="145">
                  <c:v>-2.9284183893426929</c:v>
                </c:pt>
                <c:pt idx="146">
                  <c:v>4.2527094701321229</c:v>
                </c:pt>
                <c:pt idx="147">
                  <c:v>8.3292464099369088</c:v>
                </c:pt>
                <c:pt idx="148">
                  <c:v>-1.1882241401165436</c:v>
                </c:pt>
                <c:pt idx="149">
                  <c:v>-0.72525673519927736</c:v>
                </c:pt>
                <c:pt idx="150">
                  <c:v>-12.813413202065984</c:v>
                </c:pt>
                <c:pt idx="151">
                  <c:v>-2.4588901446015146</c:v>
                </c:pt>
                <c:pt idx="152">
                  <c:v>9.7278654632732167</c:v>
                </c:pt>
                <c:pt idx="153">
                  <c:v>6.4025241393903158</c:v>
                </c:pt>
                <c:pt idx="154">
                  <c:v>1.6939214627209687</c:v>
                </c:pt>
                <c:pt idx="155">
                  <c:v>-2.4283013384609635</c:v>
                </c:pt>
                <c:pt idx="156">
                  <c:v>3.1512734901155093</c:v>
                </c:pt>
                <c:pt idx="157">
                  <c:v>-14.658321709173364</c:v>
                </c:pt>
                <c:pt idx="158">
                  <c:v>5.1810910855998991</c:v>
                </c:pt>
                <c:pt idx="159">
                  <c:v>30.879466503762629</c:v>
                </c:pt>
                <c:pt idx="160">
                  <c:v>-17.931118539100162</c:v>
                </c:pt>
                <c:pt idx="161">
                  <c:v>-7.0796883916495563</c:v>
                </c:pt>
                <c:pt idx="162">
                  <c:v>3.7157932218766057</c:v>
                </c:pt>
                <c:pt idx="163">
                  <c:v>-1.4624906393404444</c:v>
                </c:pt>
                <c:pt idx="164">
                  <c:v>-2.3008807768350339</c:v>
                </c:pt>
                <c:pt idx="165">
                  <c:v>-6.5488100381567458</c:v>
                </c:pt>
                <c:pt idx="166">
                  <c:v>-6.2041577561265555</c:v>
                </c:pt>
                <c:pt idx="167">
                  <c:v>-6.1505177076804962</c:v>
                </c:pt>
                <c:pt idx="168">
                  <c:v>-1.0249939201953273</c:v>
                </c:pt>
                <c:pt idx="169">
                  <c:v>-0.69499831865023165</c:v>
                </c:pt>
                <c:pt idx="170">
                  <c:v>1.347107270315596</c:v>
                </c:pt>
                <c:pt idx="171">
                  <c:v>-1.0398774050282862</c:v>
                </c:pt>
                <c:pt idx="172">
                  <c:v>14.213856693368506</c:v>
                </c:pt>
                <c:pt idx="173">
                  <c:v>-9.9103637717113404</c:v>
                </c:pt>
                <c:pt idx="174">
                  <c:v>4.6454833466686623</c:v>
                </c:pt>
                <c:pt idx="175">
                  <c:v>-3.3178339457360324</c:v>
                </c:pt>
                <c:pt idx="176">
                  <c:v>-2.1177949989124398</c:v>
                </c:pt>
                <c:pt idx="177">
                  <c:v>-14.854294475019916</c:v>
                </c:pt>
                <c:pt idx="178">
                  <c:v>9.0422481917613968</c:v>
                </c:pt>
                <c:pt idx="179">
                  <c:v>-2.4312392252080164</c:v>
                </c:pt>
                <c:pt idx="180">
                  <c:v>-1.0156297730962418</c:v>
                </c:pt>
                <c:pt idx="181">
                  <c:v>-0.16319089747852233</c:v>
                </c:pt>
                <c:pt idx="182">
                  <c:v>-2.808263363361887</c:v>
                </c:pt>
                <c:pt idx="183">
                  <c:v>-11.620158938580333</c:v>
                </c:pt>
                <c:pt idx="184">
                  <c:v>-6.0910031593112883</c:v>
                </c:pt>
                <c:pt idx="185">
                  <c:v>3.3014157619555284</c:v>
                </c:pt>
                <c:pt idx="186">
                  <c:v>3.3802560706962694</c:v>
                </c:pt>
                <c:pt idx="187">
                  <c:v>-1.5381938028377213</c:v>
                </c:pt>
                <c:pt idx="188">
                  <c:v>-6.1826409853721032</c:v>
                </c:pt>
                <c:pt idx="189">
                  <c:v>-8.6089811604806918</c:v>
                </c:pt>
                <c:pt idx="190">
                  <c:v>-9.4814626067190453</c:v>
                </c:pt>
                <c:pt idx="191">
                  <c:v>-0.90492731459865183</c:v>
                </c:pt>
                <c:pt idx="192">
                  <c:v>-5.7894458960113022</c:v>
                </c:pt>
                <c:pt idx="193">
                  <c:v>14.66738969828371</c:v>
                </c:pt>
                <c:pt idx="194">
                  <c:v>4.9276029000349082</c:v>
                </c:pt>
                <c:pt idx="195">
                  <c:v>7.2510373333399087</c:v>
                </c:pt>
                <c:pt idx="196">
                  <c:v>4.9911142429104522</c:v>
                </c:pt>
                <c:pt idx="197">
                  <c:v>8.7718107743452105</c:v>
                </c:pt>
                <c:pt idx="198">
                  <c:v>2.6732047806090367</c:v>
                </c:pt>
                <c:pt idx="199">
                  <c:v>4.7781022019084434</c:v>
                </c:pt>
                <c:pt idx="200">
                  <c:v>-6.7166334099488409</c:v>
                </c:pt>
                <c:pt idx="201">
                  <c:v>-7.635272183102666</c:v>
                </c:pt>
                <c:pt idx="202">
                  <c:v>-4.4868848806101447</c:v>
                </c:pt>
                <c:pt idx="203">
                  <c:v>-3.9328788974801565</c:v>
                </c:pt>
                <c:pt idx="204">
                  <c:v>4.6590245169788487</c:v>
                </c:pt>
                <c:pt idx="205">
                  <c:v>0.14761996122001086</c:v>
                </c:pt>
                <c:pt idx="206">
                  <c:v>-6.732977954674511</c:v>
                </c:pt>
                <c:pt idx="207">
                  <c:v>0.16066038880071698</c:v>
                </c:pt>
                <c:pt idx="208">
                  <c:v>-6.8999542270658321</c:v>
                </c:pt>
                <c:pt idx="209">
                  <c:v>1.145439666753262</c:v>
                </c:pt>
                <c:pt idx="210">
                  <c:v>-11.617903239754884</c:v>
                </c:pt>
                <c:pt idx="211">
                  <c:v>-0.60010525765882816</c:v>
                </c:pt>
                <c:pt idx="212">
                  <c:v>8.7321037299199773</c:v>
                </c:pt>
                <c:pt idx="213">
                  <c:v>1.0939470095075667</c:v>
                </c:pt>
                <c:pt idx="214">
                  <c:v>-3.0534723923623375</c:v>
                </c:pt>
                <c:pt idx="215">
                  <c:v>-10.055710313758365</c:v>
                </c:pt>
                <c:pt idx="216">
                  <c:v>0.65105867192936806</c:v>
                </c:pt>
                <c:pt idx="217">
                  <c:v>-9.9197317826933684</c:v>
                </c:pt>
                <c:pt idx="218">
                  <c:v>-5.2339441130843474</c:v>
                </c:pt>
                <c:pt idx="219">
                  <c:v>-7.2770730358777191</c:v>
                </c:pt>
                <c:pt idx="220">
                  <c:v>14.928553072033298</c:v>
                </c:pt>
                <c:pt idx="221">
                  <c:v>7.7781161069126412</c:v>
                </c:pt>
                <c:pt idx="222">
                  <c:v>-0.74140007831585919</c:v>
                </c:pt>
                <c:pt idx="223">
                  <c:v>-2.4567410426082152</c:v>
                </c:pt>
                <c:pt idx="224">
                  <c:v>-3.1061791369060661</c:v>
                </c:pt>
                <c:pt idx="225">
                  <c:v>-5.5498004782359498</c:v>
                </c:pt>
                <c:pt idx="226">
                  <c:v>0.16800502248974425</c:v>
                </c:pt>
                <c:pt idx="227">
                  <c:v>-10.439843776253596</c:v>
                </c:pt>
                <c:pt idx="228">
                  <c:v>-4.1554479128353679</c:v>
                </c:pt>
                <c:pt idx="229">
                  <c:v>1.543602092780437</c:v>
                </c:pt>
                <c:pt idx="230">
                  <c:v>-8.4552562098754009</c:v>
                </c:pt>
                <c:pt idx="231">
                  <c:v>2.7951698968330372</c:v>
                </c:pt>
                <c:pt idx="232">
                  <c:v>-1.5088433371997947</c:v>
                </c:pt>
                <c:pt idx="233">
                  <c:v>7.8549254962656576</c:v>
                </c:pt>
                <c:pt idx="234">
                  <c:v>4.7832850521074306</c:v>
                </c:pt>
                <c:pt idx="235">
                  <c:v>0.5316250244057088</c:v>
                </c:pt>
                <c:pt idx="236">
                  <c:v>-11.592354287001005</c:v>
                </c:pt>
                <c:pt idx="237">
                  <c:v>-0.11101094022958671</c:v>
                </c:pt>
                <c:pt idx="238">
                  <c:v>6.2992716046512074</c:v>
                </c:pt>
                <c:pt idx="239">
                  <c:v>-5.521990873295004</c:v>
                </c:pt>
                <c:pt idx="240">
                  <c:v>-2.3997849790074923</c:v>
                </c:pt>
                <c:pt idx="241">
                  <c:v>-6.6448492222193867</c:v>
                </c:pt>
                <c:pt idx="242">
                  <c:v>-3.8224966064771957</c:v>
                </c:pt>
                <c:pt idx="243">
                  <c:v>-0.14397314545295714</c:v>
                </c:pt>
                <c:pt idx="244">
                  <c:v>-1.4793175557145837</c:v>
                </c:pt>
                <c:pt idx="245">
                  <c:v>0.52897456347863359</c:v>
                </c:pt>
                <c:pt idx="246">
                  <c:v>2.0392062092100498</c:v>
                </c:pt>
                <c:pt idx="247">
                  <c:v>9.6000106976054607</c:v>
                </c:pt>
                <c:pt idx="248">
                  <c:v>3.3002611141194227</c:v>
                </c:pt>
                <c:pt idx="249">
                  <c:v>-3.2891170168694646</c:v>
                </c:pt>
                <c:pt idx="250">
                  <c:v>-6.5549557303656245</c:v>
                </c:pt>
                <c:pt idx="251">
                  <c:v>-4.9802984851745844</c:v>
                </c:pt>
                <c:pt idx="252">
                  <c:v>-4.7712923420008142</c:v>
                </c:pt>
                <c:pt idx="253">
                  <c:v>-2.7843044566861366</c:v>
                </c:pt>
                <c:pt idx="254">
                  <c:v>1.6170292781936508</c:v>
                </c:pt>
                <c:pt idx="255">
                  <c:v>-2.892599555660079</c:v>
                </c:pt>
                <c:pt idx="256">
                  <c:v>-4.4948134188590698</c:v>
                </c:pt>
                <c:pt idx="257">
                  <c:v>-3.2752007988564831</c:v>
                </c:pt>
                <c:pt idx="258">
                  <c:v>5.9228094735512675</c:v>
                </c:pt>
                <c:pt idx="259">
                  <c:v>-5.4274008903378181</c:v>
                </c:pt>
                <c:pt idx="260">
                  <c:v>5.3013215170396313</c:v>
                </c:pt>
                <c:pt idx="261">
                  <c:v>4.0293369076302756</c:v>
                </c:pt>
                <c:pt idx="262">
                  <c:v>8.7815193851005091</c:v>
                </c:pt>
                <c:pt idx="263">
                  <c:v>-1.8358164728663038</c:v>
                </c:pt>
                <c:pt idx="264">
                  <c:v>-0.67688441006862066</c:v>
                </c:pt>
                <c:pt idx="265">
                  <c:v>15.518626966961063</c:v>
                </c:pt>
                <c:pt idx="266">
                  <c:v>-0.42919127820518765</c:v>
                </c:pt>
                <c:pt idx="267">
                  <c:v>8.3163769971157517</c:v>
                </c:pt>
                <c:pt idx="268">
                  <c:v>-8.4759095359883627</c:v>
                </c:pt>
                <c:pt idx="269">
                  <c:v>4.3190718375290702</c:v>
                </c:pt>
                <c:pt idx="270">
                  <c:v>6.4003541910546362</c:v>
                </c:pt>
                <c:pt idx="271">
                  <c:v>-6.5619052553967743</c:v>
                </c:pt>
                <c:pt idx="272">
                  <c:v>0.1028377543108383</c:v>
                </c:pt>
                <c:pt idx="273">
                  <c:v>-2.8732309698100131</c:v>
                </c:pt>
                <c:pt idx="274">
                  <c:v>13.21160262493888</c:v>
                </c:pt>
                <c:pt idx="275">
                  <c:v>-10.597363160977876</c:v>
                </c:pt>
                <c:pt idx="276">
                  <c:v>-12.131142463714275</c:v>
                </c:pt>
                <c:pt idx="277">
                  <c:v>-13.123454957538591</c:v>
                </c:pt>
                <c:pt idx="278">
                  <c:v>-9.6530449244236891</c:v>
                </c:pt>
                <c:pt idx="279">
                  <c:v>9.1085457361519264</c:v>
                </c:pt>
                <c:pt idx="280">
                  <c:v>16.85791491588445</c:v>
                </c:pt>
                <c:pt idx="281">
                  <c:v>-6.5617244732944515</c:v>
                </c:pt>
                <c:pt idx="282">
                  <c:v>-3.4127296945633647</c:v>
                </c:pt>
                <c:pt idx="283">
                  <c:v>-4.2860655097564324</c:v>
                </c:pt>
                <c:pt idx="284">
                  <c:v>-4.442093402180344</c:v>
                </c:pt>
                <c:pt idx="285">
                  <c:v>5.7776765283664329</c:v>
                </c:pt>
                <c:pt idx="286">
                  <c:v>10.891315734312087</c:v>
                </c:pt>
                <c:pt idx="287">
                  <c:v>-9.0219175887325402</c:v>
                </c:pt>
                <c:pt idx="288">
                  <c:v>2.8783855902439912</c:v>
                </c:pt>
                <c:pt idx="289">
                  <c:v>6.1371827370710434</c:v>
                </c:pt>
                <c:pt idx="290">
                  <c:v>-5.5170722598524637</c:v>
                </c:pt>
                <c:pt idx="291">
                  <c:v>1.1610179460843539</c:v>
                </c:pt>
                <c:pt idx="292">
                  <c:v>-5.3970650157668851</c:v>
                </c:pt>
                <c:pt idx="293">
                  <c:v>-10.115811807578321</c:v>
                </c:pt>
                <c:pt idx="294">
                  <c:v>0.80929080102776751</c:v>
                </c:pt>
                <c:pt idx="295">
                  <c:v>0.10659093641538275</c:v>
                </c:pt>
                <c:pt idx="296">
                  <c:v>9.0414511039334542</c:v>
                </c:pt>
                <c:pt idx="297">
                  <c:v>6.7874978331011553</c:v>
                </c:pt>
                <c:pt idx="298">
                  <c:v>1.5989938833080544</c:v>
                </c:pt>
                <c:pt idx="299">
                  <c:v>-3.558756105303797</c:v>
                </c:pt>
                <c:pt idx="300">
                  <c:v>-2.1770562704008678</c:v>
                </c:pt>
                <c:pt idx="301">
                  <c:v>1.3566266692616402E-2</c:v>
                </c:pt>
                <c:pt idx="302">
                  <c:v>-5.4189168495252531</c:v>
                </c:pt>
                <c:pt idx="303">
                  <c:v>-10.836376423496411</c:v>
                </c:pt>
                <c:pt idx="304">
                  <c:v>-7.1571840162919305</c:v>
                </c:pt>
                <c:pt idx="305">
                  <c:v>4.9578269546916438</c:v>
                </c:pt>
                <c:pt idx="306">
                  <c:v>-0.68830302028565882</c:v>
                </c:pt>
                <c:pt idx="307">
                  <c:v>7.9948980135814409</c:v>
                </c:pt>
                <c:pt idx="308">
                  <c:v>-8.4531089977207721</c:v>
                </c:pt>
                <c:pt idx="309">
                  <c:v>3.5708987454125776</c:v>
                </c:pt>
                <c:pt idx="310">
                  <c:v>0.74645332104769213</c:v>
                </c:pt>
                <c:pt idx="311">
                  <c:v>10.702540809246573</c:v>
                </c:pt>
                <c:pt idx="312">
                  <c:v>28.334831137769001</c:v>
                </c:pt>
                <c:pt idx="313">
                  <c:v>-5.7131462041112187</c:v>
                </c:pt>
                <c:pt idx="314">
                  <c:v>8.6556843556027943</c:v>
                </c:pt>
                <c:pt idx="315">
                  <c:v>-1.5674028709800112</c:v>
                </c:pt>
                <c:pt idx="316">
                  <c:v>-4.1814927324892448</c:v>
                </c:pt>
                <c:pt idx="317">
                  <c:v>-14.512298612592293</c:v>
                </c:pt>
                <c:pt idx="318">
                  <c:v>5.9004980018185407</c:v>
                </c:pt>
                <c:pt idx="319">
                  <c:v>4.5430117727283132</c:v>
                </c:pt>
                <c:pt idx="320">
                  <c:v>-5.4339368189886397</c:v>
                </c:pt>
                <c:pt idx="321">
                  <c:v>-0.80045376991408768</c:v>
                </c:pt>
                <c:pt idx="322">
                  <c:v>-6.8601275419786134</c:v>
                </c:pt>
                <c:pt idx="323">
                  <c:v>33.801740515168703</c:v>
                </c:pt>
                <c:pt idx="324">
                  <c:v>-1.0798311917333159</c:v>
                </c:pt>
                <c:pt idx="325">
                  <c:v>5.3103199911051604</c:v>
                </c:pt>
                <c:pt idx="326">
                  <c:v>7.9400776400114914</c:v>
                </c:pt>
                <c:pt idx="327">
                  <c:v>-2.6959878458993636</c:v>
                </c:pt>
                <c:pt idx="328">
                  <c:v>-7.0764271968164909</c:v>
                </c:pt>
                <c:pt idx="329">
                  <c:v>16.876062707440479</c:v>
                </c:pt>
                <c:pt idx="330">
                  <c:v>4.2995836326562262</c:v>
                </c:pt>
                <c:pt idx="331">
                  <c:v>-4.0054245715997041</c:v>
                </c:pt>
                <c:pt idx="332">
                  <c:v>5.4935022541215517E-2</c:v>
                </c:pt>
                <c:pt idx="333">
                  <c:v>2.2934393552543133</c:v>
                </c:pt>
                <c:pt idx="334">
                  <c:v>7.0875734433138007</c:v>
                </c:pt>
                <c:pt idx="335">
                  <c:v>5.7490942632377315</c:v>
                </c:pt>
                <c:pt idx="336">
                  <c:v>-12.6822228404863</c:v>
                </c:pt>
                <c:pt idx="337">
                  <c:v>-4.4842589243144175</c:v>
                </c:pt>
                <c:pt idx="338">
                  <c:v>0.69367027831808015</c:v>
                </c:pt>
                <c:pt idx="339">
                  <c:v>-4.2439773418182014</c:v>
                </c:pt>
                <c:pt idx="340">
                  <c:v>-2.4731005841261204</c:v>
                </c:pt>
                <c:pt idx="341">
                  <c:v>0.74195882558034398</c:v>
                </c:pt>
                <c:pt idx="342">
                  <c:v>31.082579081980661</c:v>
                </c:pt>
                <c:pt idx="343">
                  <c:v>7.8091598447632702</c:v>
                </c:pt>
                <c:pt idx="344">
                  <c:v>-8.8136795773132093</c:v>
                </c:pt>
                <c:pt idx="345">
                  <c:v>4.5348516034133439</c:v>
                </c:pt>
                <c:pt idx="346">
                  <c:v>2.679715283414887</c:v>
                </c:pt>
                <c:pt idx="347">
                  <c:v>-3.2768277146474025</c:v>
                </c:pt>
                <c:pt idx="348">
                  <c:v>-0.44148372869533681</c:v>
                </c:pt>
                <c:pt idx="349">
                  <c:v>-13.465073649824445</c:v>
                </c:pt>
                <c:pt idx="350">
                  <c:v>6.6264508581017543</c:v>
                </c:pt>
                <c:pt idx="351">
                  <c:v>-9.7427122271795241</c:v>
                </c:pt>
                <c:pt idx="352">
                  <c:v>-1.341204998110042</c:v>
                </c:pt>
                <c:pt idx="353">
                  <c:v>-2.2093497864497138</c:v>
                </c:pt>
                <c:pt idx="354">
                  <c:v>-5.3648214784768387</c:v>
                </c:pt>
                <c:pt idx="355">
                  <c:v>-2.692951458316748</c:v>
                </c:pt>
                <c:pt idx="356">
                  <c:v>-10.198366296737174</c:v>
                </c:pt>
                <c:pt idx="357">
                  <c:v>-1.3169677091350771</c:v>
                </c:pt>
                <c:pt idx="358">
                  <c:v>12.86079954856681</c:v>
                </c:pt>
                <c:pt idx="359">
                  <c:v>10.506626589966535</c:v>
                </c:pt>
                <c:pt idx="360">
                  <c:v>4.8391102730447155</c:v>
                </c:pt>
                <c:pt idx="361">
                  <c:v>3.4842110739334178</c:v>
                </c:pt>
                <c:pt idx="362">
                  <c:v>-0.70748143461745228</c:v>
                </c:pt>
                <c:pt idx="363">
                  <c:v>-3.3742290401535966</c:v>
                </c:pt>
                <c:pt idx="364">
                  <c:v>-4.5233292733049302</c:v>
                </c:pt>
                <c:pt idx="365">
                  <c:v>-0.61684010387669552</c:v>
                </c:pt>
                <c:pt idx="366">
                  <c:v>-2.0958297938138801</c:v>
                </c:pt>
                <c:pt idx="367">
                  <c:v>-2.4005416872211001</c:v>
                </c:pt>
                <c:pt idx="368">
                  <c:v>3.3418747247141809</c:v>
                </c:pt>
                <c:pt idx="369">
                  <c:v>1.8986034713274158</c:v>
                </c:pt>
                <c:pt idx="370">
                  <c:v>-10.827689216626379</c:v>
                </c:pt>
                <c:pt idx="371">
                  <c:v>-0.6426966216212695</c:v>
                </c:pt>
                <c:pt idx="372">
                  <c:v>-4.299824936453323</c:v>
                </c:pt>
                <c:pt idx="373">
                  <c:v>-0.92665570070970738</c:v>
                </c:pt>
                <c:pt idx="374">
                  <c:v>-5.632930830639661</c:v>
                </c:pt>
                <c:pt idx="375">
                  <c:v>-3.0024881385077338</c:v>
                </c:pt>
                <c:pt idx="376">
                  <c:v>-4.6397379948670121</c:v>
                </c:pt>
                <c:pt idx="377">
                  <c:v>-5.2618114655324231</c:v>
                </c:pt>
                <c:pt idx="378">
                  <c:v>-3.5568502342040489</c:v>
                </c:pt>
                <c:pt idx="379">
                  <c:v>2.0600047113942868</c:v>
                </c:pt>
                <c:pt idx="380">
                  <c:v>3.04588850588694</c:v>
                </c:pt>
                <c:pt idx="381">
                  <c:v>28.010938637822427</c:v>
                </c:pt>
                <c:pt idx="382">
                  <c:v>-9.0434055852025121</c:v>
                </c:pt>
                <c:pt idx="383">
                  <c:v>5.5262960446432174</c:v>
                </c:pt>
                <c:pt idx="384">
                  <c:v>-3.192639828210369</c:v>
                </c:pt>
                <c:pt idx="385">
                  <c:v>-4.8216252616904907</c:v>
                </c:pt>
                <c:pt idx="386">
                  <c:v>-8.9738382045388523</c:v>
                </c:pt>
                <c:pt idx="387">
                  <c:v>-6.7358906879632929</c:v>
                </c:pt>
                <c:pt idx="388">
                  <c:v>3.365998528853777</c:v>
                </c:pt>
                <c:pt idx="389">
                  <c:v>-0.34580623823768186</c:v>
                </c:pt>
                <c:pt idx="390">
                  <c:v>-12.92031407247503</c:v>
                </c:pt>
                <c:pt idx="391">
                  <c:v>-4.4884089981813577</c:v>
                </c:pt>
                <c:pt idx="392">
                  <c:v>9.4574958822804156</c:v>
                </c:pt>
                <c:pt idx="393">
                  <c:v>-4.5135406955047159</c:v>
                </c:pt>
                <c:pt idx="394">
                  <c:v>-1.2930793810996897</c:v>
                </c:pt>
                <c:pt idx="395">
                  <c:v>0.32018673395027353</c:v>
                </c:pt>
                <c:pt idx="396">
                  <c:v>-0.51524830241073127</c:v>
                </c:pt>
                <c:pt idx="397">
                  <c:v>-7.4751253764645167</c:v>
                </c:pt>
                <c:pt idx="398">
                  <c:v>-11.144883316484822</c:v>
                </c:pt>
                <c:pt idx="399">
                  <c:v>4.4431226105246093</c:v>
                </c:pt>
                <c:pt idx="400">
                  <c:v>-6.2553007690009323</c:v>
                </c:pt>
                <c:pt idx="401">
                  <c:v>-8.8550079007704614</c:v>
                </c:pt>
                <c:pt idx="402">
                  <c:v>7.0188469849119697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1-4AF4-B21F-ED3CB0842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573481456"/>
        <c:axId val="573483376"/>
      </c:barChart>
      <c:catAx>
        <c:axId val="573481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573483376"/>
        <c:crosses val="autoZero"/>
        <c:auto val="1"/>
        <c:lblAlgn val="ctr"/>
        <c:lblOffset val="100"/>
        <c:noMultiLvlLbl val="0"/>
      </c:catAx>
      <c:valAx>
        <c:axId val="573483376"/>
        <c:scaling>
          <c:orientation val="minMax"/>
          <c:max val="40"/>
          <c:min val="-4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7348145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sigma / Standardized coefficients(95%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C1-4F16-9AB4-29479EF2D41F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0C1-4F16-9AB4-29479EF2D41F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C1-4F16-9AB4-29479EF2D41F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0C1-4F16-9AB4-29479EF2D41F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C1-4F16-9AB4-29479EF2D41F}"/>
              </c:ext>
            </c:extLst>
          </c:dPt>
          <c:dPt>
            <c:idx val="5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0C1-4F16-9AB4-29479EF2D41F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C1-4F16-9AB4-29479EF2D41F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0C1-4F16-9AB4-29479EF2D4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8"/>
                <c:pt idx="0">
                  <c:v>9.612976175245648E-2</c:v>
                </c:pt>
                <c:pt idx="1">
                  <c:v>6.2678430897351214E-2</c:v>
                </c:pt>
                <c:pt idx="2">
                  <c:v>0.32937564401052555</c:v>
                </c:pt>
                <c:pt idx="3">
                  <c:v>0.10351500690466331</c:v>
                </c:pt>
                <c:pt idx="4">
                  <c:v>9.5622395587184258E-2</c:v>
                </c:pt>
                <c:pt idx="5">
                  <c:v>0.10823606916804188</c:v>
                </c:pt>
                <c:pt idx="6">
                  <c:v>0</c:v>
                </c:pt>
                <c:pt idx="7">
                  <c:v>0.37479086136481998</c:v>
                </c:pt>
              </c:numLit>
            </c:plus>
            <c:minus>
              <c:numLit>
                <c:formatCode>General</c:formatCode>
                <c:ptCount val="8"/>
                <c:pt idx="0">
                  <c:v>9.612976175245648E-2</c:v>
                </c:pt>
                <c:pt idx="1">
                  <c:v>6.2678430897351214E-2</c:v>
                </c:pt>
                <c:pt idx="2">
                  <c:v>0.32937564401052555</c:v>
                </c:pt>
                <c:pt idx="3">
                  <c:v>0.10351500690466331</c:v>
                </c:pt>
                <c:pt idx="4">
                  <c:v>9.5622395587184245E-2</c:v>
                </c:pt>
                <c:pt idx="5">
                  <c:v>0.10823606916804188</c:v>
                </c:pt>
                <c:pt idx="6">
                  <c:v>0</c:v>
                </c:pt>
                <c:pt idx="7">
                  <c:v>0.37479086136481993</c:v>
                </c:pt>
              </c:numLit>
            </c:minus>
          </c:errBars>
          <c:cat>
            <c:strRef>
              <c:f>'Linear regression'!$B$93:$B$100</c:f>
              <c:strCache>
                <c:ptCount val="8"/>
                <c:pt idx="0">
                  <c:v>AR</c:v>
                </c:pt>
                <c:pt idx="1">
                  <c:v>L</c:v>
                </c:pt>
                <c:pt idx="2">
                  <c:v>phi</c:v>
                </c:pt>
                <c:pt idx="3">
                  <c:v>QW</c:v>
                </c:pt>
                <c:pt idx="4">
                  <c:v>Qa</c:v>
                </c:pt>
                <c:pt idx="5">
                  <c:v>h</c:v>
                </c:pt>
                <c:pt idx="6">
                  <c:v>Va</c:v>
                </c:pt>
                <c:pt idx="7">
                  <c:v>R</c:v>
                </c:pt>
              </c:strCache>
            </c:strRef>
          </c:cat>
          <c:val>
            <c:numRef>
              <c:f>'Linear regression'!$C$93:$C$100</c:f>
              <c:numCache>
                <c:formatCode>0.000</c:formatCode>
                <c:ptCount val="8"/>
                <c:pt idx="0">
                  <c:v>3.1324665758347484E-2</c:v>
                </c:pt>
                <c:pt idx="1">
                  <c:v>-4.7358936772536686E-3</c:v>
                </c:pt>
                <c:pt idx="2">
                  <c:v>0.71296961765198952</c:v>
                </c:pt>
                <c:pt idx="3">
                  <c:v>-0.92398008454273617</c:v>
                </c:pt>
                <c:pt idx="4">
                  <c:v>0.1209507880341696</c:v>
                </c:pt>
                <c:pt idx="5">
                  <c:v>-9.3609074239842348E-3</c:v>
                </c:pt>
                <c:pt idx="6">
                  <c:v>0</c:v>
                </c:pt>
                <c:pt idx="7">
                  <c:v>0.13374096304764763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1-4F16-9AB4-29479EF2D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748488624"/>
        <c:axId val="748485264"/>
      </c:barChart>
      <c:catAx>
        <c:axId val="748488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748485264"/>
        <c:crosses val="autoZero"/>
        <c:auto val="1"/>
        <c:lblAlgn val="ctr"/>
        <c:lblOffset val="100"/>
        <c:noMultiLvlLbl val="0"/>
      </c:catAx>
      <c:valAx>
        <c:axId val="748485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74848862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sigma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regression'!$D$127:$D$529</c:f>
              <c:numCache>
                <c:formatCode>0.000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'Linear regression'!$G$127:$G$529</c:f>
              <c:numCache>
                <c:formatCode>0.000</c:formatCode>
                <c:ptCount val="403"/>
                <c:pt idx="0">
                  <c:v>-0.20721512731153943</c:v>
                </c:pt>
                <c:pt idx="1">
                  <c:v>-0.84536019640088245</c:v>
                </c:pt>
                <c:pt idx="2">
                  <c:v>-0.29084586831463766</c:v>
                </c:pt>
                <c:pt idx="3">
                  <c:v>-1.2900200462757161</c:v>
                </c:pt>
                <c:pt idx="4">
                  <c:v>-0.32509416119685364</c:v>
                </c:pt>
                <c:pt idx="5">
                  <c:v>-0.12334038951254539</c:v>
                </c:pt>
                <c:pt idx="6">
                  <c:v>-1.791433182450938</c:v>
                </c:pt>
                <c:pt idx="7">
                  <c:v>0.2481479285657151</c:v>
                </c:pt>
                <c:pt idx="8">
                  <c:v>1.8604663656644471</c:v>
                </c:pt>
                <c:pt idx="9">
                  <c:v>-0.30717235267686099</c:v>
                </c:pt>
                <c:pt idx="10">
                  <c:v>-0.51514200181669201</c:v>
                </c:pt>
                <c:pt idx="11">
                  <c:v>-0.52684579745271154</c:v>
                </c:pt>
                <c:pt idx="12">
                  <c:v>5.5473409299836379E-2</c:v>
                </c:pt>
                <c:pt idx="13">
                  <c:v>-0.28206955121280103</c:v>
                </c:pt>
                <c:pt idx="14">
                  <c:v>1.2865555805687405</c:v>
                </c:pt>
                <c:pt idx="15">
                  <c:v>2.8475395067059383E-2</c:v>
                </c:pt>
                <c:pt idx="16">
                  <c:v>-0.24687419720469986</c:v>
                </c:pt>
                <c:pt idx="17">
                  <c:v>3.6752661634479065</c:v>
                </c:pt>
                <c:pt idx="18">
                  <c:v>1.8594650956210224</c:v>
                </c:pt>
                <c:pt idx="19">
                  <c:v>0.11790267608950039</c:v>
                </c:pt>
                <c:pt idx="20">
                  <c:v>7.4062537920504282E-2</c:v>
                </c:pt>
                <c:pt idx="21">
                  <c:v>0.18894043112242259</c:v>
                </c:pt>
                <c:pt idx="22">
                  <c:v>0.68202812422502401</c:v>
                </c:pt>
                <c:pt idx="23">
                  <c:v>1.5823967814918762</c:v>
                </c:pt>
                <c:pt idx="24">
                  <c:v>0.82483275619345553</c:v>
                </c:pt>
                <c:pt idx="25">
                  <c:v>-0.31009702186763705</c:v>
                </c:pt>
                <c:pt idx="26">
                  <c:v>0.84886601000229622</c:v>
                </c:pt>
                <c:pt idx="27">
                  <c:v>-1.475811000042953</c:v>
                </c:pt>
                <c:pt idx="28">
                  <c:v>1.9969979660863086</c:v>
                </c:pt>
                <c:pt idx="29">
                  <c:v>2.1029430023839821</c:v>
                </c:pt>
                <c:pt idx="30">
                  <c:v>1.6734439957890588</c:v>
                </c:pt>
                <c:pt idx="31">
                  <c:v>-0.19442005586407662</c:v>
                </c:pt>
                <c:pt idx="32">
                  <c:v>-0.92296037515345175</c:v>
                </c:pt>
                <c:pt idx="33">
                  <c:v>-1.5165563565910292</c:v>
                </c:pt>
                <c:pt idx="34">
                  <c:v>-0.71640452722630865</c:v>
                </c:pt>
                <c:pt idx="35">
                  <c:v>-0.60826893493272272</c:v>
                </c:pt>
                <c:pt idx="36">
                  <c:v>-0.40855994220346253</c:v>
                </c:pt>
                <c:pt idx="37">
                  <c:v>-0.20358053063592157</c:v>
                </c:pt>
                <c:pt idx="38">
                  <c:v>-0.30458289258530447</c:v>
                </c:pt>
                <c:pt idx="39">
                  <c:v>-0.34101652568059515</c:v>
                </c:pt>
                <c:pt idx="40">
                  <c:v>-0.73900896320602805</c:v>
                </c:pt>
                <c:pt idx="41">
                  <c:v>-0.4842419853707059</c:v>
                </c:pt>
                <c:pt idx="42">
                  <c:v>-0.37402516649618844</c:v>
                </c:pt>
                <c:pt idx="43">
                  <c:v>-2.937043602253802E-5</c:v>
                </c:pt>
                <c:pt idx="44">
                  <c:v>-0.76732044349162332</c:v>
                </c:pt>
                <c:pt idx="45">
                  <c:v>3.6807737270190399</c:v>
                </c:pt>
                <c:pt idx="46">
                  <c:v>1.3307256208345017</c:v>
                </c:pt>
                <c:pt idx="47">
                  <c:v>-0.39127547301367466</c:v>
                </c:pt>
                <c:pt idx="48">
                  <c:v>-0.40158307787327213</c:v>
                </c:pt>
                <c:pt idx="49">
                  <c:v>0.66496015860089375</c:v>
                </c:pt>
                <c:pt idx="50">
                  <c:v>0.95585086256256679</c:v>
                </c:pt>
                <c:pt idx="51">
                  <c:v>1.7056034100558053E-2</c:v>
                </c:pt>
                <c:pt idx="52">
                  <c:v>0.11279023283090414</c:v>
                </c:pt>
                <c:pt idx="53">
                  <c:v>-0.35287482254172814</c:v>
                </c:pt>
                <c:pt idx="54">
                  <c:v>-0.38448059642640925</c:v>
                </c:pt>
                <c:pt idx="55">
                  <c:v>-1.1174746811686218</c:v>
                </c:pt>
                <c:pt idx="56">
                  <c:v>-0.42837162735941686</c:v>
                </c:pt>
                <c:pt idx="57">
                  <c:v>-0.30302185293958317</c:v>
                </c:pt>
                <c:pt idx="58">
                  <c:v>1.9793054116961772</c:v>
                </c:pt>
                <c:pt idx="59">
                  <c:v>-0.38199281339718588</c:v>
                </c:pt>
                <c:pt idx="60">
                  <c:v>6.6604591096856597E-2</c:v>
                </c:pt>
                <c:pt idx="61">
                  <c:v>0.57863206086705554</c:v>
                </c:pt>
                <c:pt idx="62">
                  <c:v>-3.0737629477576408E-2</c:v>
                </c:pt>
                <c:pt idx="63">
                  <c:v>0.43465624760958849</c:v>
                </c:pt>
                <c:pt idx="64">
                  <c:v>-0.29728152171290406</c:v>
                </c:pt>
                <c:pt idx="65">
                  <c:v>-0.74211515213757862</c:v>
                </c:pt>
                <c:pt idx="66">
                  <c:v>3.5999842663308246</c:v>
                </c:pt>
                <c:pt idx="67">
                  <c:v>-5.1956376662868224E-2</c:v>
                </c:pt>
                <c:pt idx="68">
                  <c:v>0.855398400831203</c:v>
                </c:pt>
                <c:pt idx="69">
                  <c:v>-1.0180564665643492</c:v>
                </c:pt>
                <c:pt idx="70">
                  <c:v>-0.47206744973344139</c:v>
                </c:pt>
                <c:pt idx="71">
                  <c:v>-0.43894118852802039</c:v>
                </c:pt>
                <c:pt idx="72">
                  <c:v>-1.2731135174383297</c:v>
                </c:pt>
                <c:pt idx="73">
                  <c:v>-1.0294753836964223</c:v>
                </c:pt>
                <c:pt idx="74">
                  <c:v>1.3732423203117967</c:v>
                </c:pt>
                <c:pt idx="75">
                  <c:v>-0.92752643434952109</c:v>
                </c:pt>
                <c:pt idx="76">
                  <c:v>0.80261241089279589</c:v>
                </c:pt>
                <c:pt idx="77">
                  <c:v>-0.3436746344077013</c:v>
                </c:pt>
                <c:pt idx="78">
                  <c:v>0.84381951854747017</c:v>
                </c:pt>
                <c:pt idx="79">
                  <c:v>-0.7654122418465612</c:v>
                </c:pt>
                <c:pt idx="80">
                  <c:v>0.19282232523364093</c:v>
                </c:pt>
                <c:pt idx="81">
                  <c:v>-0.15187043871785152</c:v>
                </c:pt>
                <c:pt idx="82">
                  <c:v>-0.33287670800733421</c:v>
                </c:pt>
                <c:pt idx="83">
                  <c:v>0.12493406380951445</c:v>
                </c:pt>
                <c:pt idx="84">
                  <c:v>-0.55168126276939444</c:v>
                </c:pt>
                <c:pt idx="85">
                  <c:v>-1.0543863110428606</c:v>
                </c:pt>
                <c:pt idx="86">
                  <c:v>-1.508634074637627</c:v>
                </c:pt>
                <c:pt idx="87">
                  <c:v>0.35939633654156761</c:v>
                </c:pt>
                <c:pt idx="88">
                  <c:v>-0.20125198450927692</c:v>
                </c:pt>
                <c:pt idx="89">
                  <c:v>-0.48680646800732719</c:v>
                </c:pt>
                <c:pt idx="90">
                  <c:v>0.82246763349699736</c:v>
                </c:pt>
                <c:pt idx="91">
                  <c:v>3.6193231009884688</c:v>
                </c:pt>
                <c:pt idx="92">
                  <c:v>0.39236340043436668</c:v>
                </c:pt>
                <c:pt idx="93">
                  <c:v>-0.46988553075608563</c:v>
                </c:pt>
                <c:pt idx="94">
                  <c:v>-0.28680011528146676</c:v>
                </c:pt>
                <c:pt idx="95">
                  <c:v>-0.40281219551420527</c:v>
                </c:pt>
                <c:pt idx="96">
                  <c:v>1.4157884133935154E-2</c:v>
                </c:pt>
                <c:pt idx="97">
                  <c:v>1.2010168027597261</c:v>
                </c:pt>
                <c:pt idx="98">
                  <c:v>1.930275699281471E-2</c:v>
                </c:pt>
                <c:pt idx="99">
                  <c:v>-0.84850208876518118</c:v>
                </c:pt>
                <c:pt idx="100">
                  <c:v>-2.1168037047599578E-2</c:v>
                </c:pt>
                <c:pt idx="101">
                  <c:v>-0.24209351314082653</c:v>
                </c:pt>
                <c:pt idx="102">
                  <c:v>-0.27650689844603915</c:v>
                </c:pt>
                <c:pt idx="103">
                  <c:v>0.26089943245746539</c:v>
                </c:pt>
                <c:pt idx="104">
                  <c:v>-0.53330660317275946</c:v>
                </c:pt>
                <c:pt idx="105">
                  <c:v>-0.52853676210818235</c:v>
                </c:pt>
                <c:pt idx="106">
                  <c:v>-1.6949493617950901</c:v>
                </c:pt>
                <c:pt idx="107">
                  <c:v>-0.25246685233373001</c:v>
                </c:pt>
                <c:pt idx="108">
                  <c:v>1.8631985603617451</c:v>
                </c:pt>
                <c:pt idx="109">
                  <c:v>-0.31622484472120371</c:v>
                </c:pt>
                <c:pt idx="110">
                  <c:v>-1.8095594692289165</c:v>
                </c:pt>
                <c:pt idx="111">
                  <c:v>1.036248103018538</c:v>
                </c:pt>
                <c:pt idx="112">
                  <c:v>-0.74902856171416765</c:v>
                </c:pt>
                <c:pt idx="113">
                  <c:v>2.0952074685209241</c:v>
                </c:pt>
                <c:pt idx="114">
                  <c:v>-0.11393237769962368</c:v>
                </c:pt>
                <c:pt idx="115">
                  <c:v>1.9885139945359602</c:v>
                </c:pt>
                <c:pt idx="116">
                  <c:v>3.5120199028525742E-2</c:v>
                </c:pt>
                <c:pt idx="117">
                  <c:v>-0.18582097917344004</c:v>
                </c:pt>
                <c:pt idx="118">
                  <c:v>-0.24076294752038502</c:v>
                </c:pt>
                <c:pt idx="119">
                  <c:v>1.0231590438219543E-2</c:v>
                </c:pt>
                <c:pt idx="120">
                  <c:v>-0.90078936070128768</c:v>
                </c:pt>
                <c:pt idx="121">
                  <c:v>0.11143150524882302</c:v>
                </c:pt>
                <c:pt idx="122">
                  <c:v>-0.39154626082178506</c:v>
                </c:pt>
                <c:pt idx="123">
                  <c:v>0.96392340014578426</c:v>
                </c:pt>
                <c:pt idx="124">
                  <c:v>-0.33804355918720574</c:v>
                </c:pt>
                <c:pt idx="125">
                  <c:v>1.5837836464501793</c:v>
                </c:pt>
                <c:pt idx="126">
                  <c:v>1.4322390071962552</c:v>
                </c:pt>
                <c:pt idx="127">
                  <c:v>-9.4341449111851189E-3</c:v>
                </c:pt>
                <c:pt idx="128">
                  <c:v>-0.60551558712992837</c:v>
                </c:pt>
                <c:pt idx="129">
                  <c:v>1.9677412463414679</c:v>
                </c:pt>
                <c:pt idx="130">
                  <c:v>0.51587708882807493</c:v>
                </c:pt>
                <c:pt idx="131">
                  <c:v>-0.25158265758410375</c:v>
                </c:pt>
                <c:pt idx="132">
                  <c:v>1.1692176628816573</c:v>
                </c:pt>
                <c:pt idx="133">
                  <c:v>0.54324813153288909</c:v>
                </c:pt>
                <c:pt idx="134">
                  <c:v>1.5790917179620954</c:v>
                </c:pt>
                <c:pt idx="135">
                  <c:v>0.25523020697584342</c:v>
                </c:pt>
                <c:pt idx="136">
                  <c:v>-1.0813413880814113</c:v>
                </c:pt>
                <c:pt idx="137">
                  <c:v>-0.4255344232201882</c:v>
                </c:pt>
                <c:pt idx="138">
                  <c:v>-0.14327154870201736</c:v>
                </c:pt>
                <c:pt idx="139">
                  <c:v>-0.59477289039879366</c:v>
                </c:pt>
                <c:pt idx="140">
                  <c:v>-1.4122984107102776</c:v>
                </c:pt>
                <c:pt idx="141">
                  <c:v>-0.35810440428204682</c:v>
                </c:pt>
                <c:pt idx="142">
                  <c:v>0.23988530920616416</c:v>
                </c:pt>
                <c:pt idx="143">
                  <c:v>-0.42088608124482685</c:v>
                </c:pt>
                <c:pt idx="144">
                  <c:v>-1.8409763714147918</c:v>
                </c:pt>
                <c:pt idx="145">
                  <c:v>-0.33453182781752788</c:v>
                </c:pt>
                <c:pt idx="146">
                  <c:v>0.19636950010006984</c:v>
                </c:pt>
                <c:pt idx="147">
                  <c:v>0.36869400936789504</c:v>
                </c:pt>
                <c:pt idx="148">
                  <c:v>-0.234955750487985</c:v>
                </c:pt>
                <c:pt idx="149">
                  <c:v>-0.34612720519879003</c:v>
                </c:pt>
                <c:pt idx="150">
                  <c:v>-1.55480737019785</c:v>
                </c:pt>
                <c:pt idx="151">
                  <c:v>0.94252268637529735</c:v>
                </c:pt>
                <c:pt idx="152">
                  <c:v>0.27294930859691729</c:v>
                </c:pt>
                <c:pt idx="153">
                  <c:v>-0.1167615594416941</c:v>
                </c:pt>
                <c:pt idx="154">
                  <c:v>0.20845441150371916</c:v>
                </c:pt>
                <c:pt idx="155">
                  <c:v>-0.40813338695241824</c:v>
                </c:pt>
                <c:pt idx="156">
                  <c:v>0.21131448458215393</c:v>
                </c:pt>
                <c:pt idx="157">
                  <c:v>0.75614047056417</c:v>
                </c:pt>
                <c:pt idx="158">
                  <c:v>-0.11064369878258982</c:v>
                </c:pt>
                <c:pt idx="159">
                  <c:v>3.6730381931559819</c:v>
                </c:pt>
                <c:pt idx="160">
                  <c:v>0.96549266759806207</c:v>
                </c:pt>
                <c:pt idx="161">
                  <c:v>-1.1449794623499918</c:v>
                </c:pt>
                <c:pt idx="162">
                  <c:v>-4.9234649770427852E-2</c:v>
                </c:pt>
                <c:pt idx="163">
                  <c:v>0.39590978434048513</c:v>
                </c:pt>
                <c:pt idx="164">
                  <c:v>1.6352419749905284E-2</c:v>
                </c:pt>
                <c:pt idx="165">
                  <c:v>-1.3825789914051123</c:v>
                </c:pt>
                <c:pt idx="166">
                  <c:v>-0.46804110664885845</c:v>
                </c:pt>
                <c:pt idx="167">
                  <c:v>-0.76935135524284159</c:v>
                </c:pt>
                <c:pt idx="168">
                  <c:v>0.68497970166713296</c:v>
                </c:pt>
                <c:pt idx="169">
                  <c:v>-0.48298991414404896</c:v>
                </c:pt>
                <c:pt idx="170">
                  <c:v>-0.55427501145087343</c:v>
                </c:pt>
                <c:pt idx="171">
                  <c:v>-0.34832576937700599</c:v>
                </c:pt>
                <c:pt idx="172">
                  <c:v>0.4893899443364832</c:v>
                </c:pt>
                <c:pt idx="173">
                  <c:v>-0.4425521788990941</c:v>
                </c:pt>
                <c:pt idx="174">
                  <c:v>1.1788669241560716</c:v>
                </c:pt>
                <c:pt idx="175">
                  <c:v>-0.64387591397018196</c:v>
                </c:pt>
                <c:pt idx="176">
                  <c:v>-0.47238831494855393</c:v>
                </c:pt>
                <c:pt idx="177">
                  <c:v>-1.0712321985840487</c:v>
                </c:pt>
                <c:pt idx="178">
                  <c:v>1.0177218080027797</c:v>
                </c:pt>
                <c:pt idx="179">
                  <c:v>0.97667319758968363</c:v>
                </c:pt>
                <c:pt idx="180">
                  <c:v>1.1795513605861447</c:v>
                </c:pt>
                <c:pt idx="181">
                  <c:v>-0.61366512643178417</c:v>
                </c:pt>
                <c:pt idx="182">
                  <c:v>-7.5872045157169818E-2</c:v>
                </c:pt>
                <c:pt idx="183">
                  <c:v>-0.80051175623526749</c:v>
                </c:pt>
                <c:pt idx="184">
                  <c:v>-0.50742587684038432</c:v>
                </c:pt>
                <c:pt idx="185">
                  <c:v>-0.53833910720672007</c:v>
                </c:pt>
                <c:pt idx="186">
                  <c:v>-0.21704334628744745</c:v>
                </c:pt>
                <c:pt idx="187">
                  <c:v>-0.34735641826304631</c:v>
                </c:pt>
                <c:pt idx="188">
                  <c:v>-1.4122038239855959</c:v>
                </c:pt>
                <c:pt idx="189">
                  <c:v>-0.56119537257777463</c:v>
                </c:pt>
                <c:pt idx="190">
                  <c:v>-1.7368545826670154</c:v>
                </c:pt>
                <c:pt idx="191">
                  <c:v>0.4205554732047127</c:v>
                </c:pt>
                <c:pt idx="192">
                  <c:v>-1.1519496765828474</c:v>
                </c:pt>
                <c:pt idx="193">
                  <c:v>0.67380665905674653</c:v>
                </c:pt>
                <c:pt idx="194">
                  <c:v>0.26088309830823325</c:v>
                </c:pt>
                <c:pt idx="195">
                  <c:v>2.0913397015893951</c:v>
                </c:pt>
                <c:pt idx="196">
                  <c:v>-0.13169940175716507</c:v>
                </c:pt>
                <c:pt idx="197">
                  <c:v>0.55938521316830347</c:v>
                </c:pt>
                <c:pt idx="198">
                  <c:v>4.6552703428576377E-2</c:v>
                </c:pt>
                <c:pt idx="199">
                  <c:v>-1.2307534245362224</c:v>
                </c:pt>
                <c:pt idx="200">
                  <c:v>-1.7434285627981458</c:v>
                </c:pt>
                <c:pt idx="201">
                  <c:v>-0.32288899334248156</c:v>
                </c:pt>
                <c:pt idx="202">
                  <c:v>-0.61806027352814197</c:v>
                </c:pt>
                <c:pt idx="203">
                  <c:v>-0.90276827645945656</c:v>
                </c:pt>
                <c:pt idx="204">
                  <c:v>-1.2135114347195597</c:v>
                </c:pt>
                <c:pt idx="205">
                  <c:v>-0.49747166837736922</c:v>
                </c:pt>
                <c:pt idx="206">
                  <c:v>-0.32241357754991645</c:v>
                </c:pt>
                <c:pt idx="207">
                  <c:v>0.79430349446416404</c:v>
                </c:pt>
                <c:pt idx="208">
                  <c:v>-0.44318582106055787</c:v>
                </c:pt>
                <c:pt idx="209">
                  <c:v>-0.47315621113344469</c:v>
                </c:pt>
                <c:pt idx="210">
                  <c:v>-0.95522510827250018</c:v>
                </c:pt>
                <c:pt idx="211">
                  <c:v>-0.42695587570830551</c:v>
                </c:pt>
                <c:pt idx="212">
                  <c:v>1.8825321270781887</c:v>
                </c:pt>
                <c:pt idx="213">
                  <c:v>0.59618856564297618</c:v>
                </c:pt>
                <c:pt idx="214">
                  <c:v>-0.7688768071399178</c:v>
                </c:pt>
                <c:pt idx="215">
                  <c:v>-0.95167684707757005</c:v>
                </c:pt>
                <c:pt idx="216">
                  <c:v>0.43535681236457652</c:v>
                </c:pt>
                <c:pt idx="217">
                  <c:v>-0.58882607867415593</c:v>
                </c:pt>
                <c:pt idx="218">
                  <c:v>-0.7756681159128308</c:v>
                </c:pt>
                <c:pt idx="219">
                  <c:v>-0.65505468460941529</c:v>
                </c:pt>
                <c:pt idx="220">
                  <c:v>1.0222059827763017</c:v>
                </c:pt>
                <c:pt idx="221">
                  <c:v>2.1106798936681912</c:v>
                </c:pt>
                <c:pt idx="222">
                  <c:v>0.78191733405067021</c:v>
                </c:pt>
                <c:pt idx="223">
                  <c:v>-0.44739314248635226</c:v>
                </c:pt>
                <c:pt idx="224">
                  <c:v>-1.0085524784133197</c:v>
                </c:pt>
                <c:pt idx="225">
                  <c:v>-0.60203807067494286</c:v>
                </c:pt>
                <c:pt idx="226">
                  <c:v>-0.60709807927961512</c:v>
                </c:pt>
                <c:pt idx="227">
                  <c:v>-0.75760437058594798</c:v>
                </c:pt>
                <c:pt idx="228">
                  <c:v>-0.57518867750950153</c:v>
                </c:pt>
                <c:pt idx="229">
                  <c:v>-0.28052855532622162</c:v>
                </c:pt>
                <c:pt idx="230">
                  <c:v>-0.541018642351484</c:v>
                </c:pt>
                <c:pt idx="231">
                  <c:v>0.16077643962085778</c:v>
                </c:pt>
                <c:pt idx="232">
                  <c:v>-0.11954741166265385</c:v>
                </c:pt>
                <c:pt idx="233">
                  <c:v>1.5746612476288182</c:v>
                </c:pt>
                <c:pt idx="234">
                  <c:v>1.5707934806972894</c:v>
                </c:pt>
                <c:pt idx="235">
                  <c:v>-0.29988579520707875</c:v>
                </c:pt>
                <c:pt idx="236">
                  <c:v>-1.8047794164928301</c:v>
                </c:pt>
                <c:pt idx="237">
                  <c:v>-0.25720902950664487</c:v>
                </c:pt>
                <c:pt idx="238">
                  <c:v>0.26330269982597437</c:v>
                </c:pt>
                <c:pt idx="239">
                  <c:v>-0.42700530972896006</c:v>
                </c:pt>
                <c:pt idx="240">
                  <c:v>-0.38940085917812606</c:v>
                </c:pt>
                <c:pt idx="241">
                  <c:v>-0.43828218810265512</c:v>
                </c:pt>
                <c:pt idx="242">
                  <c:v>-0.64468051974682972</c:v>
                </c:pt>
                <c:pt idx="243">
                  <c:v>-0.1353085397101296</c:v>
                </c:pt>
                <c:pt idx="244">
                  <c:v>-0.40673712326507361</c:v>
                </c:pt>
                <c:pt idx="245">
                  <c:v>-0.34103081977183353</c:v>
                </c:pt>
                <c:pt idx="246">
                  <c:v>0.11131447263357461</c:v>
                </c:pt>
                <c:pt idx="247">
                  <c:v>0.74688884366870034</c:v>
                </c:pt>
                <c:pt idx="248">
                  <c:v>0.32583887158837488</c:v>
                </c:pt>
                <c:pt idx="249">
                  <c:v>-0.52062678121411976</c:v>
                </c:pt>
                <c:pt idx="250">
                  <c:v>-1.0317662572461108</c:v>
                </c:pt>
                <c:pt idx="251">
                  <c:v>-0.73671213782765566</c:v>
                </c:pt>
                <c:pt idx="252">
                  <c:v>-0.52447505466573974</c:v>
                </c:pt>
                <c:pt idx="253">
                  <c:v>-0.16509860059010265</c:v>
                </c:pt>
                <c:pt idx="254">
                  <c:v>-8.999265266407977E-2</c:v>
                </c:pt>
                <c:pt idx="255">
                  <c:v>-0.11392841103615722</c:v>
                </c:pt>
                <c:pt idx="256">
                  <c:v>-0.90066556802541853</c:v>
                </c:pt>
                <c:pt idx="257">
                  <c:v>-0.49823797113371004</c:v>
                </c:pt>
                <c:pt idx="258">
                  <c:v>0.15892469006363732</c:v>
                </c:pt>
                <c:pt idx="259">
                  <c:v>-0.65318228350597118</c:v>
                </c:pt>
                <c:pt idx="260">
                  <c:v>0.75032785333230245</c:v>
                </c:pt>
                <c:pt idx="261">
                  <c:v>-0.16945850459850614</c:v>
                </c:pt>
                <c:pt idx="262">
                  <c:v>1.5813180226568964</c:v>
                </c:pt>
                <c:pt idx="263">
                  <c:v>0.23914075398357512</c:v>
                </c:pt>
                <c:pt idx="264">
                  <c:v>-0.30453499355104124</c:v>
                </c:pt>
                <c:pt idx="265">
                  <c:v>0.42565460161265894</c:v>
                </c:pt>
                <c:pt idx="266">
                  <c:v>-0.18146826136476904</c:v>
                </c:pt>
                <c:pt idx="267">
                  <c:v>6.2361166506174862E-2</c:v>
                </c:pt>
                <c:pt idx="268">
                  <c:v>-0.79254988862289877</c:v>
                </c:pt>
                <c:pt idx="269">
                  <c:v>0.17763955034026396</c:v>
                </c:pt>
                <c:pt idx="270">
                  <c:v>-5.1193787229504815E-2</c:v>
                </c:pt>
                <c:pt idx="271">
                  <c:v>-0.97953061265942398</c:v>
                </c:pt>
                <c:pt idx="272">
                  <c:v>0.16772768502528859</c:v>
                </c:pt>
                <c:pt idx="273">
                  <c:v>0.79817986539218166</c:v>
                </c:pt>
                <c:pt idx="274">
                  <c:v>0.74685725118372803</c:v>
                </c:pt>
                <c:pt idx="275">
                  <c:v>-0.81509465027380856</c:v>
                </c:pt>
                <c:pt idx="276">
                  <c:v>-1.0803797497607184</c:v>
                </c:pt>
                <c:pt idx="277">
                  <c:v>-1.4611855708894417</c:v>
                </c:pt>
                <c:pt idx="278">
                  <c:v>-0.82678953853446036</c:v>
                </c:pt>
                <c:pt idx="279">
                  <c:v>0.79647501744105353</c:v>
                </c:pt>
                <c:pt idx="280">
                  <c:v>0.74362127520865018</c:v>
                </c:pt>
                <c:pt idx="281">
                  <c:v>-0.92163830186060691</c:v>
                </c:pt>
                <c:pt idx="282">
                  <c:v>-0.96231289427591471</c:v>
                </c:pt>
                <c:pt idx="283">
                  <c:v>-0.65901717292419926</c:v>
                </c:pt>
                <c:pt idx="284">
                  <c:v>-0.30075065583982513</c:v>
                </c:pt>
                <c:pt idx="285">
                  <c:v>-0.59042227956485249</c:v>
                </c:pt>
                <c:pt idx="286">
                  <c:v>0.85526956340836102</c:v>
                </c:pt>
                <c:pt idx="287">
                  <c:v>-0.46070655126353111</c:v>
                </c:pt>
                <c:pt idx="288">
                  <c:v>1.027104768456395</c:v>
                </c:pt>
                <c:pt idx="289">
                  <c:v>0.87074244179154225</c:v>
                </c:pt>
                <c:pt idx="290">
                  <c:v>-1.755230532079314</c:v>
                </c:pt>
                <c:pt idx="291">
                  <c:v>-7.4384467071724844E-2</c:v>
                </c:pt>
                <c:pt idx="292">
                  <c:v>-0.58445600167404022</c:v>
                </c:pt>
                <c:pt idx="293">
                  <c:v>-1.0723626446126719</c:v>
                </c:pt>
                <c:pt idx="294">
                  <c:v>0.78572354104125286</c:v>
                </c:pt>
                <c:pt idx="295">
                  <c:v>-0.13839614616943444</c:v>
                </c:pt>
                <c:pt idx="296">
                  <c:v>1.169034917195845</c:v>
                </c:pt>
                <c:pt idx="297">
                  <c:v>0.13902220317712086</c:v>
                </c:pt>
                <c:pt idx="298">
                  <c:v>1.0657760182219296</c:v>
                </c:pt>
                <c:pt idx="299">
                  <c:v>-0.39728658363702601</c:v>
                </c:pt>
                <c:pt idx="300">
                  <c:v>-0.27447305078217427</c:v>
                </c:pt>
                <c:pt idx="301">
                  <c:v>-0.33526808226812338</c:v>
                </c:pt>
                <c:pt idx="302">
                  <c:v>-0.63633960789424959</c:v>
                </c:pt>
                <c:pt idx="303">
                  <c:v>-1.0869342663770689</c:v>
                </c:pt>
                <c:pt idx="304">
                  <c:v>1.3128928456839515</c:v>
                </c:pt>
                <c:pt idx="305">
                  <c:v>0.42802222491503655</c:v>
                </c:pt>
                <c:pt idx="306">
                  <c:v>-1.61749346466877</c:v>
                </c:pt>
                <c:pt idx="307">
                  <c:v>1.6694228496485897</c:v>
                </c:pt>
                <c:pt idx="308">
                  <c:v>-1.0885307842242093</c:v>
                </c:pt>
                <c:pt idx="309">
                  <c:v>0.41847806732625176</c:v>
                </c:pt>
                <c:pt idx="310">
                  <c:v>-0.56380055286157971</c:v>
                </c:pt>
                <c:pt idx="311">
                  <c:v>0.21216308280097393</c:v>
                </c:pt>
                <c:pt idx="312">
                  <c:v>3.6885106183032503</c:v>
                </c:pt>
                <c:pt idx="313">
                  <c:v>-0.33462235496762877</c:v>
                </c:pt>
                <c:pt idx="314">
                  <c:v>1.6031211236866725</c:v>
                </c:pt>
                <c:pt idx="315">
                  <c:v>-0.52041345028543573</c:v>
                </c:pt>
                <c:pt idx="316">
                  <c:v>-0.31066803858556336</c:v>
                </c:pt>
                <c:pt idx="317">
                  <c:v>-1.5161517781626965</c:v>
                </c:pt>
                <c:pt idx="318">
                  <c:v>1.5777616036906612</c:v>
                </c:pt>
                <c:pt idx="319">
                  <c:v>1.5890549139411059</c:v>
                </c:pt>
                <c:pt idx="320">
                  <c:v>-0.31758639504052821</c:v>
                </c:pt>
                <c:pt idx="321">
                  <c:v>-5.1527060494114194E-2</c:v>
                </c:pt>
                <c:pt idx="322">
                  <c:v>-0.28822370819610399</c:v>
                </c:pt>
                <c:pt idx="323">
                  <c:v>3.6115862097042601</c:v>
                </c:pt>
                <c:pt idx="324">
                  <c:v>-1.27138113703537</c:v>
                </c:pt>
                <c:pt idx="325">
                  <c:v>1.5901309579337826</c:v>
                </c:pt>
                <c:pt idx="326">
                  <c:v>0.98305838799664447</c:v>
                </c:pt>
                <c:pt idx="327">
                  <c:v>-0.40369849218127712</c:v>
                </c:pt>
                <c:pt idx="328">
                  <c:v>-0.6427520635445737</c:v>
                </c:pt>
                <c:pt idx="329">
                  <c:v>0.62438799820023372</c:v>
                </c:pt>
                <c:pt idx="330">
                  <c:v>-0.27611944438729646</c:v>
                </c:pt>
                <c:pt idx="331">
                  <c:v>-0.42128159407602583</c:v>
                </c:pt>
                <c:pt idx="332">
                  <c:v>1.062579381751428</c:v>
                </c:pt>
                <c:pt idx="333">
                  <c:v>-0.28812631929580179</c:v>
                </c:pt>
                <c:pt idx="334">
                  <c:v>1.5735824887938388</c:v>
                </c:pt>
                <c:pt idx="335">
                  <c:v>-0.13369357922405839</c:v>
                </c:pt>
                <c:pt idx="336">
                  <c:v>-1.4651237350108193</c:v>
                </c:pt>
                <c:pt idx="337">
                  <c:v>-0.36621901427369591</c:v>
                </c:pt>
                <c:pt idx="338">
                  <c:v>-0.40626445597564548</c:v>
                </c:pt>
                <c:pt idx="339">
                  <c:v>-3.2590971248813515E-2</c:v>
                </c:pt>
                <c:pt idx="340">
                  <c:v>-0.60099370981322875</c:v>
                </c:pt>
                <c:pt idx="341">
                  <c:v>8.9188156729801557E-2</c:v>
                </c:pt>
                <c:pt idx="342">
                  <c:v>3.6597937383006385</c:v>
                </c:pt>
                <c:pt idx="343">
                  <c:v>7.0809318444162841E-2</c:v>
                </c:pt>
                <c:pt idx="344">
                  <c:v>-0.60376442742688996</c:v>
                </c:pt>
                <c:pt idx="345">
                  <c:v>1.6238394672276613</c:v>
                </c:pt>
                <c:pt idx="346">
                  <c:v>0.25455797620037784</c:v>
                </c:pt>
                <c:pt idx="347">
                  <c:v>1.0351591816752717</c:v>
                </c:pt>
                <c:pt idx="348">
                  <c:v>1.3021364884622384</c:v>
                </c:pt>
                <c:pt idx="349">
                  <c:v>-0.9188466163314537</c:v>
                </c:pt>
                <c:pt idx="350">
                  <c:v>0.62362263931923156</c:v>
                </c:pt>
                <c:pt idx="351">
                  <c:v>-1.4653851190910236</c:v>
                </c:pt>
                <c:pt idx="352">
                  <c:v>-0.74423543877468434</c:v>
                </c:pt>
                <c:pt idx="353">
                  <c:v>-0.33920315011430158</c:v>
                </c:pt>
                <c:pt idx="354">
                  <c:v>-0.19926573899030711</c:v>
                </c:pt>
                <c:pt idx="355">
                  <c:v>-2.3865132713177216E-2</c:v>
                </c:pt>
                <c:pt idx="356">
                  <c:v>-0.33380295469227245</c:v>
                </c:pt>
                <c:pt idx="357">
                  <c:v>0.51099017419531423</c:v>
                </c:pt>
                <c:pt idx="358">
                  <c:v>0.28632631887464471</c:v>
                </c:pt>
                <c:pt idx="359">
                  <c:v>0.38617706608906388</c:v>
                </c:pt>
                <c:pt idx="360">
                  <c:v>0.85660154386535414</c:v>
                </c:pt>
                <c:pt idx="361">
                  <c:v>-1.0806895216381625</c:v>
                </c:pt>
                <c:pt idx="362">
                  <c:v>-0.26991553077483788</c:v>
                </c:pt>
                <c:pt idx="363">
                  <c:v>-0.29716924483270252</c:v>
                </c:pt>
                <c:pt idx="364">
                  <c:v>-0.49593383019969334</c:v>
                </c:pt>
                <c:pt idx="365">
                  <c:v>-4.4475275434517292E-2</c:v>
                </c:pt>
                <c:pt idx="366">
                  <c:v>-0.42984677017846928</c:v>
                </c:pt>
                <c:pt idx="367">
                  <c:v>-0.44458761713938943</c:v>
                </c:pt>
                <c:pt idx="368">
                  <c:v>1.5898503774034782</c:v>
                </c:pt>
                <c:pt idx="369">
                  <c:v>0.87847661823344858</c:v>
                </c:pt>
                <c:pt idx="370">
                  <c:v>-0.12916603972721258</c:v>
                </c:pt>
                <c:pt idx="371">
                  <c:v>-0.14044774475886881</c:v>
                </c:pt>
                <c:pt idx="372">
                  <c:v>0.98486802783657168</c:v>
                </c:pt>
                <c:pt idx="373">
                  <c:v>-0.46655350913518967</c:v>
                </c:pt>
                <c:pt idx="374">
                  <c:v>-0.70697311985783673</c:v>
                </c:pt>
                <c:pt idx="375">
                  <c:v>-0.38352705572743717</c:v>
                </c:pt>
                <c:pt idx="376">
                  <c:v>0.39597238867288165</c:v>
                </c:pt>
                <c:pt idx="377">
                  <c:v>0.76668550779056199</c:v>
                </c:pt>
                <c:pt idx="378">
                  <c:v>0.78979798769111442</c:v>
                </c:pt>
                <c:pt idx="379">
                  <c:v>0.41483743302120785</c:v>
                </c:pt>
                <c:pt idx="380">
                  <c:v>0.37407135286196636</c:v>
                </c:pt>
                <c:pt idx="381">
                  <c:v>3.6559259713691095</c:v>
                </c:pt>
                <c:pt idx="382">
                  <c:v>-1.817635437871685</c:v>
                </c:pt>
                <c:pt idx="383">
                  <c:v>-3.7649791331496985E-2</c:v>
                </c:pt>
                <c:pt idx="384">
                  <c:v>-0.78422204639322357</c:v>
                </c:pt>
                <c:pt idx="385">
                  <c:v>-0.4720187080081143</c:v>
                </c:pt>
                <c:pt idx="386">
                  <c:v>-0.84492616552150446</c:v>
                </c:pt>
                <c:pt idx="387">
                  <c:v>-0.58118182213324909</c:v>
                </c:pt>
                <c:pt idx="388">
                  <c:v>-0.3737172464936504</c:v>
                </c:pt>
                <c:pt idx="389">
                  <c:v>-0.61187715366842255</c:v>
                </c:pt>
                <c:pt idx="390">
                  <c:v>-1.4744300257447855</c:v>
                </c:pt>
                <c:pt idx="391">
                  <c:v>-0.55822947933672151</c:v>
                </c:pt>
                <c:pt idx="392">
                  <c:v>0.14631143635766988</c:v>
                </c:pt>
                <c:pt idx="393">
                  <c:v>-0.95179142402018335</c:v>
                </c:pt>
                <c:pt idx="394">
                  <c:v>1.367775771033287</c:v>
                </c:pt>
                <c:pt idx="395">
                  <c:v>1.5259002298867503E-2</c:v>
                </c:pt>
                <c:pt idx="396">
                  <c:v>-0.25142683544013422</c:v>
                </c:pt>
                <c:pt idx="397">
                  <c:v>-0.45751604861124151</c:v>
                </c:pt>
                <c:pt idx="398">
                  <c:v>-0.77052110308159205</c:v>
                </c:pt>
                <c:pt idx="399">
                  <c:v>-0.14719855217456118</c:v>
                </c:pt>
                <c:pt idx="400">
                  <c:v>-0.38691705757944389</c:v>
                </c:pt>
                <c:pt idx="401">
                  <c:v>-0.84646534689685948</c:v>
                </c:pt>
                <c:pt idx="402">
                  <c:v>-9.1645462264629218E-2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B-47D9-AAAE-BEDA53D098D0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8.5512575000000002</c:v>
              </c:pt>
            </c:numLit>
          </c:xVal>
          <c:yVal>
            <c:numLit>
              <c:formatCode>General</c:formatCode>
              <c:ptCount val="1"/>
              <c:pt idx="0">
                <c:v>-0.84536019640088245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06B-47D9-AAAE-BEDA53D09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765232"/>
        <c:axId val="1208766192"/>
      </c:scatterChart>
      <c:valAx>
        <c:axId val="1208765232"/>
        <c:scaling>
          <c:orientation val="minMax"/>
          <c:max val="10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08766192"/>
        <c:crosses val="autoZero"/>
        <c:crossBetween val="midCat"/>
      </c:valAx>
      <c:valAx>
        <c:axId val="1208766192"/>
        <c:scaling>
          <c:orientation val="minMax"/>
          <c:max val="4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0876523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regression'!$E$127:$E$529</c:f>
              <c:numCache>
                <c:formatCode>0.000</c:formatCode>
                <c:ptCount val="403"/>
                <c:pt idx="0">
                  <c:v>-0.41561557716360031</c:v>
                </c:pt>
                <c:pt idx="1">
                  <c:v>17.676291315549697</c:v>
                </c:pt>
                <c:pt idx="2">
                  <c:v>7.8519807126284329</c:v>
                </c:pt>
                <c:pt idx="3">
                  <c:v>19.152216304242209</c:v>
                </c:pt>
                <c:pt idx="4">
                  <c:v>2.4460115370118976</c:v>
                </c:pt>
                <c:pt idx="5">
                  <c:v>-0.46988654067305635</c:v>
                </c:pt>
                <c:pt idx="6">
                  <c:v>28.663813144734256</c:v>
                </c:pt>
                <c:pt idx="7">
                  <c:v>-0.28526186541965082</c:v>
                </c:pt>
                <c:pt idx="8">
                  <c:v>18.509527024617842</c:v>
                </c:pt>
                <c:pt idx="9">
                  <c:v>4.9377016516643977</c:v>
                </c:pt>
                <c:pt idx="10">
                  <c:v>7.7432652937761643</c:v>
                </c:pt>
                <c:pt idx="11">
                  <c:v>9.1511598593368948</c:v>
                </c:pt>
                <c:pt idx="12">
                  <c:v>-1.5797486666497795</c:v>
                </c:pt>
                <c:pt idx="13">
                  <c:v>5.0614115938726325</c:v>
                </c:pt>
                <c:pt idx="14">
                  <c:v>-15.771120974779006</c:v>
                </c:pt>
                <c:pt idx="15">
                  <c:v>-1.2628391323058816</c:v>
                </c:pt>
                <c:pt idx="16">
                  <c:v>1.4657025868722888</c:v>
                </c:pt>
                <c:pt idx="17">
                  <c:v>47.159959663516133</c:v>
                </c:pt>
                <c:pt idx="18">
                  <c:v>18.334032359132433</c:v>
                </c:pt>
                <c:pt idx="19">
                  <c:v>-5.3159001041643208</c:v>
                </c:pt>
                <c:pt idx="20">
                  <c:v>-1.9150271935585295</c:v>
                </c:pt>
                <c:pt idx="21">
                  <c:v>-2.3112576408814824</c:v>
                </c:pt>
                <c:pt idx="22">
                  <c:v>-6.9800134110159711</c:v>
                </c:pt>
                <c:pt idx="23">
                  <c:v>14.729440858900368</c:v>
                </c:pt>
                <c:pt idx="24">
                  <c:v>-8.3147890264419502</c:v>
                </c:pt>
                <c:pt idx="25">
                  <c:v>3.2089731576992531</c:v>
                </c:pt>
                <c:pt idx="26">
                  <c:v>10.773746997256698</c:v>
                </c:pt>
                <c:pt idx="27">
                  <c:v>37.608402620359328</c:v>
                </c:pt>
                <c:pt idx="28">
                  <c:v>32.132526307471252</c:v>
                </c:pt>
                <c:pt idx="29">
                  <c:v>30.98892853350241</c:v>
                </c:pt>
                <c:pt idx="30">
                  <c:v>31.753061809638066</c:v>
                </c:pt>
                <c:pt idx="31">
                  <c:v>3.8895147745188727</c:v>
                </c:pt>
                <c:pt idx="32">
                  <c:v>23.177988979556297</c:v>
                </c:pt>
                <c:pt idx="33">
                  <c:v>37.895431612922515</c:v>
                </c:pt>
                <c:pt idx="34">
                  <c:v>10.946139878736503</c:v>
                </c:pt>
                <c:pt idx="35">
                  <c:v>12.874922355007779</c:v>
                </c:pt>
                <c:pt idx="36">
                  <c:v>13.98175978848068</c:v>
                </c:pt>
                <c:pt idx="37">
                  <c:v>6.364117525616475E-2</c:v>
                </c:pt>
                <c:pt idx="38">
                  <c:v>3.2492276932393347</c:v>
                </c:pt>
                <c:pt idx="39">
                  <c:v>3.4905801118909263</c:v>
                </c:pt>
                <c:pt idx="40">
                  <c:v>9.6604500385537335</c:v>
                </c:pt>
                <c:pt idx="41">
                  <c:v>6.2301102221995208</c:v>
                </c:pt>
                <c:pt idx="42">
                  <c:v>11.391896260332564</c:v>
                </c:pt>
                <c:pt idx="43">
                  <c:v>-1.2170992260140796</c:v>
                </c:pt>
                <c:pt idx="44">
                  <c:v>7.6717648788542352</c:v>
                </c:pt>
                <c:pt idx="45">
                  <c:v>47.100509616019394</c:v>
                </c:pt>
                <c:pt idx="46">
                  <c:v>-15.977222650854998</c:v>
                </c:pt>
                <c:pt idx="47">
                  <c:v>5.5414377486026343</c:v>
                </c:pt>
                <c:pt idx="48">
                  <c:v>13.836292301417123</c:v>
                </c:pt>
                <c:pt idx="49">
                  <c:v>-8.5299793619079942</c:v>
                </c:pt>
                <c:pt idx="50">
                  <c:v>-10.23806788795893</c:v>
                </c:pt>
                <c:pt idx="51">
                  <c:v>-1.2692914701959248</c:v>
                </c:pt>
                <c:pt idx="52">
                  <c:v>0.27096787778824805</c:v>
                </c:pt>
                <c:pt idx="53">
                  <c:v>4.8142115641261176</c:v>
                </c:pt>
                <c:pt idx="54">
                  <c:v>5.5472414707052451</c:v>
                </c:pt>
                <c:pt idx="55">
                  <c:v>17.342869377272052</c:v>
                </c:pt>
                <c:pt idx="56">
                  <c:v>2.2621160608008153</c:v>
                </c:pt>
                <c:pt idx="57">
                  <c:v>3.340187012705107</c:v>
                </c:pt>
                <c:pt idx="58">
                  <c:v>32.157627547202921</c:v>
                </c:pt>
                <c:pt idx="59">
                  <c:v>3.8294592264533871</c:v>
                </c:pt>
                <c:pt idx="60">
                  <c:v>0.55883165977976379</c:v>
                </c:pt>
                <c:pt idx="61">
                  <c:v>-6.353684074817056</c:v>
                </c:pt>
                <c:pt idx="62">
                  <c:v>1.5481331711754853</c:v>
                </c:pt>
                <c:pt idx="63">
                  <c:v>-9.3692890725059605</c:v>
                </c:pt>
                <c:pt idx="64">
                  <c:v>11.054849787699153</c:v>
                </c:pt>
                <c:pt idx="65">
                  <c:v>7.3288381080200447</c:v>
                </c:pt>
                <c:pt idx="66">
                  <c:v>46.43691222359562</c:v>
                </c:pt>
                <c:pt idx="67">
                  <c:v>-0.93175263067828507</c:v>
                </c:pt>
                <c:pt idx="68">
                  <c:v>10.670109572658559</c:v>
                </c:pt>
                <c:pt idx="69">
                  <c:v>15.733569209230673</c:v>
                </c:pt>
                <c:pt idx="70">
                  <c:v>6.4147123948658615</c:v>
                </c:pt>
                <c:pt idx="71">
                  <c:v>7.8594876289030493</c:v>
                </c:pt>
                <c:pt idx="72">
                  <c:v>18.986699742031867</c:v>
                </c:pt>
                <c:pt idx="73">
                  <c:v>23.377512929478481</c:v>
                </c:pt>
                <c:pt idx="74">
                  <c:v>-15.142961691293657</c:v>
                </c:pt>
                <c:pt idx="75">
                  <c:v>15.612385911423386</c:v>
                </c:pt>
                <c:pt idx="76">
                  <c:v>11.105324206511195</c:v>
                </c:pt>
                <c:pt idx="77">
                  <c:v>3.580574645216962</c:v>
                </c:pt>
                <c:pt idx="78">
                  <c:v>-11.675308242400867</c:v>
                </c:pt>
                <c:pt idx="79">
                  <c:v>10.615215954054232</c:v>
                </c:pt>
                <c:pt idx="80">
                  <c:v>-0.63577219612690428</c:v>
                </c:pt>
                <c:pt idx="81">
                  <c:v>-0.80917240664346579</c:v>
                </c:pt>
                <c:pt idx="82">
                  <c:v>0.44065070249193505</c:v>
                </c:pt>
                <c:pt idx="83">
                  <c:v>-0.64691257061972252</c:v>
                </c:pt>
                <c:pt idx="84">
                  <c:v>5.615395132491841</c:v>
                </c:pt>
                <c:pt idx="85">
                  <c:v>23.6138401100512</c:v>
                </c:pt>
                <c:pt idx="86">
                  <c:v>37.882052858629592</c:v>
                </c:pt>
                <c:pt idx="87">
                  <c:v>-3.7661104824539988</c:v>
                </c:pt>
                <c:pt idx="88">
                  <c:v>2.1333469817905417</c:v>
                </c:pt>
                <c:pt idx="89">
                  <c:v>4.1094611445982299</c:v>
                </c:pt>
                <c:pt idx="90">
                  <c:v>11.019276173857758</c:v>
                </c:pt>
                <c:pt idx="91">
                  <c:v>46.228163904292629</c:v>
                </c:pt>
                <c:pt idx="92">
                  <c:v>14.525113449025321</c:v>
                </c:pt>
                <c:pt idx="93">
                  <c:v>9.6828923232896695</c:v>
                </c:pt>
                <c:pt idx="94">
                  <c:v>1.8020612123394599</c:v>
                </c:pt>
                <c:pt idx="95">
                  <c:v>2.8107011800781816</c:v>
                </c:pt>
                <c:pt idx="96">
                  <c:v>0.12949472956196129</c:v>
                </c:pt>
                <c:pt idx="97">
                  <c:v>-15.443846676502801</c:v>
                </c:pt>
                <c:pt idx="98">
                  <c:v>1.2464518332233094</c:v>
                </c:pt>
                <c:pt idx="99">
                  <c:v>19.034386687985663</c:v>
                </c:pt>
                <c:pt idx="100">
                  <c:v>1.4227100039715737</c:v>
                </c:pt>
                <c:pt idx="101">
                  <c:v>0.10781063237947208</c:v>
                </c:pt>
                <c:pt idx="102">
                  <c:v>3.1311232315317219</c:v>
                </c:pt>
                <c:pt idx="103">
                  <c:v>-5.0293733254162092</c:v>
                </c:pt>
                <c:pt idx="104">
                  <c:v>6.2008183339913598</c:v>
                </c:pt>
                <c:pt idx="105">
                  <c:v>9.0764102886016147</c:v>
                </c:pt>
                <c:pt idx="106">
                  <c:v>27.943685211244926</c:v>
                </c:pt>
                <c:pt idx="107">
                  <c:v>4.2304163483723736</c:v>
                </c:pt>
                <c:pt idx="108">
                  <c:v>18.372426617412323</c:v>
                </c:pt>
                <c:pt idx="109">
                  <c:v>2.6312018812685509</c:v>
                </c:pt>
                <c:pt idx="110">
                  <c:v>28.819132182610254</c:v>
                </c:pt>
                <c:pt idx="111">
                  <c:v>-14.692716015198172</c:v>
                </c:pt>
                <c:pt idx="112">
                  <c:v>18.409956583270592</c:v>
                </c:pt>
                <c:pt idx="113">
                  <c:v>31.072427861223609</c:v>
                </c:pt>
                <c:pt idx="114">
                  <c:v>1.9759160495617731</c:v>
                </c:pt>
                <c:pt idx="115">
                  <c:v>32.069101892696317</c:v>
                </c:pt>
                <c:pt idx="116">
                  <c:v>0.12014106603938401</c:v>
                </c:pt>
                <c:pt idx="117">
                  <c:v>-1.4756837749815892</c:v>
                </c:pt>
                <c:pt idx="118">
                  <c:v>2.9941088863237142</c:v>
                </c:pt>
                <c:pt idx="119">
                  <c:v>0.85439151825950654</c:v>
                </c:pt>
                <c:pt idx="120">
                  <c:v>12.74703610837803</c:v>
                </c:pt>
                <c:pt idx="121">
                  <c:v>-5.6331769837511363</c:v>
                </c:pt>
                <c:pt idx="122">
                  <c:v>4.6295373133467619</c:v>
                </c:pt>
                <c:pt idx="123">
                  <c:v>-9.4500042848865888</c:v>
                </c:pt>
                <c:pt idx="124">
                  <c:v>11.352501849439353</c:v>
                </c:pt>
                <c:pt idx="125">
                  <c:v>14.714470684416172</c:v>
                </c:pt>
                <c:pt idx="126">
                  <c:v>-15.132034628831072</c:v>
                </c:pt>
                <c:pt idx="127">
                  <c:v>0.74528994110069213</c:v>
                </c:pt>
                <c:pt idx="128">
                  <c:v>9.8289900197802709</c:v>
                </c:pt>
                <c:pt idx="129">
                  <c:v>32.253656060853778</c:v>
                </c:pt>
                <c:pt idx="130">
                  <c:v>-8.7548306096753024</c:v>
                </c:pt>
                <c:pt idx="131">
                  <c:v>4.9462720134732336</c:v>
                </c:pt>
                <c:pt idx="132">
                  <c:v>-13.078597297016671</c:v>
                </c:pt>
                <c:pt idx="133">
                  <c:v>-6.054710964596044</c:v>
                </c:pt>
                <c:pt idx="134">
                  <c:v>24.925754138560929</c:v>
                </c:pt>
                <c:pt idx="135">
                  <c:v>-4.1442838779786548</c:v>
                </c:pt>
                <c:pt idx="136">
                  <c:v>23.707405654356968</c:v>
                </c:pt>
                <c:pt idx="137">
                  <c:v>2.3313870658658256</c:v>
                </c:pt>
                <c:pt idx="138">
                  <c:v>0.71929151287155557</c:v>
                </c:pt>
                <c:pt idx="139">
                  <c:v>9.6580290162073688</c:v>
                </c:pt>
                <c:pt idx="140">
                  <c:v>19.711693389698244</c:v>
                </c:pt>
                <c:pt idx="141">
                  <c:v>5.5486392667607216</c:v>
                </c:pt>
                <c:pt idx="142">
                  <c:v>-2.5184782952624705</c:v>
                </c:pt>
                <c:pt idx="143">
                  <c:v>5.861062214668844</c:v>
                </c:pt>
                <c:pt idx="144">
                  <c:v>28.925226912845677</c:v>
                </c:pt>
                <c:pt idx="145">
                  <c:v>3.496398486344054</c:v>
                </c:pt>
                <c:pt idx="146">
                  <c:v>-4.8369462533763325</c:v>
                </c:pt>
                <c:pt idx="147">
                  <c:v>-5.2177184760237409</c:v>
                </c:pt>
                <c:pt idx="148">
                  <c:v>2.2069233487371891</c:v>
                </c:pt>
                <c:pt idx="149">
                  <c:v>4.8200299385792471</c:v>
                </c:pt>
                <c:pt idx="150">
                  <c:v>38.136123290868355</c:v>
                </c:pt>
                <c:pt idx="151">
                  <c:v>-8.3607948959561309</c:v>
                </c:pt>
                <c:pt idx="152">
                  <c:v>-1.3107825852997284</c:v>
                </c:pt>
                <c:pt idx="153">
                  <c:v>1.9183246626933848</c:v>
                </c:pt>
                <c:pt idx="154">
                  <c:v>-5.0599492738475575</c:v>
                </c:pt>
                <c:pt idx="155">
                  <c:v>7.6332204301836208</c:v>
                </c:pt>
                <c:pt idx="156">
                  <c:v>-4.8787387849517287</c:v>
                </c:pt>
                <c:pt idx="157">
                  <c:v>-7.4646088973634797</c:v>
                </c:pt>
                <c:pt idx="158">
                  <c:v>2.2765898825948763</c:v>
                </c:pt>
                <c:pt idx="159">
                  <c:v>47.184008943740594</c:v>
                </c:pt>
                <c:pt idx="160">
                  <c:v>-10.272686825465689</c:v>
                </c:pt>
                <c:pt idx="161">
                  <c:v>17.130245862457731</c:v>
                </c:pt>
                <c:pt idx="162">
                  <c:v>1.0711795082746995</c:v>
                </c:pt>
                <c:pt idx="163">
                  <c:v>14.538449335603451</c:v>
                </c:pt>
                <c:pt idx="164">
                  <c:v>-3.6357285102329868</c:v>
                </c:pt>
                <c:pt idx="165">
                  <c:v>19.613116171115148</c:v>
                </c:pt>
                <c:pt idx="166">
                  <c:v>14.069378027518114</c:v>
                </c:pt>
                <c:pt idx="167">
                  <c:v>12.129001410873077</c:v>
                </c:pt>
                <c:pt idx="168">
                  <c:v>-10.779624694586509</c:v>
                </c:pt>
                <c:pt idx="169">
                  <c:v>6.0002268126731551</c:v>
                </c:pt>
                <c:pt idx="170">
                  <c:v>8.3121374480515815</c:v>
                </c:pt>
                <c:pt idx="171">
                  <c:v>8.2810699667037362</c:v>
                </c:pt>
                <c:pt idx="172">
                  <c:v>-5.6071319937640389</c:v>
                </c:pt>
                <c:pt idx="173">
                  <c:v>13.915729911004364</c:v>
                </c:pt>
                <c:pt idx="174">
                  <c:v>-12.68618228707021</c:v>
                </c:pt>
                <c:pt idx="175">
                  <c:v>10.601990615679995</c:v>
                </c:pt>
                <c:pt idx="176">
                  <c:v>4.0777066139280134</c:v>
                </c:pt>
                <c:pt idx="177">
                  <c:v>24.402151631626133</c:v>
                </c:pt>
                <c:pt idx="178">
                  <c:v>-12.466125731264848</c:v>
                </c:pt>
                <c:pt idx="179">
                  <c:v>-11.592192894049317</c:v>
                </c:pt>
                <c:pt idx="180">
                  <c:v>-13.928112877661491</c:v>
                </c:pt>
                <c:pt idx="181">
                  <c:v>9.0732627839206508</c:v>
                </c:pt>
                <c:pt idx="182">
                  <c:v>-2.4680671772864864</c:v>
                </c:pt>
                <c:pt idx="183">
                  <c:v>17.576821660730989</c:v>
                </c:pt>
                <c:pt idx="184">
                  <c:v>8.0434285485344432</c:v>
                </c:pt>
                <c:pt idx="185">
                  <c:v>8.1910505625414043</c:v>
                </c:pt>
                <c:pt idx="186">
                  <c:v>3.8602024290152013</c:v>
                </c:pt>
                <c:pt idx="187">
                  <c:v>2.9289837482640211</c:v>
                </c:pt>
                <c:pt idx="188">
                  <c:v>36.567704080440109</c:v>
                </c:pt>
                <c:pt idx="189">
                  <c:v>12.625994905111218</c:v>
                </c:pt>
                <c:pt idx="190">
                  <c:v>27.628046493481314</c:v>
                </c:pt>
                <c:pt idx="191">
                  <c:v>11.538391796934123</c:v>
                </c:pt>
                <c:pt idx="192">
                  <c:v>17.099369115672612</c:v>
                </c:pt>
                <c:pt idx="193">
                  <c:v>-7.7337442347077721</c:v>
                </c:pt>
                <c:pt idx="194">
                  <c:v>-4.3066640954386104</c:v>
                </c:pt>
                <c:pt idx="195">
                  <c:v>31.114177525084209</c:v>
                </c:pt>
                <c:pt idx="196">
                  <c:v>0.97173666689866689</c:v>
                </c:pt>
                <c:pt idx="197">
                  <c:v>-7.0211273552364446</c:v>
                </c:pt>
                <c:pt idx="198">
                  <c:v>-1.7845829146483689</c:v>
                </c:pt>
                <c:pt idx="199">
                  <c:v>18.663591978953953</c:v>
                </c:pt>
                <c:pt idx="200">
                  <c:v>27.626390224627137</c:v>
                </c:pt>
                <c:pt idx="201">
                  <c:v>0.3446075371207864</c:v>
                </c:pt>
                <c:pt idx="202">
                  <c:v>9.9834448369424909</c:v>
                </c:pt>
                <c:pt idx="203">
                  <c:v>15.070400138371159</c:v>
                </c:pt>
                <c:pt idx="204">
                  <c:v>18.496126432276171</c:v>
                </c:pt>
                <c:pt idx="205">
                  <c:v>7.9496688396614559</c:v>
                </c:pt>
                <c:pt idx="206">
                  <c:v>11.218950626662425</c:v>
                </c:pt>
                <c:pt idx="207">
                  <c:v>-10.946310230946398</c:v>
                </c:pt>
                <c:pt idx="208">
                  <c:v>14.020067984290389</c:v>
                </c:pt>
                <c:pt idx="209">
                  <c:v>7.9329064644235405</c:v>
                </c:pt>
                <c:pt idx="210">
                  <c:v>23.40798343737087</c:v>
                </c:pt>
                <c:pt idx="211">
                  <c:v>8.3888327289784712</c:v>
                </c:pt>
                <c:pt idx="212">
                  <c:v>18.271343561611783</c:v>
                </c:pt>
                <c:pt idx="213">
                  <c:v>-10.027762474273812</c:v>
                </c:pt>
                <c:pt idx="214">
                  <c:v>11.12324761847826</c:v>
                </c:pt>
                <c:pt idx="215">
                  <c:v>23.342024970014215</c:v>
                </c:pt>
                <c:pt idx="216">
                  <c:v>-5.1823492623546041</c:v>
                </c:pt>
                <c:pt idx="217">
                  <c:v>12.687877001983395</c:v>
                </c:pt>
                <c:pt idx="218">
                  <c:v>12.376677064476517</c:v>
                </c:pt>
                <c:pt idx="219">
                  <c:v>6.886341430364709</c:v>
                </c:pt>
                <c:pt idx="220">
                  <c:v>-11.975688288766463</c:v>
                </c:pt>
                <c:pt idx="221">
                  <c:v>30.905414553430703</c:v>
                </c:pt>
                <c:pt idx="222">
                  <c:v>18.188698830258481</c:v>
                </c:pt>
                <c:pt idx="223">
                  <c:v>7.8661984400644647</c:v>
                </c:pt>
                <c:pt idx="224">
                  <c:v>15.642567022365217</c:v>
                </c:pt>
                <c:pt idx="225">
                  <c:v>10.051231371210651</c:v>
                </c:pt>
                <c:pt idx="226">
                  <c:v>9.1567338961200164</c:v>
                </c:pt>
                <c:pt idx="227">
                  <c:v>18.637614843993077</c:v>
                </c:pt>
                <c:pt idx="228">
                  <c:v>3.5406918506167102</c:v>
                </c:pt>
                <c:pt idx="229">
                  <c:v>1.8078795867925876</c:v>
                </c:pt>
                <c:pt idx="230">
                  <c:v>10.002897629090693</c:v>
                </c:pt>
                <c:pt idx="231">
                  <c:v>0.37446335982417622</c:v>
                </c:pt>
                <c:pt idx="232">
                  <c:v>-0.45404481608969949</c:v>
                </c:pt>
                <c:pt idx="233">
                  <c:v>14.812940186621567</c:v>
                </c:pt>
                <c:pt idx="234">
                  <c:v>14.854689850482163</c:v>
                </c:pt>
                <c:pt idx="235">
                  <c:v>5.1919608177745546</c:v>
                </c:pt>
                <c:pt idx="236">
                  <c:v>28.713755712830775</c:v>
                </c:pt>
                <c:pt idx="237">
                  <c:v>2.9899896476517744</c:v>
                </c:pt>
                <c:pt idx="238">
                  <c:v>-2.6460370620459548</c:v>
                </c:pt>
                <c:pt idx="239">
                  <c:v>2.8941787664199774</c:v>
                </c:pt>
                <c:pt idx="240">
                  <c:v>1.9578780921948855</c:v>
                </c:pt>
                <c:pt idx="241">
                  <c:v>7.7751962530414547</c:v>
                </c:pt>
                <c:pt idx="242">
                  <c:v>10.042778228882431</c:v>
                </c:pt>
                <c:pt idx="243">
                  <c:v>-0.84845910147408787</c:v>
                </c:pt>
                <c:pt idx="244">
                  <c:v>2.8828192564182631</c:v>
                </c:pt>
                <c:pt idx="245">
                  <c:v>3.6473398119616287</c:v>
                </c:pt>
                <c:pt idx="246">
                  <c:v>-3.2784673948188532</c:v>
                </c:pt>
                <c:pt idx="247">
                  <c:v>-8.9968717793288562</c:v>
                </c:pt>
                <c:pt idx="248">
                  <c:v>-5.6070303181334973</c:v>
                </c:pt>
                <c:pt idx="249">
                  <c:v>5.5844179980841737</c:v>
                </c:pt>
                <c:pt idx="250">
                  <c:v>16.680851437529064</c:v>
                </c:pt>
                <c:pt idx="251">
                  <c:v>12.097174707944587</c:v>
                </c:pt>
                <c:pt idx="252">
                  <c:v>7.7449644303451395</c:v>
                </c:pt>
                <c:pt idx="253">
                  <c:v>1.0905761883052145</c:v>
                </c:pt>
                <c:pt idx="254">
                  <c:v>0.53158008672116974</c:v>
                </c:pt>
                <c:pt idx="255">
                  <c:v>0.7598174163834619</c:v>
                </c:pt>
                <c:pt idx="256">
                  <c:v>12.941311784625283</c:v>
                </c:pt>
                <c:pt idx="257">
                  <c:v>9.4037468782823463</c:v>
                </c:pt>
                <c:pt idx="258">
                  <c:v>-2.13399670762655</c:v>
                </c:pt>
                <c:pt idx="259">
                  <c:v>6.0747553857522982</c:v>
                </c:pt>
                <c:pt idx="260">
                  <c:v>-8.9518095777598994</c:v>
                </c:pt>
                <c:pt idx="261">
                  <c:v>2.6065678114366504</c:v>
                </c:pt>
                <c:pt idx="262">
                  <c:v>25.110813167217117</c:v>
                </c:pt>
                <c:pt idx="263">
                  <c:v>-4.3420442360739457</c:v>
                </c:pt>
                <c:pt idx="264">
                  <c:v>0.44689069983288299</c:v>
                </c:pt>
                <c:pt idx="265">
                  <c:v>-3.8461495541206938</c:v>
                </c:pt>
                <c:pt idx="266">
                  <c:v>-6.1901964438177082E-2</c:v>
                </c:pt>
                <c:pt idx="267">
                  <c:v>0.33385462433427371</c:v>
                </c:pt>
                <c:pt idx="268">
                  <c:v>18.525267961727316</c:v>
                </c:pt>
                <c:pt idx="269">
                  <c:v>0.30944290086576309</c:v>
                </c:pt>
                <c:pt idx="270">
                  <c:v>1.0581492872572082</c:v>
                </c:pt>
                <c:pt idx="271">
                  <c:v>15.584875246928942</c:v>
                </c:pt>
                <c:pt idx="272">
                  <c:v>-3.5868972600131555</c:v>
                </c:pt>
                <c:pt idx="273">
                  <c:v>18.087615774457944</c:v>
                </c:pt>
                <c:pt idx="274">
                  <c:v>-8.8521873959791915</c:v>
                </c:pt>
                <c:pt idx="275">
                  <c:v>18.663895707602041</c:v>
                </c:pt>
                <c:pt idx="276">
                  <c:v>24.546612404777171</c:v>
                </c:pt>
                <c:pt idx="277">
                  <c:v>37.480340423596303</c:v>
                </c:pt>
                <c:pt idx="278">
                  <c:v>17.692939739678629</c:v>
                </c:pt>
                <c:pt idx="279">
                  <c:v>-7.7475780744390272</c:v>
                </c:pt>
                <c:pt idx="280">
                  <c:v>-7.8770951330250183</c:v>
                </c:pt>
                <c:pt idx="281">
                  <c:v>15.471280543853062</c:v>
                </c:pt>
                <c:pt idx="282">
                  <c:v>15.707650592298123</c:v>
                </c:pt>
                <c:pt idx="283">
                  <c:v>9.1674921320224687</c:v>
                </c:pt>
                <c:pt idx="284">
                  <c:v>7.9480092262792894</c:v>
                </c:pt>
                <c:pt idx="285">
                  <c:v>9.6832186959740127</c:v>
                </c:pt>
                <c:pt idx="286">
                  <c:v>-8.7224754953017367</c:v>
                </c:pt>
                <c:pt idx="287">
                  <c:v>14.238204749872015</c:v>
                </c:pt>
                <c:pt idx="288">
                  <c:v>-12.01998228926101</c:v>
                </c:pt>
                <c:pt idx="289">
                  <c:v>10.537607206561168</c:v>
                </c:pt>
                <c:pt idx="290">
                  <c:v>28.405580606581417</c:v>
                </c:pt>
                <c:pt idx="291">
                  <c:v>-0.5647685389813013</c:v>
                </c:pt>
                <c:pt idx="292">
                  <c:v>10.25427339598183</c:v>
                </c:pt>
                <c:pt idx="293">
                  <c:v>23.618909304708954</c:v>
                </c:pt>
                <c:pt idx="294">
                  <c:v>18.125246200119271</c:v>
                </c:pt>
                <c:pt idx="295">
                  <c:v>-2.1164579229580749</c:v>
                </c:pt>
                <c:pt idx="296">
                  <c:v>-13.427680484421444</c:v>
                </c:pt>
                <c:pt idx="297">
                  <c:v>-2.0846866642412705</c:v>
                </c:pt>
                <c:pt idx="298">
                  <c:v>24.722092502392233</c:v>
                </c:pt>
                <c:pt idx="299">
                  <c:v>8.2359264665575047</c:v>
                </c:pt>
                <c:pt idx="300">
                  <c:v>-0.22198834347788843</c:v>
                </c:pt>
                <c:pt idx="301">
                  <c:v>2.5700186808801484</c:v>
                </c:pt>
                <c:pt idx="302">
                  <c:v>8.6280806615641659</c:v>
                </c:pt>
                <c:pt idx="303">
                  <c:v>24.513229820774612</c:v>
                </c:pt>
                <c:pt idx="304">
                  <c:v>-16.079434354431179</c:v>
                </c:pt>
                <c:pt idx="305">
                  <c:v>-6.7807669645992057</c:v>
                </c:pt>
                <c:pt idx="306">
                  <c:v>26.923963763953154</c:v>
                </c:pt>
                <c:pt idx="307">
                  <c:v>31.728060957844054</c:v>
                </c:pt>
                <c:pt idx="308">
                  <c:v>16.807870649074019</c:v>
                </c:pt>
                <c:pt idx="309">
                  <c:v>11.586824056434306</c:v>
                </c:pt>
                <c:pt idx="310">
                  <c:v>6.6238911573054313</c:v>
                </c:pt>
                <c:pt idx="311">
                  <c:v>-2.2845147018080718</c:v>
                </c:pt>
                <c:pt idx="312">
                  <c:v>47.016995635947673</c:v>
                </c:pt>
                <c:pt idx="313">
                  <c:v>11.291555056517588</c:v>
                </c:pt>
                <c:pt idx="314">
                  <c:v>14.505737017463694</c:v>
                </c:pt>
                <c:pt idx="315">
                  <c:v>7.8142354355677046</c:v>
                </c:pt>
                <c:pt idx="316">
                  <c:v>8.0371970589568544</c:v>
                </c:pt>
                <c:pt idx="317">
                  <c:v>37.994946840061402</c:v>
                </c:pt>
                <c:pt idx="318">
                  <c:v>24.986700931640254</c:v>
                </c:pt>
                <c:pt idx="319">
                  <c:v>25.027299187145402</c:v>
                </c:pt>
                <c:pt idx="320">
                  <c:v>2.4705845640757342</c:v>
                </c:pt>
                <c:pt idx="321">
                  <c:v>-1.3687661470260801</c:v>
                </c:pt>
                <c:pt idx="322">
                  <c:v>7.8920312397625016</c:v>
                </c:pt>
                <c:pt idx="323">
                  <c:v>46.311677884364336</c:v>
                </c:pt>
                <c:pt idx="324">
                  <c:v>18.228221952613591</c:v>
                </c:pt>
                <c:pt idx="325">
                  <c:v>14.645956183529687</c:v>
                </c:pt>
                <c:pt idx="326">
                  <c:v>-12.346609378706587</c:v>
                </c:pt>
                <c:pt idx="327">
                  <c:v>5.7524024076109361</c:v>
                </c:pt>
                <c:pt idx="328">
                  <c:v>8.7065683142202488</c:v>
                </c:pt>
                <c:pt idx="329">
                  <c:v>-6.5369053067841927</c:v>
                </c:pt>
                <c:pt idx="330">
                  <c:v>4.1467174374885261</c:v>
                </c:pt>
                <c:pt idx="331">
                  <c:v>1.8254416441596724</c:v>
                </c:pt>
                <c:pt idx="332">
                  <c:v>24.785545132688998</c:v>
                </c:pt>
                <c:pt idx="333">
                  <c:v>4.9835541111052057</c:v>
                </c:pt>
                <c:pt idx="334">
                  <c:v>25.194312494938309</c:v>
                </c:pt>
                <c:pt idx="335">
                  <c:v>2.0579516476727155</c:v>
                </c:pt>
                <c:pt idx="336">
                  <c:v>36.948533812699459</c:v>
                </c:pt>
                <c:pt idx="337">
                  <c:v>4.8409837260078259</c:v>
                </c:pt>
                <c:pt idx="338">
                  <c:v>5.5975790740045692</c:v>
                </c:pt>
                <c:pt idx="339">
                  <c:v>-3.685472331510586</c:v>
                </c:pt>
                <c:pt idx="340">
                  <c:v>6.5248633794005668</c:v>
                </c:pt>
                <c:pt idx="341">
                  <c:v>-3.0524751611853169</c:v>
                </c:pt>
                <c:pt idx="342">
                  <c:v>47.326972971309047</c:v>
                </c:pt>
                <c:pt idx="343">
                  <c:v>-6.2676248848736016E-2</c:v>
                </c:pt>
                <c:pt idx="344">
                  <c:v>6.5690071958018077</c:v>
                </c:pt>
                <c:pt idx="345">
                  <c:v>24.651825837027925</c:v>
                </c:pt>
                <c:pt idx="346">
                  <c:v>-0.3655799633398189</c:v>
                </c:pt>
                <c:pt idx="347">
                  <c:v>-9.6487011111720733</c:v>
                </c:pt>
                <c:pt idx="348">
                  <c:v>-12.427649287034884</c:v>
                </c:pt>
                <c:pt idx="349">
                  <c:v>23.145748316418018</c:v>
                </c:pt>
                <c:pt idx="350">
                  <c:v>-6.263143575594718</c:v>
                </c:pt>
                <c:pt idx="351">
                  <c:v>36.924325009203407</c:v>
                </c:pt>
                <c:pt idx="352">
                  <c:v>10.57860927237828</c:v>
                </c:pt>
                <c:pt idx="353">
                  <c:v>-7.2930450018082738E-3</c:v>
                </c:pt>
                <c:pt idx="354">
                  <c:v>-2.0094780512264876E-2</c:v>
                </c:pt>
                <c:pt idx="355">
                  <c:v>-2.4838516777335435</c:v>
                </c:pt>
                <c:pt idx="356">
                  <c:v>11.24315210171844</c:v>
                </c:pt>
                <c:pt idx="357">
                  <c:v>-6.9375273692968351</c:v>
                </c:pt>
                <c:pt idx="358">
                  <c:v>-3.1793223589443054</c:v>
                </c:pt>
                <c:pt idx="359">
                  <c:v>-3.4486687954231643</c:v>
                </c:pt>
                <c:pt idx="360">
                  <c:v>10.6902476695355</c:v>
                </c:pt>
                <c:pt idx="361">
                  <c:v>16.99624249251994</c:v>
                </c:pt>
                <c:pt idx="362">
                  <c:v>0.475405174838615</c:v>
                </c:pt>
                <c:pt idx="363">
                  <c:v>8.0454784033853031</c:v>
                </c:pt>
                <c:pt idx="364">
                  <c:v>9.4865684356976097</c:v>
                </c:pt>
                <c:pt idx="365">
                  <c:v>-2.5049704045732275</c:v>
                </c:pt>
                <c:pt idx="366">
                  <c:v>8.4422473580549475</c:v>
                </c:pt>
                <c:pt idx="367">
                  <c:v>3.085436182102105</c:v>
                </c:pt>
                <c:pt idx="368">
                  <c:v>24.960792991417669</c:v>
                </c:pt>
                <c:pt idx="369">
                  <c:v>10.454122531190487</c:v>
                </c:pt>
                <c:pt idx="370">
                  <c:v>2.0158751572747251</c:v>
                </c:pt>
                <c:pt idx="371">
                  <c:v>0.84085377507468184</c:v>
                </c:pt>
                <c:pt idx="372">
                  <c:v>-9.1840784922150362</c:v>
                </c:pt>
                <c:pt idx="373">
                  <c:v>6.1695425791100913</c:v>
                </c:pt>
                <c:pt idx="374">
                  <c:v>10.806705432370865</c:v>
                </c:pt>
                <c:pt idx="375">
                  <c:v>5.6171893069219632</c:v>
                </c:pt>
                <c:pt idx="376">
                  <c:v>14.464181308454073</c:v>
                </c:pt>
                <c:pt idx="377">
                  <c:v>-10.6391251937715</c:v>
                </c:pt>
                <c:pt idx="378">
                  <c:v>18.059287732605064</c:v>
                </c:pt>
                <c:pt idx="379">
                  <c:v>11.642744522728224</c:v>
                </c:pt>
                <c:pt idx="380">
                  <c:v>-5.3827736757580693</c:v>
                </c:pt>
                <c:pt idx="381">
                  <c:v>47.368722635169647</c:v>
                </c:pt>
                <c:pt idx="382">
                  <c:v>28.7421694902708</c:v>
                </c:pt>
                <c:pt idx="383">
                  <c:v>0.9701393201889541</c:v>
                </c:pt>
                <c:pt idx="384">
                  <c:v>10.671193940255904</c:v>
                </c:pt>
                <c:pt idx="385">
                  <c:v>5.8991719722368918</c:v>
                </c:pt>
                <c:pt idx="386">
                  <c:v>18.965922383411566</c:v>
                </c:pt>
                <c:pt idx="387">
                  <c:v>10.28765597998439</c:v>
                </c:pt>
                <c:pt idx="388">
                  <c:v>6.0371094652003912</c:v>
                </c:pt>
                <c:pt idx="389">
                  <c:v>8.1381141793691558</c:v>
                </c:pt>
                <c:pt idx="390">
                  <c:v>37.623304451164763</c:v>
                </c:pt>
                <c:pt idx="391">
                  <c:v>3.5038892511514588</c:v>
                </c:pt>
                <c:pt idx="392">
                  <c:v>-0.52060786543635107</c:v>
                </c:pt>
                <c:pt idx="393">
                  <c:v>15.708457292789038</c:v>
                </c:pt>
                <c:pt idx="394">
                  <c:v>-13.064953285544155</c:v>
                </c:pt>
                <c:pt idx="395">
                  <c:v>-2.5988053590715579</c:v>
                </c:pt>
                <c:pt idx="396">
                  <c:v>0.22364740846335529</c:v>
                </c:pt>
                <c:pt idx="397">
                  <c:v>14.174752119575249</c:v>
                </c:pt>
                <c:pt idx="398">
                  <c:v>18.606766312729796</c:v>
                </c:pt>
                <c:pt idx="399">
                  <c:v>0.70703155808141993</c:v>
                </c:pt>
                <c:pt idx="400">
                  <c:v>0.77973077152091319</c:v>
                </c:pt>
                <c:pt idx="401">
                  <c:v>17.732226434194136</c:v>
                </c:pt>
                <c:pt idx="402">
                  <c:v>0.68410609958049662</c:v>
                </c:pt>
              </c:numCache>
            </c:numRef>
          </c:xVal>
          <c:yVal>
            <c:numRef>
              <c:f>'Linear regression'!$G$127:$G$529</c:f>
              <c:numCache>
                <c:formatCode>0.000</c:formatCode>
                <c:ptCount val="403"/>
                <c:pt idx="0">
                  <c:v>-0.20721512731153943</c:v>
                </c:pt>
                <c:pt idx="1">
                  <c:v>-0.84536019640088245</c:v>
                </c:pt>
                <c:pt idx="2">
                  <c:v>-0.29084586831463766</c:v>
                </c:pt>
                <c:pt idx="3">
                  <c:v>-1.2900200462757161</c:v>
                </c:pt>
                <c:pt idx="4">
                  <c:v>-0.32509416119685364</c:v>
                </c:pt>
                <c:pt idx="5">
                  <c:v>-0.12334038951254539</c:v>
                </c:pt>
                <c:pt idx="6">
                  <c:v>-1.791433182450938</c:v>
                </c:pt>
                <c:pt idx="7">
                  <c:v>0.2481479285657151</c:v>
                </c:pt>
                <c:pt idx="8">
                  <c:v>1.8604663656644471</c:v>
                </c:pt>
                <c:pt idx="9">
                  <c:v>-0.30717235267686099</c:v>
                </c:pt>
                <c:pt idx="10">
                  <c:v>-0.51514200181669201</c:v>
                </c:pt>
                <c:pt idx="11">
                  <c:v>-0.52684579745271154</c:v>
                </c:pt>
                <c:pt idx="12">
                  <c:v>5.5473409299836379E-2</c:v>
                </c:pt>
                <c:pt idx="13">
                  <c:v>-0.28206955121280103</c:v>
                </c:pt>
                <c:pt idx="14">
                  <c:v>1.2865555805687405</c:v>
                </c:pt>
                <c:pt idx="15">
                  <c:v>2.8475395067059383E-2</c:v>
                </c:pt>
                <c:pt idx="16">
                  <c:v>-0.24687419720469986</c:v>
                </c:pt>
                <c:pt idx="17">
                  <c:v>3.6752661634479065</c:v>
                </c:pt>
                <c:pt idx="18">
                  <c:v>1.8594650956210224</c:v>
                </c:pt>
                <c:pt idx="19">
                  <c:v>0.11790267608950039</c:v>
                </c:pt>
                <c:pt idx="20">
                  <c:v>7.4062537920504282E-2</c:v>
                </c:pt>
                <c:pt idx="21">
                  <c:v>0.18894043112242259</c:v>
                </c:pt>
                <c:pt idx="22">
                  <c:v>0.68202812422502401</c:v>
                </c:pt>
                <c:pt idx="23">
                  <c:v>1.5823967814918762</c:v>
                </c:pt>
                <c:pt idx="24">
                  <c:v>0.82483275619345553</c:v>
                </c:pt>
                <c:pt idx="25">
                  <c:v>-0.31009702186763705</c:v>
                </c:pt>
                <c:pt idx="26">
                  <c:v>0.84886601000229622</c:v>
                </c:pt>
                <c:pt idx="27">
                  <c:v>-1.475811000042953</c:v>
                </c:pt>
                <c:pt idx="28">
                  <c:v>1.9969979660863086</c:v>
                </c:pt>
                <c:pt idx="29">
                  <c:v>2.1029430023839821</c:v>
                </c:pt>
                <c:pt idx="30">
                  <c:v>1.6734439957890588</c:v>
                </c:pt>
                <c:pt idx="31">
                  <c:v>-0.19442005586407662</c:v>
                </c:pt>
                <c:pt idx="32">
                  <c:v>-0.92296037515345175</c:v>
                </c:pt>
                <c:pt idx="33">
                  <c:v>-1.5165563565910292</c:v>
                </c:pt>
                <c:pt idx="34">
                  <c:v>-0.71640452722630865</c:v>
                </c:pt>
                <c:pt idx="35">
                  <c:v>-0.60826893493272272</c:v>
                </c:pt>
                <c:pt idx="36">
                  <c:v>-0.40855994220346253</c:v>
                </c:pt>
                <c:pt idx="37">
                  <c:v>-0.20358053063592157</c:v>
                </c:pt>
                <c:pt idx="38">
                  <c:v>-0.30458289258530447</c:v>
                </c:pt>
                <c:pt idx="39">
                  <c:v>-0.34101652568059515</c:v>
                </c:pt>
                <c:pt idx="40">
                  <c:v>-0.73900896320602805</c:v>
                </c:pt>
                <c:pt idx="41">
                  <c:v>-0.4842419853707059</c:v>
                </c:pt>
                <c:pt idx="42">
                  <c:v>-0.37402516649618844</c:v>
                </c:pt>
                <c:pt idx="43">
                  <c:v>-2.937043602253802E-5</c:v>
                </c:pt>
                <c:pt idx="44">
                  <c:v>-0.76732044349162332</c:v>
                </c:pt>
                <c:pt idx="45">
                  <c:v>3.6807737270190399</c:v>
                </c:pt>
                <c:pt idx="46">
                  <c:v>1.3307256208345017</c:v>
                </c:pt>
                <c:pt idx="47">
                  <c:v>-0.39127547301367466</c:v>
                </c:pt>
                <c:pt idx="48">
                  <c:v>-0.40158307787327213</c:v>
                </c:pt>
                <c:pt idx="49">
                  <c:v>0.66496015860089375</c:v>
                </c:pt>
                <c:pt idx="50">
                  <c:v>0.95585086256256679</c:v>
                </c:pt>
                <c:pt idx="51">
                  <c:v>1.7056034100558053E-2</c:v>
                </c:pt>
                <c:pt idx="52">
                  <c:v>0.11279023283090414</c:v>
                </c:pt>
                <c:pt idx="53">
                  <c:v>-0.35287482254172814</c:v>
                </c:pt>
                <c:pt idx="54">
                  <c:v>-0.38448059642640925</c:v>
                </c:pt>
                <c:pt idx="55">
                  <c:v>-1.1174746811686218</c:v>
                </c:pt>
                <c:pt idx="56">
                  <c:v>-0.42837162735941686</c:v>
                </c:pt>
                <c:pt idx="57">
                  <c:v>-0.30302185293958317</c:v>
                </c:pt>
                <c:pt idx="58">
                  <c:v>1.9793054116961772</c:v>
                </c:pt>
                <c:pt idx="59">
                  <c:v>-0.38199281339718588</c:v>
                </c:pt>
                <c:pt idx="60">
                  <c:v>6.6604591096856597E-2</c:v>
                </c:pt>
                <c:pt idx="61">
                  <c:v>0.57863206086705554</c:v>
                </c:pt>
                <c:pt idx="62">
                  <c:v>-3.0737629477576408E-2</c:v>
                </c:pt>
                <c:pt idx="63">
                  <c:v>0.43465624760958849</c:v>
                </c:pt>
                <c:pt idx="64">
                  <c:v>-0.29728152171290406</c:v>
                </c:pt>
                <c:pt idx="65">
                  <c:v>-0.74211515213757862</c:v>
                </c:pt>
                <c:pt idx="66">
                  <c:v>3.5999842663308246</c:v>
                </c:pt>
                <c:pt idx="67">
                  <c:v>-5.1956376662868224E-2</c:v>
                </c:pt>
                <c:pt idx="68">
                  <c:v>0.855398400831203</c:v>
                </c:pt>
                <c:pt idx="69">
                  <c:v>-1.0180564665643492</c:v>
                </c:pt>
                <c:pt idx="70">
                  <c:v>-0.47206744973344139</c:v>
                </c:pt>
                <c:pt idx="71">
                  <c:v>-0.43894118852802039</c:v>
                </c:pt>
                <c:pt idx="72">
                  <c:v>-1.2731135174383297</c:v>
                </c:pt>
                <c:pt idx="73">
                  <c:v>-1.0294753836964223</c:v>
                </c:pt>
                <c:pt idx="74">
                  <c:v>1.3732423203117967</c:v>
                </c:pt>
                <c:pt idx="75">
                  <c:v>-0.92752643434952109</c:v>
                </c:pt>
                <c:pt idx="76">
                  <c:v>0.80261241089279589</c:v>
                </c:pt>
                <c:pt idx="77">
                  <c:v>-0.3436746344077013</c:v>
                </c:pt>
                <c:pt idx="78">
                  <c:v>0.84381951854747017</c:v>
                </c:pt>
                <c:pt idx="79">
                  <c:v>-0.7654122418465612</c:v>
                </c:pt>
                <c:pt idx="80">
                  <c:v>0.19282232523364093</c:v>
                </c:pt>
                <c:pt idx="81">
                  <c:v>-0.15187043871785152</c:v>
                </c:pt>
                <c:pt idx="82">
                  <c:v>-0.33287670800733421</c:v>
                </c:pt>
                <c:pt idx="83">
                  <c:v>0.12493406380951445</c:v>
                </c:pt>
                <c:pt idx="84">
                  <c:v>-0.55168126276939444</c:v>
                </c:pt>
                <c:pt idx="85">
                  <c:v>-1.0543863110428606</c:v>
                </c:pt>
                <c:pt idx="86">
                  <c:v>-1.508634074637627</c:v>
                </c:pt>
                <c:pt idx="87">
                  <c:v>0.35939633654156761</c:v>
                </c:pt>
                <c:pt idx="88">
                  <c:v>-0.20125198450927692</c:v>
                </c:pt>
                <c:pt idx="89">
                  <c:v>-0.48680646800732719</c:v>
                </c:pt>
                <c:pt idx="90">
                  <c:v>0.82246763349699736</c:v>
                </c:pt>
                <c:pt idx="91">
                  <c:v>3.6193231009884688</c:v>
                </c:pt>
                <c:pt idx="92">
                  <c:v>0.39236340043436668</c:v>
                </c:pt>
                <c:pt idx="93">
                  <c:v>-0.46988553075608563</c:v>
                </c:pt>
                <c:pt idx="94">
                  <c:v>-0.28680011528146676</c:v>
                </c:pt>
                <c:pt idx="95">
                  <c:v>-0.40281219551420527</c:v>
                </c:pt>
                <c:pt idx="96">
                  <c:v>1.4157884133935154E-2</c:v>
                </c:pt>
                <c:pt idx="97">
                  <c:v>1.2010168027597261</c:v>
                </c:pt>
                <c:pt idx="98">
                  <c:v>1.930275699281471E-2</c:v>
                </c:pt>
                <c:pt idx="99">
                  <c:v>-0.84850208876518118</c:v>
                </c:pt>
                <c:pt idx="100">
                  <c:v>-2.1168037047599578E-2</c:v>
                </c:pt>
                <c:pt idx="101">
                  <c:v>-0.24209351314082653</c:v>
                </c:pt>
                <c:pt idx="102">
                  <c:v>-0.27650689844603915</c:v>
                </c:pt>
                <c:pt idx="103">
                  <c:v>0.26089943245746539</c:v>
                </c:pt>
                <c:pt idx="104">
                  <c:v>-0.53330660317275946</c:v>
                </c:pt>
                <c:pt idx="105">
                  <c:v>-0.52853676210818235</c:v>
                </c:pt>
                <c:pt idx="106">
                  <c:v>-1.6949493617950901</c:v>
                </c:pt>
                <c:pt idx="107">
                  <c:v>-0.25246685233373001</c:v>
                </c:pt>
                <c:pt idx="108">
                  <c:v>1.8631985603617451</c:v>
                </c:pt>
                <c:pt idx="109">
                  <c:v>-0.31622484472120371</c:v>
                </c:pt>
                <c:pt idx="110">
                  <c:v>-1.8095594692289165</c:v>
                </c:pt>
                <c:pt idx="111">
                  <c:v>1.036248103018538</c:v>
                </c:pt>
                <c:pt idx="112">
                  <c:v>-0.74902856171416765</c:v>
                </c:pt>
                <c:pt idx="113">
                  <c:v>2.0952074685209241</c:v>
                </c:pt>
                <c:pt idx="114">
                  <c:v>-0.11393237769962368</c:v>
                </c:pt>
                <c:pt idx="115">
                  <c:v>1.9885139945359602</c:v>
                </c:pt>
                <c:pt idx="116">
                  <c:v>3.5120199028525742E-2</c:v>
                </c:pt>
                <c:pt idx="117">
                  <c:v>-0.18582097917344004</c:v>
                </c:pt>
                <c:pt idx="118">
                  <c:v>-0.24076294752038502</c:v>
                </c:pt>
                <c:pt idx="119">
                  <c:v>1.0231590438219543E-2</c:v>
                </c:pt>
                <c:pt idx="120">
                  <c:v>-0.90078936070128768</c:v>
                </c:pt>
                <c:pt idx="121">
                  <c:v>0.11143150524882302</c:v>
                </c:pt>
                <c:pt idx="122">
                  <c:v>-0.39154626082178506</c:v>
                </c:pt>
                <c:pt idx="123">
                  <c:v>0.96392340014578426</c:v>
                </c:pt>
                <c:pt idx="124">
                  <c:v>-0.33804355918720574</c:v>
                </c:pt>
                <c:pt idx="125">
                  <c:v>1.5837836464501793</c:v>
                </c:pt>
                <c:pt idx="126">
                  <c:v>1.4322390071962552</c:v>
                </c:pt>
                <c:pt idx="127">
                  <c:v>-9.4341449111851189E-3</c:v>
                </c:pt>
                <c:pt idx="128">
                  <c:v>-0.60551558712992837</c:v>
                </c:pt>
                <c:pt idx="129">
                  <c:v>1.9677412463414679</c:v>
                </c:pt>
                <c:pt idx="130">
                  <c:v>0.51587708882807493</c:v>
                </c:pt>
                <c:pt idx="131">
                  <c:v>-0.25158265758410375</c:v>
                </c:pt>
                <c:pt idx="132">
                  <c:v>1.1692176628816573</c:v>
                </c:pt>
                <c:pt idx="133">
                  <c:v>0.54324813153288909</c:v>
                </c:pt>
                <c:pt idx="134">
                  <c:v>1.5790917179620954</c:v>
                </c:pt>
                <c:pt idx="135">
                  <c:v>0.25523020697584342</c:v>
                </c:pt>
                <c:pt idx="136">
                  <c:v>-1.0813413880814113</c:v>
                </c:pt>
                <c:pt idx="137">
                  <c:v>-0.4255344232201882</c:v>
                </c:pt>
                <c:pt idx="138">
                  <c:v>-0.14327154870201736</c:v>
                </c:pt>
                <c:pt idx="139">
                  <c:v>-0.59477289039879366</c:v>
                </c:pt>
                <c:pt idx="140">
                  <c:v>-1.4122984107102776</c:v>
                </c:pt>
                <c:pt idx="141">
                  <c:v>-0.35810440428204682</c:v>
                </c:pt>
                <c:pt idx="142">
                  <c:v>0.23988530920616416</c:v>
                </c:pt>
                <c:pt idx="143">
                  <c:v>-0.42088608124482685</c:v>
                </c:pt>
                <c:pt idx="144">
                  <c:v>-1.8409763714147918</c:v>
                </c:pt>
                <c:pt idx="145">
                  <c:v>-0.33453182781752788</c:v>
                </c:pt>
                <c:pt idx="146">
                  <c:v>0.19636950010006984</c:v>
                </c:pt>
                <c:pt idx="147">
                  <c:v>0.36869400936789504</c:v>
                </c:pt>
                <c:pt idx="148">
                  <c:v>-0.234955750487985</c:v>
                </c:pt>
                <c:pt idx="149">
                  <c:v>-0.34612720519879003</c:v>
                </c:pt>
                <c:pt idx="150">
                  <c:v>-1.55480737019785</c:v>
                </c:pt>
                <c:pt idx="151">
                  <c:v>0.94252268637529735</c:v>
                </c:pt>
                <c:pt idx="152">
                  <c:v>0.27294930859691729</c:v>
                </c:pt>
                <c:pt idx="153">
                  <c:v>-0.1167615594416941</c:v>
                </c:pt>
                <c:pt idx="154">
                  <c:v>0.20845441150371916</c:v>
                </c:pt>
                <c:pt idx="155">
                  <c:v>-0.40813338695241824</c:v>
                </c:pt>
                <c:pt idx="156">
                  <c:v>0.21131448458215393</c:v>
                </c:pt>
                <c:pt idx="157">
                  <c:v>0.75614047056417</c:v>
                </c:pt>
                <c:pt idx="158">
                  <c:v>-0.11064369878258982</c:v>
                </c:pt>
                <c:pt idx="159">
                  <c:v>3.6730381931559819</c:v>
                </c:pt>
                <c:pt idx="160">
                  <c:v>0.96549266759806207</c:v>
                </c:pt>
                <c:pt idx="161">
                  <c:v>-1.1449794623499918</c:v>
                </c:pt>
                <c:pt idx="162">
                  <c:v>-4.9234649770427852E-2</c:v>
                </c:pt>
                <c:pt idx="163">
                  <c:v>0.39590978434048513</c:v>
                </c:pt>
                <c:pt idx="164">
                  <c:v>1.6352419749905284E-2</c:v>
                </c:pt>
                <c:pt idx="165">
                  <c:v>-1.3825789914051123</c:v>
                </c:pt>
                <c:pt idx="166">
                  <c:v>-0.46804110664885845</c:v>
                </c:pt>
                <c:pt idx="167">
                  <c:v>-0.76935135524284159</c:v>
                </c:pt>
                <c:pt idx="168">
                  <c:v>0.68497970166713296</c:v>
                </c:pt>
                <c:pt idx="169">
                  <c:v>-0.48298991414404896</c:v>
                </c:pt>
                <c:pt idx="170">
                  <c:v>-0.55427501145087343</c:v>
                </c:pt>
                <c:pt idx="171">
                  <c:v>-0.34832576937700599</c:v>
                </c:pt>
                <c:pt idx="172">
                  <c:v>0.4893899443364832</c:v>
                </c:pt>
                <c:pt idx="173">
                  <c:v>-0.4425521788990941</c:v>
                </c:pt>
                <c:pt idx="174">
                  <c:v>1.1788669241560716</c:v>
                </c:pt>
                <c:pt idx="175">
                  <c:v>-0.64387591397018196</c:v>
                </c:pt>
                <c:pt idx="176">
                  <c:v>-0.47238831494855393</c:v>
                </c:pt>
                <c:pt idx="177">
                  <c:v>-1.0712321985840487</c:v>
                </c:pt>
                <c:pt idx="178">
                  <c:v>1.0177218080027797</c:v>
                </c:pt>
                <c:pt idx="179">
                  <c:v>0.97667319758968363</c:v>
                </c:pt>
                <c:pt idx="180">
                  <c:v>1.1795513605861447</c:v>
                </c:pt>
                <c:pt idx="181">
                  <c:v>-0.61366512643178417</c:v>
                </c:pt>
                <c:pt idx="182">
                  <c:v>-7.5872045157169818E-2</c:v>
                </c:pt>
                <c:pt idx="183">
                  <c:v>-0.80051175623526749</c:v>
                </c:pt>
                <c:pt idx="184">
                  <c:v>-0.50742587684038432</c:v>
                </c:pt>
                <c:pt idx="185">
                  <c:v>-0.53833910720672007</c:v>
                </c:pt>
                <c:pt idx="186">
                  <c:v>-0.21704334628744745</c:v>
                </c:pt>
                <c:pt idx="187">
                  <c:v>-0.34735641826304631</c:v>
                </c:pt>
                <c:pt idx="188">
                  <c:v>-1.4122038239855959</c:v>
                </c:pt>
                <c:pt idx="189">
                  <c:v>-0.56119537257777463</c:v>
                </c:pt>
                <c:pt idx="190">
                  <c:v>-1.7368545826670154</c:v>
                </c:pt>
                <c:pt idx="191">
                  <c:v>0.4205554732047127</c:v>
                </c:pt>
                <c:pt idx="192">
                  <c:v>-1.1519496765828474</c:v>
                </c:pt>
                <c:pt idx="193">
                  <c:v>0.67380665905674653</c:v>
                </c:pt>
                <c:pt idx="194">
                  <c:v>0.26088309830823325</c:v>
                </c:pt>
                <c:pt idx="195">
                  <c:v>2.0913397015893951</c:v>
                </c:pt>
                <c:pt idx="196">
                  <c:v>-0.13169940175716507</c:v>
                </c:pt>
                <c:pt idx="197">
                  <c:v>0.55938521316830347</c:v>
                </c:pt>
                <c:pt idx="198">
                  <c:v>4.6552703428576377E-2</c:v>
                </c:pt>
                <c:pt idx="199">
                  <c:v>-1.2307534245362224</c:v>
                </c:pt>
                <c:pt idx="200">
                  <c:v>-1.7434285627981458</c:v>
                </c:pt>
                <c:pt idx="201">
                  <c:v>-0.32288899334248156</c:v>
                </c:pt>
                <c:pt idx="202">
                  <c:v>-0.61806027352814197</c:v>
                </c:pt>
                <c:pt idx="203">
                  <c:v>-0.90276827645945656</c:v>
                </c:pt>
                <c:pt idx="204">
                  <c:v>-1.2135114347195597</c:v>
                </c:pt>
                <c:pt idx="205">
                  <c:v>-0.49747166837736922</c:v>
                </c:pt>
                <c:pt idx="206">
                  <c:v>-0.32241357754991645</c:v>
                </c:pt>
                <c:pt idx="207">
                  <c:v>0.79430349446416404</c:v>
                </c:pt>
                <c:pt idx="208">
                  <c:v>-0.44318582106055787</c:v>
                </c:pt>
                <c:pt idx="209">
                  <c:v>-0.47315621113344469</c:v>
                </c:pt>
                <c:pt idx="210">
                  <c:v>-0.95522510827250018</c:v>
                </c:pt>
                <c:pt idx="211">
                  <c:v>-0.42695587570830551</c:v>
                </c:pt>
                <c:pt idx="212">
                  <c:v>1.8825321270781887</c:v>
                </c:pt>
                <c:pt idx="213">
                  <c:v>0.59618856564297618</c:v>
                </c:pt>
                <c:pt idx="214">
                  <c:v>-0.7688768071399178</c:v>
                </c:pt>
                <c:pt idx="215">
                  <c:v>-0.95167684707757005</c:v>
                </c:pt>
                <c:pt idx="216">
                  <c:v>0.43535681236457652</c:v>
                </c:pt>
                <c:pt idx="217">
                  <c:v>-0.58882607867415593</c:v>
                </c:pt>
                <c:pt idx="218">
                  <c:v>-0.7756681159128308</c:v>
                </c:pt>
                <c:pt idx="219">
                  <c:v>-0.65505468460941529</c:v>
                </c:pt>
                <c:pt idx="220">
                  <c:v>1.0222059827763017</c:v>
                </c:pt>
                <c:pt idx="221">
                  <c:v>2.1106798936681912</c:v>
                </c:pt>
                <c:pt idx="222">
                  <c:v>0.78191733405067021</c:v>
                </c:pt>
                <c:pt idx="223">
                  <c:v>-0.44739314248635226</c:v>
                </c:pt>
                <c:pt idx="224">
                  <c:v>-1.0085524784133197</c:v>
                </c:pt>
                <c:pt idx="225">
                  <c:v>-0.60203807067494286</c:v>
                </c:pt>
                <c:pt idx="226">
                  <c:v>-0.60709807927961512</c:v>
                </c:pt>
                <c:pt idx="227">
                  <c:v>-0.75760437058594798</c:v>
                </c:pt>
                <c:pt idx="228">
                  <c:v>-0.57518867750950153</c:v>
                </c:pt>
                <c:pt idx="229">
                  <c:v>-0.28052855532622162</c:v>
                </c:pt>
                <c:pt idx="230">
                  <c:v>-0.541018642351484</c:v>
                </c:pt>
                <c:pt idx="231">
                  <c:v>0.16077643962085778</c:v>
                </c:pt>
                <c:pt idx="232">
                  <c:v>-0.11954741166265385</c:v>
                </c:pt>
                <c:pt idx="233">
                  <c:v>1.5746612476288182</c:v>
                </c:pt>
                <c:pt idx="234">
                  <c:v>1.5707934806972894</c:v>
                </c:pt>
                <c:pt idx="235">
                  <c:v>-0.29988579520707875</c:v>
                </c:pt>
                <c:pt idx="236">
                  <c:v>-1.8047794164928301</c:v>
                </c:pt>
                <c:pt idx="237">
                  <c:v>-0.25720902950664487</c:v>
                </c:pt>
                <c:pt idx="238">
                  <c:v>0.26330269982597437</c:v>
                </c:pt>
                <c:pt idx="239">
                  <c:v>-0.42700530972896006</c:v>
                </c:pt>
                <c:pt idx="240">
                  <c:v>-0.38940085917812606</c:v>
                </c:pt>
                <c:pt idx="241">
                  <c:v>-0.43828218810265512</c:v>
                </c:pt>
                <c:pt idx="242">
                  <c:v>-0.64468051974682972</c:v>
                </c:pt>
                <c:pt idx="243">
                  <c:v>-0.1353085397101296</c:v>
                </c:pt>
                <c:pt idx="244">
                  <c:v>-0.40673712326507361</c:v>
                </c:pt>
                <c:pt idx="245">
                  <c:v>-0.34103081977183353</c:v>
                </c:pt>
                <c:pt idx="246">
                  <c:v>0.11131447263357461</c:v>
                </c:pt>
                <c:pt idx="247">
                  <c:v>0.74688884366870034</c:v>
                </c:pt>
                <c:pt idx="248">
                  <c:v>0.32583887158837488</c:v>
                </c:pt>
                <c:pt idx="249">
                  <c:v>-0.52062678121411976</c:v>
                </c:pt>
                <c:pt idx="250">
                  <c:v>-1.0317662572461108</c:v>
                </c:pt>
                <c:pt idx="251">
                  <c:v>-0.73671213782765566</c:v>
                </c:pt>
                <c:pt idx="252">
                  <c:v>-0.52447505466573974</c:v>
                </c:pt>
                <c:pt idx="253">
                  <c:v>-0.16509860059010265</c:v>
                </c:pt>
                <c:pt idx="254">
                  <c:v>-8.999265266407977E-2</c:v>
                </c:pt>
                <c:pt idx="255">
                  <c:v>-0.11392841103615722</c:v>
                </c:pt>
                <c:pt idx="256">
                  <c:v>-0.90066556802541853</c:v>
                </c:pt>
                <c:pt idx="257">
                  <c:v>-0.49823797113371004</c:v>
                </c:pt>
                <c:pt idx="258">
                  <c:v>0.15892469006363732</c:v>
                </c:pt>
                <c:pt idx="259">
                  <c:v>-0.65318228350597118</c:v>
                </c:pt>
                <c:pt idx="260">
                  <c:v>0.75032785333230245</c:v>
                </c:pt>
                <c:pt idx="261">
                  <c:v>-0.16945850459850614</c:v>
                </c:pt>
                <c:pt idx="262">
                  <c:v>1.5813180226568964</c:v>
                </c:pt>
                <c:pt idx="263">
                  <c:v>0.23914075398357512</c:v>
                </c:pt>
                <c:pt idx="264">
                  <c:v>-0.30453499355104124</c:v>
                </c:pt>
                <c:pt idx="265">
                  <c:v>0.42565460161265894</c:v>
                </c:pt>
                <c:pt idx="266">
                  <c:v>-0.18146826136476904</c:v>
                </c:pt>
                <c:pt idx="267">
                  <c:v>6.2361166506174862E-2</c:v>
                </c:pt>
                <c:pt idx="268">
                  <c:v>-0.79254988862289877</c:v>
                </c:pt>
                <c:pt idx="269">
                  <c:v>0.17763955034026396</c:v>
                </c:pt>
                <c:pt idx="270">
                  <c:v>-5.1193787229504815E-2</c:v>
                </c:pt>
                <c:pt idx="271">
                  <c:v>-0.97953061265942398</c:v>
                </c:pt>
                <c:pt idx="272">
                  <c:v>0.16772768502528859</c:v>
                </c:pt>
                <c:pt idx="273">
                  <c:v>0.79817986539218166</c:v>
                </c:pt>
                <c:pt idx="274">
                  <c:v>0.74685725118372803</c:v>
                </c:pt>
                <c:pt idx="275">
                  <c:v>-0.81509465027380856</c:v>
                </c:pt>
                <c:pt idx="276">
                  <c:v>-1.0803797497607184</c:v>
                </c:pt>
                <c:pt idx="277">
                  <c:v>-1.4611855708894417</c:v>
                </c:pt>
                <c:pt idx="278">
                  <c:v>-0.82678953853446036</c:v>
                </c:pt>
                <c:pt idx="279">
                  <c:v>0.79647501744105353</c:v>
                </c:pt>
                <c:pt idx="280">
                  <c:v>0.74362127520865018</c:v>
                </c:pt>
                <c:pt idx="281">
                  <c:v>-0.92163830186060691</c:v>
                </c:pt>
                <c:pt idx="282">
                  <c:v>-0.96231289427591471</c:v>
                </c:pt>
                <c:pt idx="283">
                  <c:v>-0.65901717292419926</c:v>
                </c:pt>
                <c:pt idx="284">
                  <c:v>-0.30075065583982513</c:v>
                </c:pt>
                <c:pt idx="285">
                  <c:v>-0.59042227956485249</c:v>
                </c:pt>
                <c:pt idx="286">
                  <c:v>0.85526956340836102</c:v>
                </c:pt>
                <c:pt idx="287">
                  <c:v>-0.46070655126353111</c:v>
                </c:pt>
                <c:pt idx="288">
                  <c:v>1.027104768456395</c:v>
                </c:pt>
                <c:pt idx="289">
                  <c:v>0.87074244179154225</c:v>
                </c:pt>
                <c:pt idx="290">
                  <c:v>-1.755230532079314</c:v>
                </c:pt>
                <c:pt idx="291">
                  <c:v>-7.4384467071724844E-2</c:v>
                </c:pt>
                <c:pt idx="292">
                  <c:v>-0.58445600167404022</c:v>
                </c:pt>
                <c:pt idx="293">
                  <c:v>-1.0723626446126719</c:v>
                </c:pt>
                <c:pt idx="294">
                  <c:v>0.78572354104125286</c:v>
                </c:pt>
                <c:pt idx="295">
                  <c:v>-0.13839614616943444</c:v>
                </c:pt>
                <c:pt idx="296">
                  <c:v>1.169034917195845</c:v>
                </c:pt>
                <c:pt idx="297">
                  <c:v>0.13902220317712086</c:v>
                </c:pt>
                <c:pt idx="298">
                  <c:v>1.0657760182219296</c:v>
                </c:pt>
                <c:pt idx="299">
                  <c:v>-0.39728658363702601</c:v>
                </c:pt>
                <c:pt idx="300">
                  <c:v>-0.27447305078217427</c:v>
                </c:pt>
                <c:pt idx="301">
                  <c:v>-0.33526808226812338</c:v>
                </c:pt>
                <c:pt idx="302">
                  <c:v>-0.63633960789424959</c:v>
                </c:pt>
                <c:pt idx="303">
                  <c:v>-1.0869342663770689</c:v>
                </c:pt>
                <c:pt idx="304">
                  <c:v>1.3128928456839515</c:v>
                </c:pt>
                <c:pt idx="305">
                  <c:v>0.42802222491503655</c:v>
                </c:pt>
                <c:pt idx="306">
                  <c:v>-1.61749346466877</c:v>
                </c:pt>
                <c:pt idx="307">
                  <c:v>1.6694228496485897</c:v>
                </c:pt>
                <c:pt idx="308">
                  <c:v>-1.0885307842242093</c:v>
                </c:pt>
                <c:pt idx="309">
                  <c:v>0.41847806732625176</c:v>
                </c:pt>
                <c:pt idx="310">
                  <c:v>-0.56380055286157971</c:v>
                </c:pt>
                <c:pt idx="311">
                  <c:v>0.21216308280097393</c:v>
                </c:pt>
                <c:pt idx="312">
                  <c:v>3.6885106183032503</c:v>
                </c:pt>
                <c:pt idx="313">
                  <c:v>-0.33462235496762877</c:v>
                </c:pt>
                <c:pt idx="314">
                  <c:v>1.6031211236866725</c:v>
                </c:pt>
                <c:pt idx="315">
                  <c:v>-0.52041345028543573</c:v>
                </c:pt>
                <c:pt idx="316">
                  <c:v>-0.31066803858556336</c:v>
                </c:pt>
                <c:pt idx="317">
                  <c:v>-1.5161517781626965</c:v>
                </c:pt>
                <c:pt idx="318">
                  <c:v>1.5777616036906612</c:v>
                </c:pt>
                <c:pt idx="319">
                  <c:v>1.5890549139411059</c:v>
                </c:pt>
                <c:pt idx="320">
                  <c:v>-0.31758639504052821</c:v>
                </c:pt>
                <c:pt idx="321">
                  <c:v>-5.1527060494114194E-2</c:v>
                </c:pt>
                <c:pt idx="322">
                  <c:v>-0.28822370819610399</c:v>
                </c:pt>
                <c:pt idx="323">
                  <c:v>3.6115862097042601</c:v>
                </c:pt>
                <c:pt idx="324">
                  <c:v>-1.27138113703537</c:v>
                </c:pt>
                <c:pt idx="325">
                  <c:v>1.5901309579337826</c:v>
                </c:pt>
                <c:pt idx="326">
                  <c:v>0.98305838799664447</c:v>
                </c:pt>
                <c:pt idx="327">
                  <c:v>-0.40369849218127712</c:v>
                </c:pt>
                <c:pt idx="328">
                  <c:v>-0.6427520635445737</c:v>
                </c:pt>
                <c:pt idx="329">
                  <c:v>0.62438799820023372</c:v>
                </c:pt>
                <c:pt idx="330">
                  <c:v>-0.27611944438729646</c:v>
                </c:pt>
                <c:pt idx="331">
                  <c:v>-0.42128159407602583</c:v>
                </c:pt>
                <c:pt idx="332">
                  <c:v>1.062579381751428</c:v>
                </c:pt>
                <c:pt idx="333">
                  <c:v>-0.28812631929580179</c:v>
                </c:pt>
                <c:pt idx="334">
                  <c:v>1.5735824887938388</c:v>
                </c:pt>
                <c:pt idx="335">
                  <c:v>-0.13369357922405839</c:v>
                </c:pt>
                <c:pt idx="336">
                  <c:v>-1.4651237350108193</c:v>
                </c:pt>
                <c:pt idx="337">
                  <c:v>-0.36621901427369591</c:v>
                </c:pt>
                <c:pt idx="338">
                  <c:v>-0.40626445597564548</c:v>
                </c:pt>
                <c:pt idx="339">
                  <c:v>-3.2590971248813515E-2</c:v>
                </c:pt>
                <c:pt idx="340">
                  <c:v>-0.60099370981322875</c:v>
                </c:pt>
                <c:pt idx="341">
                  <c:v>8.9188156729801557E-2</c:v>
                </c:pt>
                <c:pt idx="342">
                  <c:v>3.6597937383006385</c:v>
                </c:pt>
                <c:pt idx="343">
                  <c:v>7.0809318444162841E-2</c:v>
                </c:pt>
                <c:pt idx="344">
                  <c:v>-0.60376442742688996</c:v>
                </c:pt>
                <c:pt idx="345">
                  <c:v>1.6238394672276613</c:v>
                </c:pt>
                <c:pt idx="346">
                  <c:v>0.25455797620037784</c:v>
                </c:pt>
                <c:pt idx="347">
                  <c:v>1.0351591816752717</c:v>
                </c:pt>
                <c:pt idx="348">
                  <c:v>1.3021364884622384</c:v>
                </c:pt>
                <c:pt idx="349">
                  <c:v>-0.9188466163314537</c:v>
                </c:pt>
                <c:pt idx="350">
                  <c:v>0.62362263931923156</c:v>
                </c:pt>
                <c:pt idx="351">
                  <c:v>-1.4653851190910236</c:v>
                </c:pt>
                <c:pt idx="352">
                  <c:v>-0.74423543877468434</c:v>
                </c:pt>
                <c:pt idx="353">
                  <c:v>-0.33920315011430158</c:v>
                </c:pt>
                <c:pt idx="354">
                  <c:v>-0.19926573899030711</c:v>
                </c:pt>
                <c:pt idx="355">
                  <c:v>-2.3865132713177216E-2</c:v>
                </c:pt>
                <c:pt idx="356">
                  <c:v>-0.33380295469227245</c:v>
                </c:pt>
                <c:pt idx="357">
                  <c:v>0.51099017419531423</c:v>
                </c:pt>
                <c:pt idx="358">
                  <c:v>0.28632631887464471</c:v>
                </c:pt>
                <c:pt idx="359">
                  <c:v>0.38617706608906388</c:v>
                </c:pt>
                <c:pt idx="360">
                  <c:v>0.85660154386535414</c:v>
                </c:pt>
                <c:pt idx="361">
                  <c:v>-1.0806895216381625</c:v>
                </c:pt>
                <c:pt idx="362">
                  <c:v>-0.26991553077483788</c:v>
                </c:pt>
                <c:pt idx="363">
                  <c:v>-0.29716924483270252</c:v>
                </c:pt>
                <c:pt idx="364">
                  <c:v>-0.49593383019969334</c:v>
                </c:pt>
                <c:pt idx="365">
                  <c:v>-4.4475275434517292E-2</c:v>
                </c:pt>
                <c:pt idx="366">
                  <c:v>-0.42984677017846928</c:v>
                </c:pt>
                <c:pt idx="367">
                  <c:v>-0.44458761713938943</c:v>
                </c:pt>
                <c:pt idx="368">
                  <c:v>1.5898503774034782</c:v>
                </c:pt>
                <c:pt idx="369">
                  <c:v>0.87847661823344858</c:v>
                </c:pt>
                <c:pt idx="370">
                  <c:v>-0.12916603972721258</c:v>
                </c:pt>
                <c:pt idx="371">
                  <c:v>-0.14044774475886881</c:v>
                </c:pt>
                <c:pt idx="372">
                  <c:v>0.98486802783657168</c:v>
                </c:pt>
                <c:pt idx="373">
                  <c:v>-0.46655350913518967</c:v>
                </c:pt>
                <c:pt idx="374">
                  <c:v>-0.70697311985783673</c:v>
                </c:pt>
                <c:pt idx="375">
                  <c:v>-0.38352705572743717</c:v>
                </c:pt>
                <c:pt idx="376">
                  <c:v>0.39597238867288165</c:v>
                </c:pt>
                <c:pt idx="377">
                  <c:v>0.76668550779056199</c:v>
                </c:pt>
                <c:pt idx="378">
                  <c:v>0.78979798769111442</c:v>
                </c:pt>
                <c:pt idx="379">
                  <c:v>0.41483743302120785</c:v>
                </c:pt>
                <c:pt idx="380">
                  <c:v>0.37407135286196636</c:v>
                </c:pt>
                <c:pt idx="381">
                  <c:v>3.6559259713691095</c:v>
                </c:pt>
                <c:pt idx="382">
                  <c:v>-1.817635437871685</c:v>
                </c:pt>
                <c:pt idx="383">
                  <c:v>-3.7649791331496985E-2</c:v>
                </c:pt>
                <c:pt idx="384">
                  <c:v>-0.78422204639322357</c:v>
                </c:pt>
                <c:pt idx="385">
                  <c:v>-0.4720187080081143</c:v>
                </c:pt>
                <c:pt idx="386">
                  <c:v>-0.84492616552150446</c:v>
                </c:pt>
                <c:pt idx="387">
                  <c:v>-0.58118182213324909</c:v>
                </c:pt>
                <c:pt idx="388">
                  <c:v>-0.3737172464936504</c:v>
                </c:pt>
                <c:pt idx="389">
                  <c:v>-0.61187715366842255</c:v>
                </c:pt>
                <c:pt idx="390">
                  <c:v>-1.4744300257447855</c:v>
                </c:pt>
                <c:pt idx="391">
                  <c:v>-0.55822947933672151</c:v>
                </c:pt>
                <c:pt idx="392">
                  <c:v>0.14631143635766988</c:v>
                </c:pt>
                <c:pt idx="393">
                  <c:v>-0.95179142402018335</c:v>
                </c:pt>
                <c:pt idx="394">
                  <c:v>1.367775771033287</c:v>
                </c:pt>
                <c:pt idx="395">
                  <c:v>1.5259002298867503E-2</c:v>
                </c:pt>
                <c:pt idx="396">
                  <c:v>-0.25142683544013422</c:v>
                </c:pt>
                <c:pt idx="397">
                  <c:v>-0.45751604861124151</c:v>
                </c:pt>
                <c:pt idx="398">
                  <c:v>-0.77052110308159205</c:v>
                </c:pt>
                <c:pt idx="399">
                  <c:v>-0.14719855217456118</c:v>
                </c:pt>
                <c:pt idx="400">
                  <c:v>-0.38691705757944389</c:v>
                </c:pt>
                <c:pt idx="401">
                  <c:v>-0.84646534689685948</c:v>
                </c:pt>
                <c:pt idx="402">
                  <c:v>-9.1645462264629218E-2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5-472E-B176-57670C0B1DE4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17.676291315549697</c:v>
              </c:pt>
            </c:numLit>
          </c:xVal>
          <c:yVal>
            <c:numLit>
              <c:formatCode>General</c:formatCode>
              <c:ptCount val="1"/>
              <c:pt idx="0">
                <c:v>-0.84536019640088245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775-472E-B176-57670C0B1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96528"/>
        <c:axId val="1413097008"/>
      </c:scatterChart>
      <c:valAx>
        <c:axId val="1413096528"/>
        <c:scaling>
          <c:orientation val="minMax"/>
          <c:max val="5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413097008"/>
        <c:crosses val="autoZero"/>
        <c:crossBetween val="midCat"/>
      </c:valAx>
      <c:valAx>
        <c:axId val="1413097008"/>
        <c:scaling>
          <c:orientation val="minMax"/>
          <c:max val="4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1309652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- sigma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regression'!$E$127:$E$529</c:f>
              <c:numCache>
                <c:formatCode>0.000</c:formatCode>
                <c:ptCount val="403"/>
                <c:pt idx="0">
                  <c:v>-0.41561557716360031</c:v>
                </c:pt>
                <c:pt idx="1">
                  <c:v>17.676291315549697</c:v>
                </c:pt>
                <c:pt idx="2">
                  <c:v>7.8519807126284329</c:v>
                </c:pt>
                <c:pt idx="3">
                  <c:v>19.152216304242209</c:v>
                </c:pt>
                <c:pt idx="4">
                  <c:v>2.4460115370118976</c:v>
                </c:pt>
                <c:pt idx="5">
                  <c:v>-0.46988654067305635</c:v>
                </c:pt>
                <c:pt idx="6">
                  <c:v>28.663813144734256</c:v>
                </c:pt>
                <c:pt idx="7">
                  <c:v>-0.28526186541965082</c:v>
                </c:pt>
                <c:pt idx="8">
                  <c:v>18.509527024617842</c:v>
                </c:pt>
                <c:pt idx="9">
                  <c:v>4.9377016516643977</c:v>
                </c:pt>
                <c:pt idx="10">
                  <c:v>7.7432652937761643</c:v>
                </c:pt>
                <c:pt idx="11">
                  <c:v>9.1511598593368948</c:v>
                </c:pt>
                <c:pt idx="12">
                  <c:v>-1.5797486666497795</c:v>
                </c:pt>
                <c:pt idx="13">
                  <c:v>5.0614115938726325</c:v>
                </c:pt>
                <c:pt idx="14">
                  <c:v>-15.771120974779006</c:v>
                </c:pt>
                <c:pt idx="15">
                  <c:v>-1.2628391323058816</c:v>
                </c:pt>
                <c:pt idx="16">
                  <c:v>1.4657025868722888</c:v>
                </c:pt>
                <c:pt idx="17">
                  <c:v>47.159959663516133</c:v>
                </c:pt>
                <c:pt idx="18">
                  <c:v>18.334032359132433</c:v>
                </c:pt>
                <c:pt idx="19">
                  <c:v>-5.3159001041643208</c:v>
                </c:pt>
                <c:pt idx="20">
                  <c:v>-1.9150271935585295</c:v>
                </c:pt>
                <c:pt idx="21">
                  <c:v>-2.3112576408814824</c:v>
                </c:pt>
                <c:pt idx="22">
                  <c:v>-6.9800134110159711</c:v>
                </c:pt>
                <c:pt idx="23">
                  <c:v>14.729440858900368</c:v>
                </c:pt>
                <c:pt idx="24">
                  <c:v>-8.3147890264419502</c:v>
                </c:pt>
                <c:pt idx="25">
                  <c:v>3.2089731576992531</c:v>
                </c:pt>
                <c:pt idx="26">
                  <c:v>10.773746997256698</c:v>
                </c:pt>
                <c:pt idx="27">
                  <c:v>37.608402620359328</c:v>
                </c:pt>
                <c:pt idx="28">
                  <c:v>32.132526307471252</c:v>
                </c:pt>
                <c:pt idx="29">
                  <c:v>30.98892853350241</c:v>
                </c:pt>
                <c:pt idx="30">
                  <c:v>31.753061809638066</c:v>
                </c:pt>
                <c:pt idx="31">
                  <c:v>3.8895147745188727</c:v>
                </c:pt>
                <c:pt idx="32">
                  <c:v>23.177988979556297</c:v>
                </c:pt>
                <c:pt idx="33">
                  <c:v>37.895431612922515</c:v>
                </c:pt>
                <c:pt idx="34">
                  <c:v>10.946139878736503</c:v>
                </c:pt>
                <c:pt idx="35">
                  <c:v>12.874922355007779</c:v>
                </c:pt>
                <c:pt idx="36">
                  <c:v>13.98175978848068</c:v>
                </c:pt>
                <c:pt idx="37">
                  <c:v>6.364117525616475E-2</c:v>
                </c:pt>
                <c:pt idx="38">
                  <c:v>3.2492276932393347</c:v>
                </c:pt>
                <c:pt idx="39">
                  <c:v>3.4905801118909263</c:v>
                </c:pt>
                <c:pt idx="40">
                  <c:v>9.6604500385537335</c:v>
                </c:pt>
                <c:pt idx="41">
                  <c:v>6.2301102221995208</c:v>
                </c:pt>
                <c:pt idx="42">
                  <c:v>11.391896260332564</c:v>
                </c:pt>
                <c:pt idx="43">
                  <c:v>-1.2170992260140796</c:v>
                </c:pt>
                <c:pt idx="44">
                  <c:v>7.6717648788542352</c:v>
                </c:pt>
                <c:pt idx="45">
                  <c:v>47.100509616019394</c:v>
                </c:pt>
                <c:pt idx="46">
                  <c:v>-15.977222650854998</c:v>
                </c:pt>
                <c:pt idx="47">
                  <c:v>5.5414377486026343</c:v>
                </c:pt>
                <c:pt idx="48">
                  <c:v>13.836292301417123</c:v>
                </c:pt>
                <c:pt idx="49">
                  <c:v>-8.5299793619079942</c:v>
                </c:pt>
                <c:pt idx="50">
                  <c:v>-10.23806788795893</c:v>
                </c:pt>
                <c:pt idx="51">
                  <c:v>-1.2692914701959248</c:v>
                </c:pt>
                <c:pt idx="52">
                  <c:v>0.27096787778824805</c:v>
                </c:pt>
                <c:pt idx="53">
                  <c:v>4.8142115641261176</c:v>
                </c:pt>
                <c:pt idx="54">
                  <c:v>5.5472414707052451</c:v>
                </c:pt>
                <c:pt idx="55">
                  <c:v>17.342869377272052</c:v>
                </c:pt>
                <c:pt idx="56">
                  <c:v>2.2621160608008153</c:v>
                </c:pt>
                <c:pt idx="57">
                  <c:v>3.340187012705107</c:v>
                </c:pt>
                <c:pt idx="58">
                  <c:v>32.157627547202921</c:v>
                </c:pt>
                <c:pt idx="59">
                  <c:v>3.8294592264533871</c:v>
                </c:pt>
                <c:pt idx="60">
                  <c:v>0.55883165977976379</c:v>
                </c:pt>
                <c:pt idx="61">
                  <c:v>-6.353684074817056</c:v>
                </c:pt>
                <c:pt idx="62">
                  <c:v>1.5481331711754853</c:v>
                </c:pt>
                <c:pt idx="63">
                  <c:v>-9.3692890725059605</c:v>
                </c:pt>
                <c:pt idx="64">
                  <c:v>11.054849787699153</c:v>
                </c:pt>
                <c:pt idx="65">
                  <c:v>7.3288381080200447</c:v>
                </c:pt>
                <c:pt idx="66">
                  <c:v>46.43691222359562</c:v>
                </c:pt>
                <c:pt idx="67">
                  <c:v>-0.93175263067828507</c:v>
                </c:pt>
                <c:pt idx="68">
                  <c:v>10.670109572658559</c:v>
                </c:pt>
                <c:pt idx="69">
                  <c:v>15.733569209230673</c:v>
                </c:pt>
                <c:pt idx="70">
                  <c:v>6.4147123948658615</c:v>
                </c:pt>
                <c:pt idx="71">
                  <c:v>7.8594876289030493</c:v>
                </c:pt>
                <c:pt idx="72">
                  <c:v>18.986699742031867</c:v>
                </c:pt>
                <c:pt idx="73">
                  <c:v>23.377512929478481</c:v>
                </c:pt>
                <c:pt idx="74">
                  <c:v>-15.142961691293657</c:v>
                </c:pt>
                <c:pt idx="75">
                  <c:v>15.612385911423386</c:v>
                </c:pt>
                <c:pt idx="76">
                  <c:v>11.105324206511195</c:v>
                </c:pt>
                <c:pt idx="77">
                  <c:v>3.580574645216962</c:v>
                </c:pt>
                <c:pt idx="78">
                  <c:v>-11.675308242400867</c:v>
                </c:pt>
                <c:pt idx="79">
                  <c:v>10.615215954054232</c:v>
                </c:pt>
                <c:pt idx="80">
                  <c:v>-0.63577219612690428</c:v>
                </c:pt>
                <c:pt idx="81">
                  <c:v>-0.80917240664346579</c:v>
                </c:pt>
                <c:pt idx="82">
                  <c:v>0.44065070249193505</c:v>
                </c:pt>
                <c:pt idx="83">
                  <c:v>-0.64691257061972252</c:v>
                </c:pt>
                <c:pt idx="84">
                  <c:v>5.615395132491841</c:v>
                </c:pt>
                <c:pt idx="85">
                  <c:v>23.6138401100512</c:v>
                </c:pt>
                <c:pt idx="86">
                  <c:v>37.882052858629592</c:v>
                </c:pt>
                <c:pt idx="87">
                  <c:v>-3.7661104824539988</c:v>
                </c:pt>
                <c:pt idx="88">
                  <c:v>2.1333469817905417</c:v>
                </c:pt>
                <c:pt idx="89">
                  <c:v>4.1094611445982299</c:v>
                </c:pt>
                <c:pt idx="90">
                  <c:v>11.019276173857758</c:v>
                </c:pt>
                <c:pt idx="91">
                  <c:v>46.228163904292629</c:v>
                </c:pt>
                <c:pt idx="92">
                  <c:v>14.525113449025321</c:v>
                </c:pt>
                <c:pt idx="93">
                  <c:v>9.6828923232896695</c:v>
                </c:pt>
                <c:pt idx="94">
                  <c:v>1.8020612123394599</c:v>
                </c:pt>
                <c:pt idx="95">
                  <c:v>2.8107011800781816</c:v>
                </c:pt>
                <c:pt idx="96">
                  <c:v>0.12949472956196129</c:v>
                </c:pt>
                <c:pt idx="97">
                  <c:v>-15.443846676502801</c:v>
                </c:pt>
                <c:pt idx="98">
                  <c:v>1.2464518332233094</c:v>
                </c:pt>
                <c:pt idx="99">
                  <c:v>19.034386687985663</c:v>
                </c:pt>
                <c:pt idx="100">
                  <c:v>1.4227100039715737</c:v>
                </c:pt>
                <c:pt idx="101">
                  <c:v>0.10781063237947208</c:v>
                </c:pt>
                <c:pt idx="102">
                  <c:v>3.1311232315317219</c:v>
                </c:pt>
                <c:pt idx="103">
                  <c:v>-5.0293733254162092</c:v>
                </c:pt>
                <c:pt idx="104">
                  <c:v>6.2008183339913598</c:v>
                </c:pt>
                <c:pt idx="105">
                  <c:v>9.0764102886016147</c:v>
                </c:pt>
                <c:pt idx="106">
                  <c:v>27.943685211244926</c:v>
                </c:pt>
                <c:pt idx="107">
                  <c:v>4.2304163483723736</c:v>
                </c:pt>
                <c:pt idx="108">
                  <c:v>18.372426617412323</c:v>
                </c:pt>
                <c:pt idx="109">
                  <c:v>2.6312018812685509</c:v>
                </c:pt>
                <c:pt idx="110">
                  <c:v>28.819132182610254</c:v>
                </c:pt>
                <c:pt idx="111">
                  <c:v>-14.692716015198172</c:v>
                </c:pt>
                <c:pt idx="112">
                  <c:v>18.409956583270592</c:v>
                </c:pt>
                <c:pt idx="113">
                  <c:v>31.072427861223609</c:v>
                </c:pt>
                <c:pt idx="114">
                  <c:v>1.9759160495617731</c:v>
                </c:pt>
                <c:pt idx="115">
                  <c:v>32.069101892696317</c:v>
                </c:pt>
                <c:pt idx="116">
                  <c:v>0.12014106603938401</c:v>
                </c:pt>
                <c:pt idx="117">
                  <c:v>-1.4756837749815892</c:v>
                </c:pt>
                <c:pt idx="118">
                  <c:v>2.9941088863237142</c:v>
                </c:pt>
                <c:pt idx="119">
                  <c:v>0.85439151825950654</c:v>
                </c:pt>
                <c:pt idx="120">
                  <c:v>12.74703610837803</c:v>
                </c:pt>
                <c:pt idx="121">
                  <c:v>-5.6331769837511363</c:v>
                </c:pt>
                <c:pt idx="122">
                  <c:v>4.6295373133467619</c:v>
                </c:pt>
                <c:pt idx="123">
                  <c:v>-9.4500042848865888</c:v>
                </c:pt>
                <c:pt idx="124">
                  <c:v>11.352501849439353</c:v>
                </c:pt>
                <c:pt idx="125">
                  <c:v>14.714470684416172</c:v>
                </c:pt>
                <c:pt idx="126">
                  <c:v>-15.132034628831072</c:v>
                </c:pt>
                <c:pt idx="127">
                  <c:v>0.74528994110069213</c:v>
                </c:pt>
                <c:pt idx="128">
                  <c:v>9.8289900197802709</c:v>
                </c:pt>
                <c:pt idx="129">
                  <c:v>32.253656060853778</c:v>
                </c:pt>
                <c:pt idx="130">
                  <c:v>-8.7548306096753024</c:v>
                </c:pt>
                <c:pt idx="131">
                  <c:v>4.9462720134732336</c:v>
                </c:pt>
                <c:pt idx="132">
                  <c:v>-13.078597297016671</c:v>
                </c:pt>
                <c:pt idx="133">
                  <c:v>-6.054710964596044</c:v>
                </c:pt>
                <c:pt idx="134">
                  <c:v>24.925754138560929</c:v>
                </c:pt>
                <c:pt idx="135">
                  <c:v>-4.1442838779786548</c:v>
                </c:pt>
                <c:pt idx="136">
                  <c:v>23.707405654356968</c:v>
                </c:pt>
                <c:pt idx="137">
                  <c:v>2.3313870658658256</c:v>
                </c:pt>
                <c:pt idx="138">
                  <c:v>0.71929151287155557</c:v>
                </c:pt>
                <c:pt idx="139">
                  <c:v>9.6580290162073688</c:v>
                </c:pt>
                <c:pt idx="140">
                  <c:v>19.711693389698244</c:v>
                </c:pt>
                <c:pt idx="141">
                  <c:v>5.5486392667607216</c:v>
                </c:pt>
                <c:pt idx="142">
                  <c:v>-2.5184782952624705</c:v>
                </c:pt>
                <c:pt idx="143">
                  <c:v>5.861062214668844</c:v>
                </c:pt>
                <c:pt idx="144">
                  <c:v>28.925226912845677</c:v>
                </c:pt>
                <c:pt idx="145">
                  <c:v>3.496398486344054</c:v>
                </c:pt>
                <c:pt idx="146">
                  <c:v>-4.8369462533763325</c:v>
                </c:pt>
                <c:pt idx="147">
                  <c:v>-5.2177184760237409</c:v>
                </c:pt>
                <c:pt idx="148">
                  <c:v>2.2069233487371891</c:v>
                </c:pt>
                <c:pt idx="149">
                  <c:v>4.8200299385792471</c:v>
                </c:pt>
                <c:pt idx="150">
                  <c:v>38.136123290868355</c:v>
                </c:pt>
                <c:pt idx="151">
                  <c:v>-8.3607948959561309</c:v>
                </c:pt>
                <c:pt idx="152">
                  <c:v>-1.3107825852997284</c:v>
                </c:pt>
                <c:pt idx="153">
                  <c:v>1.9183246626933848</c:v>
                </c:pt>
                <c:pt idx="154">
                  <c:v>-5.0599492738475575</c:v>
                </c:pt>
                <c:pt idx="155">
                  <c:v>7.6332204301836208</c:v>
                </c:pt>
                <c:pt idx="156">
                  <c:v>-4.8787387849517287</c:v>
                </c:pt>
                <c:pt idx="157">
                  <c:v>-7.4646088973634797</c:v>
                </c:pt>
                <c:pt idx="158">
                  <c:v>2.2765898825948763</c:v>
                </c:pt>
                <c:pt idx="159">
                  <c:v>47.184008943740594</c:v>
                </c:pt>
                <c:pt idx="160">
                  <c:v>-10.272686825465689</c:v>
                </c:pt>
                <c:pt idx="161">
                  <c:v>17.130245862457731</c:v>
                </c:pt>
                <c:pt idx="162">
                  <c:v>1.0711795082746995</c:v>
                </c:pt>
                <c:pt idx="163">
                  <c:v>14.538449335603451</c:v>
                </c:pt>
                <c:pt idx="164">
                  <c:v>-3.6357285102329868</c:v>
                </c:pt>
                <c:pt idx="165">
                  <c:v>19.613116171115148</c:v>
                </c:pt>
                <c:pt idx="166">
                  <c:v>14.069378027518114</c:v>
                </c:pt>
                <c:pt idx="167">
                  <c:v>12.129001410873077</c:v>
                </c:pt>
                <c:pt idx="168">
                  <c:v>-10.779624694586509</c:v>
                </c:pt>
                <c:pt idx="169">
                  <c:v>6.0002268126731551</c:v>
                </c:pt>
                <c:pt idx="170">
                  <c:v>8.3121374480515815</c:v>
                </c:pt>
                <c:pt idx="171">
                  <c:v>8.2810699667037362</c:v>
                </c:pt>
                <c:pt idx="172">
                  <c:v>-5.6071319937640389</c:v>
                </c:pt>
                <c:pt idx="173">
                  <c:v>13.915729911004364</c:v>
                </c:pt>
                <c:pt idx="174">
                  <c:v>-12.68618228707021</c:v>
                </c:pt>
                <c:pt idx="175">
                  <c:v>10.601990615679995</c:v>
                </c:pt>
                <c:pt idx="176">
                  <c:v>4.0777066139280134</c:v>
                </c:pt>
                <c:pt idx="177">
                  <c:v>24.402151631626133</c:v>
                </c:pt>
                <c:pt idx="178">
                  <c:v>-12.466125731264848</c:v>
                </c:pt>
                <c:pt idx="179">
                  <c:v>-11.592192894049317</c:v>
                </c:pt>
                <c:pt idx="180">
                  <c:v>-13.928112877661491</c:v>
                </c:pt>
                <c:pt idx="181">
                  <c:v>9.0732627839206508</c:v>
                </c:pt>
                <c:pt idx="182">
                  <c:v>-2.4680671772864864</c:v>
                </c:pt>
                <c:pt idx="183">
                  <c:v>17.576821660730989</c:v>
                </c:pt>
                <c:pt idx="184">
                  <c:v>8.0434285485344432</c:v>
                </c:pt>
                <c:pt idx="185">
                  <c:v>8.1910505625414043</c:v>
                </c:pt>
                <c:pt idx="186">
                  <c:v>3.8602024290152013</c:v>
                </c:pt>
                <c:pt idx="187">
                  <c:v>2.9289837482640211</c:v>
                </c:pt>
                <c:pt idx="188">
                  <c:v>36.567704080440109</c:v>
                </c:pt>
                <c:pt idx="189">
                  <c:v>12.625994905111218</c:v>
                </c:pt>
                <c:pt idx="190">
                  <c:v>27.628046493481314</c:v>
                </c:pt>
                <c:pt idx="191">
                  <c:v>11.538391796934123</c:v>
                </c:pt>
                <c:pt idx="192">
                  <c:v>17.099369115672612</c:v>
                </c:pt>
                <c:pt idx="193">
                  <c:v>-7.7337442347077721</c:v>
                </c:pt>
                <c:pt idx="194">
                  <c:v>-4.3066640954386104</c:v>
                </c:pt>
                <c:pt idx="195">
                  <c:v>31.114177525084209</c:v>
                </c:pt>
                <c:pt idx="196">
                  <c:v>0.97173666689866689</c:v>
                </c:pt>
                <c:pt idx="197">
                  <c:v>-7.0211273552364446</c:v>
                </c:pt>
                <c:pt idx="198">
                  <c:v>-1.7845829146483689</c:v>
                </c:pt>
                <c:pt idx="199">
                  <c:v>18.663591978953953</c:v>
                </c:pt>
                <c:pt idx="200">
                  <c:v>27.626390224627137</c:v>
                </c:pt>
                <c:pt idx="201">
                  <c:v>0.3446075371207864</c:v>
                </c:pt>
                <c:pt idx="202">
                  <c:v>9.9834448369424909</c:v>
                </c:pt>
                <c:pt idx="203">
                  <c:v>15.070400138371159</c:v>
                </c:pt>
                <c:pt idx="204">
                  <c:v>18.496126432276171</c:v>
                </c:pt>
                <c:pt idx="205">
                  <c:v>7.9496688396614559</c:v>
                </c:pt>
                <c:pt idx="206">
                  <c:v>11.218950626662425</c:v>
                </c:pt>
                <c:pt idx="207">
                  <c:v>-10.946310230946398</c:v>
                </c:pt>
                <c:pt idx="208">
                  <c:v>14.020067984290389</c:v>
                </c:pt>
                <c:pt idx="209">
                  <c:v>7.9329064644235405</c:v>
                </c:pt>
                <c:pt idx="210">
                  <c:v>23.40798343737087</c:v>
                </c:pt>
                <c:pt idx="211">
                  <c:v>8.3888327289784712</c:v>
                </c:pt>
                <c:pt idx="212">
                  <c:v>18.271343561611783</c:v>
                </c:pt>
                <c:pt idx="213">
                  <c:v>-10.027762474273812</c:v>
                </c:pt>
                <c:pt idx="214">
                  <c:v>11.12324761847826</c:v>
                </c:pt>
                <c:pt idx="215">
                  <c:v>23.342024970014215</c:v>
                </c:pt>
                <c:pt idx="216">
                  <c:v>-5.1823492623546041</c:v>
                </c:pt>
                <c:pt idx="217">
                  <c:v>12.687877001983395</c:v>
                </c:pt>
                <c:pt idx="218">
                  <c:v>12.376677064476517</c:v>
                </c:pt>
                <c:pt idx="219">
                  <c:v>6.886341430364709</c:v>
                </c:pt>
                <c:pt idx="220">
                  <c:v>-11.975688288766463</c:v>
                </c:pt>
                <c:pt idx="221">
                  <c:v>30.905414553430703</c:v>
                </c:pt>
                <c:pt idx="222">
                  <c:v>18.188698830258481</c:v>
                </c:pt>
                <c:pt idx="223">
                  <c:v>7.8661984400644647</c:v>
                </c:pt>
                <c:pt idx="224">
                  <c:v>15.642567022365217</c:v>
                </c:pt>
                <c:pt idx="225">
                  <c:v>10.051231371210651</c:v>
                </c:pt>
                <c:pt idx="226">
                  <c:v>9.1567338961200164</c:v>
                </c:pt>
                <c:pt idx="227">
                  <c:v>18.637614843993077</c:v>
                </c:pt>
                <c:pt idx="228">
                  <c:v>3.5406918506167102</c:v>
                </c:pt>
                <c:pt idx="229">
                  <c:v>1.8078795867925876</c:v>
                </c:pt>
                <c:pt idx="230">
                  <c:v>10.002897629090693</c:v>
                </c:pt>
                <c:pt idx="231">
                  <c:v>0.37446335982417622</c:v>
                </c:pt>
                <c:pt idx="232">
                  <c:v>-0.45404481608969949</c:v>
                </c:pt>
                <c:pt idx="233">
                  <c:v>14.812940186621567</c:v>
                </c:pt>
                <c:pt idx="234">
                  <c:v>14.854689850482163</c:v>
                </c:pt>
                <c:pt idx="235">
                  <c:v>5.1919608177745546</c:v>
                </c:pt>
                <c:pt idx="236">
                  <c:v>28.713755712830775</c:v>
                </c:pt>
                <c:pt idx="237">
                  <c:v>2.9899896476517744</c:v>
                </c:pt>
                <c:pt idx="238">
                  <c:v>-2.6460370620459548</c:v>
                </c:pt>
                <c:pt idx="239">
                  <c:v>2.8941787664199774</c:v>
                </c:pt>
                <c:pt idx="240">
                  <c:v>1.9578780921948855</c:v>
                </c:pt>
                <c:pt idx="241">
                  <c:v>7.7751962530414547</c:v>
                </c:pt>
                <c:pt idx="242">
                  <c:v>10.042778228882431</c:v>
                </c:pt>
                <c:pt idx="243">
                  <c:v>-0.84845910147408787</c:v>
                </c:pt>
                <c:pt idx="244">
                  <c:v>2.8828192564182631</c:v>
                </c:pt>
                <c:pt idx="245">
                  <c:v>3.6473398119616287</c:v>
                </c:pt>
                <c:pt idx="246">
                  <c:v>-3.2784673948188532</c:v>
                </c:pt>
                <c:pt idx="247">
                  <c:v>-8.9968717793288562</c:v>
                </c:pt>
                <c:pt idx="248">
                  <c:v>-5.6070303181334973</c:v>
                </c:pt>
                <c:pt idx="249">
                  <c:v>5.5844179980841737</c:v>
                </c:pt>
                <c:pt idx="250">
                  <c:v>16.680851437529064</c:v>
                </c:pt>
                <c:pt idx="251">
                  <c:v>12.097174707944587</c:v>
                </c:pt>
                <c:pt idx="252">
                  <c:v>7.7449644303451395</c:v>
                </c:pt>
                <c:pt idx="253">
                  <c:v>1.0905761883052145</c:v>
                </c:pt>
                <c:pt idx="254">
                  <c:v>0.53158008672116974</c:v>
                </c:pt>
                <c:pt idx="255">
                  <c:v>0.7598174163834619</c:v>
                </c:pt>
                <c:pt idx="256">
                  <c:v>12.941311784625283</c:v>
                </c:pt>
                <c:pt idx="257">
                  <c:v>9.4037468782823463</c:v>
                </c:pt>
                <c:pt idx="258">
                  <c:v>-2.13399670762655</c:v>
                </c:pt>
                <c:pt idx="259">
                  <c:v>6.0747553857522982</c:v>
                </c:pt>
                <c:pt idx="260">
                  <c:v>-8.9518095777598994</c:v>
                </c:pt>
                <c:pt idx="261">
                  <c:v>2.6065678114366504</c:v>
                </c:pt>
                <c:pt idx="262">
                  <c:v>25.110813167217117</c:v>
                </c:pt>
                <c:pt idx="263">
                  <c:v>-4.3420442360739457</c:v>
                </c:pt>
                <c:pt idx="264">
                  <c:v>0.44689069983288299</c:v>
                </c:pt>
                <c:pt idx="265">
                  <c:v>-3.8461495541206938</c:v>
                </c:pt>
                <c:pt idx="266">
                  <c:v>-6.1901964438177082E-2</c:v>
                </c:pt>
                <c:pt idx="267">
                  <c:v>0.33385462433427371</c:v>
                </c:pt>
                <c:pt idx="268">
                  <c:v>18.525267961727316</c:v>
                </c:pt>
                <c:pt idx="269">
                  <c:v>0.30944290086576309</c:v>
                </c:pt>
                <c:pt idx="270">
                  <c:v>1.0581492872572082</c:v>
                </c:pt>
                <c:pt idx="271">
                  <c:v>15.584875246928942</c:v>
                </c:pt>
                <c:pt idx="272">
                  <c:v>-3.5868972600131555</c:v>
                </c:pt>
                <c:pt idx="273">
                  <c:v>18.087615774457944</c:v>
                </c:pt>
                <c:pt idx="274">
                  <c:v>-8.8521873959791915</c:v>
                </c:pt>
                <c:pt idx="275">
                  <c:v>18.663895707602041</c:v>
                </c:pt>
                <c:pt idx="276">
                  <c:v>24.546612404777171</c:v>
                </c:pt>
                <c:pt idx="277">
                  <c:v>37.480340423596303</c:v>
                </c:pt>
                <c:pt idx="278">
                  <c:v>17.692939739678629</c:v>
                </c:pt>
                <c:pt idx="279">
                  <c:v>-7.7475780744390272</c:v>
                </c:pt>
                <c:pt idx="280">
                  <c:v>-7.8770951330250183</c:v>
                </c:pt>
                <c:pt idx="281">
                  <c:v>15.471280543853062</c:v>
                </c:pt>
                <c:pt idx="282">
                  <c:v>15.707650592298123</c:v>
                </c:pt>
                <c:pt idx="283">
                  <c:v>9.1674921320224687</c:v>
                </c:pt>
                <c:pt idx="284">
                  <c:v>7.9480092262792894</c:v>
                </c:pt>
                <c:pt idx="285">
                  <c:v>9.6832186959740127</c:v>
                </c:pt>
                <c:pt idx="286">
                  <c:v>-8.7224754953017367</c:v>
                </c:pt>
                <c:pt idx="287">
                  <c:v>14.238204749872015</c:v>
                </c:pt>
                <c:pt idx="288">
                  <c:v>-12.01998228926101</c:v>
                </c:pt>
                <c:pt idx="289">
                  <c:v>10.537607206561168</c:v>
                </c:pt>
                <c:pt idx="290">
                  <c:v>28.405580606581417</c:v>
                </c:pt>
                <c:pt idx="291">
                  <c:v>-0.5647685389813013</c:v>
                </c:pt>
                <c:pt idx="292">
                  <c:v>10.25427339598183</c:v>
                </c:pt>
                <c:pt idx="293">
                  <c:v>23.618909304708954</c:v>
                </c:pt>
                <c:pt idx="294">
                  <c:v>18.125246200119271</c:v>
                </c:pt>
                <c:pt idx="295">
                  <c:v>-2.1164579229580749</c:v>
                </c:pt>
                <c:pt idx="296">
                  <c:v>-13.427680484421444</c:v>
                </c:pt>
                <c:pt idx="297">
                  <c:v>-2.0846866642412705</c:v>
                </c:pt>
                <c:pt idx="298">
                  <c:v>24.722092502392233</c:v>
                </c:pt>
                <c:pt idx="299">
                  <c:v>8.2359264665575047</c:v>
                </c:pt>
                <c:pt idx="300">
                  <c:v>-0.22198834347788843</c:v>
                </c:pt>
                <c:pt idx="301">
                  <c:v>2.5700186808801484</c:v>
                </c:pt>
                <c:pt idx="302">
                  <c:v>8.6280806615641659</c:v>
                </c:pt>
                <c:pt idx="303">
                  <c:v>24.513229820774612</c:v>
                </c:pt>
                <c:pt idx="304">
                  <c:v>-16.079434354431179</c:v>
                </c:pt>
                <c:pt idx="305">
                  <c:v>-6.7807669645992057</c:v>
                </c:pt>
                <c:pt idx="306">
                  <c:v>26.923963763953154</c:v>
                </c:pt>
                <c:pt idx="307">
                  <c:v>31.728060957844054</c:v>
                </c:pt>
                <c:pt idx="308">
                  <c:v>16.807870649074019</c:v>
                </c:pt>
                <c:pt idx="309">
                  <c:v>11.586824056434306</c:v>
                </c:pt>
                <c:pt idx="310">
                  <c:v>6.6238911573054313</c:v>
                </c:pt>
                <c:pt idx="311">
                  <c:v>-2.2845147018080718</c:v>
                </c:pt>
                <c:pt idx="312">
                  <c:v>47.016995635947673</c:v>
                </c:pt>
                <c:pt idx="313">
                  <c:v>11.291555056517588</c:v>
                </c:pt>
                <c:pt idx="314">
                  <c:v>14.505737017463694</c:v>
                </c:pt>
                <c:pt idx="315">
                  <c:v>7.8142354355677046</c:v>
                </c:pt>
                <c:pt idx="316">
                  <c:v>8.0371970589568544</c:v>
                </c:pt>
                <c:pt idx="317">
                  <c:v>37.994946840061402</c:v>
                </c:pt>
                <c:pt idx="318">
                  <c:v>24.986700931640254</c:v>
                </c:pt>
                <c:pt idx="319">
                  <c:v>25.027299187145402</c:v>
                </c:pt>
                <c:pt idx="320">
                  <c:v>2.4705845640757342</c:v>
                </c:pt>
                <c:pt idx="321">
                  <c:v>-1.3687661470260801</c:v>
                </c:pt>
                <c:pt idx="322">
                  <c:v>7.8920312397625016</c:v>
                </c:pt>
                <c:pt idx="323">
                  <c:v>46.311677884364336</c:v>
                </c:pt>
                <c:pt idx="324">
                  <c:v>18.228221952613591</c:v>
                </c:pt>
                <c:pt idx="325">
                  <c:v>14.645956183529687</c:v>
                </c:pt>
                <c:pt idx="326">
                  <c:v>-12.346609378706587</c:v>
                </c:pt>
                <c:pt idx="327">
                  <c:v>5.7524024076109361</c:v>
                </c:pt>
                <c:pt idx="328">
                  <c:v>8.7065683142202488</c:v>
                </c:pt>
                <c:pt idx="329">
                  <c:v>-6.5369053067841927</c:v>
                </c:pt>
                <c:pt idx="330">
                  <c:v>4.1467174374885261</c:v>
                </c:pt>
                <c:pt idx="331">
                  <c:v>1.8254416441596724</c:v>
                </c:pt>
                <c:pt idx="332">
                  <c:v>24.785545132688998</c:v>
                </c:pt>
                <c:pt idx="333">
                  <c:v>4.9835541111052057</c:v>
                </c:pt>
                <c:pt idx="334">
                  <c:v>25.194312494938309</c:v>
                </c:pt>
                <c:pt idx="335">
                  <c:v>2.0579516476727155</c:v>
                </c:pt>
                <c:pt idx="336">
                  <c:v>36.948533812699459</c:v>
                </c:pt>
                <c:pt idx="337">
                  <c:v>4.8409837260078259</c:v>
                </c:pt>
                <c:pt idx="338">
                  <c:v>5.5975790740045692</c:v>
                </c:pt>
                <c:pt idx="339">
                  <c:v>-3.685472331510586</c:v>
                </c:pt>
                <c:pt idx="340">
                  <c:v>6.5248633794005668</c:v>
                </c:pt>
                <c:pt idx="341">
                  <c:v>-3.0524751611853169</c:v>
                </c:pt>
                <c:pt idx="342">
                  <c:v>47.326972971309047</c:v>
                </c:pt>
                <c:pt idx="343">
                  <c:v>-6.2676248848736016E-2</c:v>
                </c:pt>
                <c:pt idx="344">
                  <c:v>6.5690071958018077</c:v>
                </c:pt>
                <c:pt idx="345">
                  <c:v>24.651825837027925</c:v>
                </c:pt>
                <c:pt idx="346">
                  <c:v>-0.3655799633398189</c:v>
                </c:pt>
                <c:pt idx="347">
                  <c:v>-9.6487011111720733</c:v>
                </c:pt>
                <c:pt idx="348">
                  <c:v>-12.427649287034884</c:v>
                </c:pt>
                <c:pt idx="349">
                  <c:v>23.145748316418018</c:v>
                </c:pt>
                <c:pt idx="350">
                  <c:v>-6.263143575594718</c:v>
                </c:pt>
                <c:pt idx="351">
                  <c:v>36.924325009203407</c:v>
                </c:pt>
                <c:pt idx="352">
                  <c:v>10.57860927237828</c:v>
                </c:pt>
                <c:pt idx="353">
                  <c:v>-7.2930450018082738E-3</c:v>
                </c:pt>
                <c:pt idx="354">
                  <c:v>-2.0094780512264876E-2</c:v>
                </c:pt>
                <c:pt idx="355">
                  <c:v>-2.4838516777335435</c:v>
                </c:pt>
                <c:pt idx="356">
                  <c:v>11.24315210171844</c:v>
                </c:pt>
                <c:pt idx="357">
                  <c:v>-6.9375273692968351</c:v>
                </c:pt>
                <c:pt idx="358">
                  <c:v>-3.1793223589443054</c:v>
                </c:pt>
                <c:pt idx="359">
                  <c:v>-3.4486687954231643</c:v>
                </c:pt>
                <c:pt idx="360">
                  <c:v>10.6902476695355</c:v>
                </c:pt>
                <c:pt idx="361">
                  <c:v>16.99624249251994</c:v>
                </c:pt>
                <c:pt idx="362">
                  <c:v>0.475405174838615</c:v>
                </c:pt>
                <c:pt idx="363">
                  <c:v>8.0454784033853031</c:v>
                </c:pt>
                <c:pt idx="364">
                  <c:v>9.4865684356976097</c:v>
                </c:pt>
                <c:pt idx="365">
                  <c:v>-2.5049704045732275</c:v>
                </c:pt>
                <c:pt idx="366">
                  <c:v>8.4422473580549475</c:v>
                </c:pt>
                <c:pt idx="367">
                  <c:v>3.085436182102105</c:v>
                </c:pt>
                <c:pt idx="368">
                  <c:v>24.960792991417669</c:v>
                </c:pt>
                <c:pt idx="369">
                  <c:v>10.454122531190487</c:v>
                </c:pt>
                <c:pt idx="370">
                  <c:v>2.0158751572747251</c:v>
                </c:pt>
                <c:pt idx="371">
                  <c:v>0.84085377507468184</c:v>
                </c:pt>
                <c:pt idx="372">
                  <c:v>-9.1840784922150362</c:v>
                </c:pt>
                <c:pt idx="373">
                  <c:v>6.1695425791100913</c:v>
                </c:pt>
                <c:pt idx="374">
                  <c:v>10.806705432370865</c:v>
                </c:pt>
                <c:pt idx="375">
                  <c:v>5.6171893069219632</c:v>
                </c:pt>
                <c:pt idx="376">
                  <c:v>14.464181308454073</c:v>
                </c:pt>
                <c:pt idx="377">
                  <c:v>-10.6391251937715</c:v>
                </c:pt>
                <c:pt idx="378">
                  <c:v>18.059287732605064</c:v>
                </c:pt>
                <c:pt idx="379">
                  <c:v>11.642744522728224</c:v>
                </c:pt>
                <c:pt idx="380">
                  <c:v>-5.3827736757580693</c:v>
                </c:pt>
                <c:pt idx="381">
                  <c:v>47.368722635169647</c:v>
                </c:pt>
                <c:pt idx="382">
                  <c:v>28.7421694902708</c:v>
                </c:pt>
                <c:pt idx="383">
                  <c:v>0.9701393201889541</c:v>
                </c:pt>
                <c:pt idx="384">
                  <c:v>10.671193940255904</c:v>
                </c:pt>
                <c:pt idx="385">
                  <c:v>5.8991719722368918</c:v>
                </c:pt>
                <c:pt idx="386">
                  <c:v>18.965922383411566</c:v>
                </c:pt>
                <c:pt idx="387">
                  <c:v>10.28765597998439</c:v>
                </c:pt>
                <c:pt idx="388">
                  <c:v>6.0371094652003912</c:v>
                </c:pt>
                <c:pt idx="389">
                  <c:v>8.1381141793691558</c:v>
                </c:pt>
                <c:pt idx="390">
                  <c:v>37.623304451164763</c:v>
                </c:pt>
                <c:pt idx="391">
                  <c:v>3.5038892511514588</c:v>
                </c:pt>
                <c:pt idx="392">
                  <c:v>-0.52060786543635107</c:v>
                </c:pt>
                <c:pt idx="393">
                  <c:v>15.708457292789038</c:v>
                </c:pt>
                <c:pt idx="394">
                  <c:v>-13.064953285544155</c:v>
                </c:pt>
                <c:pt idx="395">
                  <c:v>-2.5988053590715579</c:v>
                </c:pt>
                <c:pt idx="396">
                  <c:v>0.22364740846335529</c:v>
                </c:pt>
                <c:pt idx="397">
                  <c:v>14.174752119575249</c:v>
                </c:pt>
                <c:pt idx="398">
                  <c:v>18.606766312729796</c:v>
                </c:pt>
                <c:pt idx="399">
                  <c:v>0.70703155808141993</c:v>
                </c:pt>
                <c:pt idx="400">
                  <c:v>0.77973077152091319</c:v>
                </c:pt>
                <c:pt idx="401">
                  <c:v>17.732226434194136</c:v>
                </c:pt>
                <c:pt idx="402">
                  <c:v>0.68410609958049662</c:v>
                </c:pt>
              </c:numCache>
            </c:numRef>
          </c:xVal>
          <c:yVal>
            <c:numRef>
              <c:f>'Linear regression'!$D$127:$D$529</c:f>
              <c:numCache>
                <c:formatCode>0.000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6-4867-879C-4700301FE4B5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17.676291315549697</c:v>
              </c:pt>
            </c:numLit>
          </c:xVal>
          <c:yVal>
            <c:numLit>
              <c:formatCode>General</c:formatCode>
              <c:ptCount val="1"/>
              <c:pt idx="0">
                <c:v>8.5512575000000002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B86-4867-879C-4700301FE4B5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XLSTAT_20250614_141341_1_HID!xdata1</c:f>
              <c:numCache>
                <c:formatCode>General</c:formatCode>
                <c:ptCount val="70"/>
                <c:pt idx="0">
                  <c:v>-18.617360634015199</c:v>
                </c:pt>
                <c:pt idx="1">
                  <c:v>-17.523739941316379</c:v>
                </c:pt>
                <c:pt idx="2">
                  <c:v>-16.430119248617558</c:v>
                </c:pt>
                <c:pt idx="3">
                  <c:v>-15.336498555918739</c:v>
                </c:pt>
                <c:pt idx="4">
                  <c:v>-14.24287786321992</c:v>
                </c:pt>
                <c:pt idx="5">
                  <c:v>-13.1492571705211</c:v>
                </c:pt>
                <c:pt idx="6">
                  <c:v>-12.055636477822279</c:v>
                </c:pt>
                <c:pt idx="7">
                  <c:v>-10.962015785123459</c:v>
                </c:pt>
                <c:pt idx="8">
                  <c:v>-9.86839509242464</c:v>
                </c:pt>
                <c:pt idx="9">
                  <c:v>-8.7747743997258194</c:v>
                </c:pt>
                <c:pt idx="10">
                  <c:v>-7.6811537070270006</c:v>
                </c:pt>
                <c:pt idx="11">
                  <c:v>-6.5875330143281801</c:v>
                </c:pt>
                <c:pt idx="12">
                  <c:v>-5.4939123216293595</c:v>
                </c:pt>
                <c:pt idx="13">
                  <c:v>-4.4002916289305407</c:v>
                </c:pt>
                <c:pt idx="14">
                  <c:v>-3.3066709362317201</c:v>
                </c:pt>
                <c:pt idx="15">
                  <c:v>-2.2130502435329014</c:v>
                </c:pt>
                <c:pt idx="16">
                  <c:v>-1.1194295508340808</c:v>
                </c:pt>
                <c:pt idx="17">
                  <c:v>-2.5808858135260238E-2</c:v>
                </c:pt>
                <c:pt idx="18">
                  <c:v>1.0678118345635603</c:v>
                </c:pt>
                <c:pt idx="19">
                  <c:v>2.1614325272623773</c:v>
                </c:pt>
                <c:pt idx="20">
                  <c:v>3.2550532199611979</c:v>
                </c:pt>
                <c:pt idx="21">
                  <c:v>4.3486739126600185</c:v>
                </c:pt>
                <c:pt idx="22">
                  <c:v>5.442294605358839</c:v>
                </c:pt>
                <c:pt idx="23">
                  <c:v>6.5359152980576596</c:v>
                </c:pt>
                <c:pt idx="24">
                  <c:v>7.6295359907564801</c:v>
                </c:pt>
                <c:pt idx="25">
                  <c:v>8.7231566834552972</c:v>
                </c:pt>
                <c:pt idx="26">
                  <c:v>9.8167773761541177</c:v>
                </c:pt>
                <c:pt idx="27">
                  <c:v>10.910398068852938</c:v>
                </c:pt>
                <c:pt idx="28">
                  <c:v>12.004018761551759</c:v>
                </c:pt>
                <c:pt idx="29">
                  <c:v>13.097639454250579</c:v>
                </c:pt>
                <c:pt idx="30">
                  <c:v>14.191260146949396</c:v>
                </c:pt>
                <c:pt idx="31">
                  <c:v>15.284880839648217</c:v>
                </c:pt>
                <c:pt idx="32">
                  <c:v>16.378501532347038</c:v>
                </c:pt>
                <c:pt idx="33">
                  <c:v>17.472122225045858</c:v>
                </c:pt>
                <c:pt idx="34">
                  <c:v>18.565742917744679</c:v>
                </c:pt>
                <c:pt idx="35">
                  <c:v>19.659363610443499</c:v>
                </c:pt>
                <c:pt idx="36">
                  <c:v>20.75298430314232</c:v>
                </c:pt>
                <c:pt idx="37">
                  <c:v>21.84660499584114</c:v>
                </c:pt>
                <c:pt idx="38">
                  <c:v>22.940225688539954</c:v>
                </c:pt>
                <c:pt idx="39">
                  <c:v>24.033846381238774</c:v>
                </c:pt>
                <c:pt idx="40">
                  <c:v>25.127467073937595</c:v>
                </c:pt>
                <c:pt idx="41">
                  <c:v>26.221087766636415</c:v>
                </c:pt>
                <c:pt idx="42">
                  <c:v>27.314708459335236</c:v>
                </c:pt>
                <c:pt idx="43">
                  <c:v>28.408329152034057</c:v>
                </c:pt>
                <c:pt idx="44">
                  <c:v>29.501949844732877</c:v>
                </c:pt>
                <c:pt idx="45">
                  <c:v>30.595570537431698</c:v>
                </c:pt>
                <c:pt idx="46">
                  <c:v>31.689191230130518</c:v>
                </c:pt>
                <c:pt idx="47">
                  <c:v>32.782811922829339</c:v>
                </c:pt>
                <c:pt idx="48">
                  <c:v>33.876432615528159</c:v>
                </c:pt>
                <c:pt idx="49">
                  <c:v>34.970053308226973</c:v>
                </c:pt>
                <c:pt idx="50">
                  <c:v>36.063674000925793</c:v>
                </c:pt>
                <c:pt idx="51">
                  <c:v>37.157294693624614</c:v>
                </c:pt>
                <c:pt idx="52">
                  <c:v>38.250915386323435</c:v>
                </c:pt>
                <c:pt idx="53">
                  <c:v>39.344536079022255</c:v>
                </c:pt>
                <c:pt idx="54">
                  <c:v>40.438156771721076</c:v>
                </c:pt>
                <c:pt idx="55">
                  <c:v>41.531777464419896</c:v>
                </c:pt>
                <c:pt idx="56">
                  <c:v>42.625398157118717</c:v>
                </c:pt>
                <c:pt idx="57">
                  <c:v>43.719018849817537</c:v>
                </c:pt>
                <c:pt idx="58">
                  <c:v>44.812639542516358</c:v>
                </c:pt>
                <c:pt idx="59">
                  <c:v>45.906260235215171</c:v>
                </c:pt>
                <c:pt idx="60">
                  <c:v>46.999880927913992</c:v>
                </c:pt>
                <c:pt idx="61">
                  <c:v>48.093501620612813</c:v>
                </c:pt>
                <c:pt idx="62">
                  <c:v>49.187122313311633</c:v>
                </c:pt>
                <c:pt idx="63">
                  <c:v>50.280743006010454</c:v>
                </c:pt>
                <c:pt idx="64">
                  <c:v>51.374363698709274</c:v>
                </c:pt>
                <c:pt idx="65">
                  <c:v>52.467984391408095</c:v>
                </c:pt>
                <c:pt idx="66">
                  <c:v>53.561605084106915</c:v>
                </c:pt>
                <c:pt idx="67">
                  <c:v>54.655225776805736</c:v>
                </c:pt>
                <c:pt idx="68">
                  <c:v>55.748846469504556</c:v>
                </c:pt>
                <c:pt idx="69">
                  <c:v>56.842467162203377</c:v>
                </c:pt>
              </c:numCache>
            </c:numRef>
          </c:xVal>
          <c:yVal>
            <c:numRef>
              <c:f>XLSTAT_20250614_141341_1_HID!ydata1</c:f>
              <c:numCache>
                <c:formatCode>General</c:formatCode>
                <c:ptCount val="70"/>
                <c:pt idx="0">
                  <c:v>-39.973078047951006</c:v>
                </c:pt>
                <c:pt idx="1">
                  <c:v>-38.870768859022249</c:v>
                </c:pt>
                <c:pt idx="2">
                  <c:v>-37.768821432229757</c:v>
                </c:pt>
                <c:pt idx="3">
                  <c:v>-36.667236191229364</c:v>
                </c:pt>
                <c:pt idx="4">
                  <c:v>-35.566013541868443</c:v>
                </c:pt>
                <c:pt idx="5">
                  <c:v>-34.465153872083661</c:v>
                </c:pt>
                <c:pt idx="6">
                  <c:v>-33.364657551802971</c:v>
                </c:pt>
                <c:pt idx="7">
                  <c:v>-32.264524932851955</c:v>
                </c:pt>
                <c:pt idx="8">
                  <c:v>-31.16475634886455</c:v>
                </c:pt>
                <c:pt idx="9">
                  <c:v>-30.065352115198195</c:v>
                </c:pt>
                <c:pt idx="10">
                  <c:v>-28.966312528853503</c:v>
                </c:pt>
                <c:pt idx="11">
                  <c:v>-27.867637868398425</c:v>
                </c:pt>
                <c:pt idx="12">
                  <c:v>-26.769328393897016</c:v>
                </c:pt>
                <c:pt idx="13">
                  <c:v>-25.671384346842828</c:v>
                </c:pt>
                <c:pt idx="14">
                  <c:v>-24.573805950096961</c:v>
                </c:pt>
                <c:pt idx="15">
                  <c:v>-23.476593407830816</c:v>
                </c:pt>
                <c:pt idx="16">
                  <c:v>-22.379746905473535</c:v>
                </c:pt>
                <c:pt idx="17">
                  <c:v>-21.283266609664299</c:v>
                </c:pt>
                <c:pt idx="18">
                  <c:v>-20.18715266820934</c:v>
                </c:pt>
                <c:pt idx="19">
                  <c:v>-19.091405210043803</c:v>
                </c:pt>
                <c:pt idx="20">
                  <c:v>-17.996024345198428</c:v>
                </c:pt>
                <c:pt idx="21">
                  <c:v>-16.901010164771144</c:v>
                </c:pt>
                <c:pt idx="22">
                  <c:v>-15.806362740903484</c:v>
                </c:pt>
                <c:pt idx="23">
                  <c:v>-14.712082126761921</c:v>
                </c:pt>
                <c:pt idx="24">
                  <c:v>-13.618168356524119</c:v>
                </c:pt>
                <c:pt idx="25">
                  <c:v>-12.524621445370069</c:v>
                </c:pt>
                <c:pt idx="26">
                  <c:v>-11.431441389478167</c:v>
                </c:pt>
                <c:pt idx="27">
                  <c:v>-10.338628166026201</c:v>
                </c:pt>
                <c:pt idx="28">
                  <c:v>-9.2461817331972647</c:v>
                </c:pt>
                <c:pt idx="29">
                  <c:v>-8.1541020301905576</c:v>
                </c:pt>
                <c:pt idx="30">
                  <c:v>-7.062388977237184</c:v>
                </c:pt>
                <c:pt idx="31">
                  <c:v>-5.9710424756207132</c:v>
                </c:pt>
                <c:pt idx="32">
                  <c:v>-4.880062407702745</c:v>
                </c:pt>
                <c:pt idx="33">
                  <c:v>-3.7894486369533134</c:v>
                </c:pt>
                <c:pt idx="34">
                  <c:v>-2.6992010079861117</c:v>
                </c:pt>
                <c:pt idx="35">
                  <c:v>-1.6093193465985998</c:v>
                </c:pt>
                <c:pt idx="36">
                  <c:v>-0.51980345981688814</c:v>
                </c:pt>
                <c:pt idx="37">
                  <c:v>0.56934686405460511</c:v>
                </c:pt>
                <c:pt idx="38">
                  <c:v>1.6581318553786772</c:v>
                </c:pt>
                <c:pt idx="39">
                  <c:v>2.7465517631262664</c:v>
                </c:pt>
                <c:pt idx="40">
                  <c:v>3.8346068548125558</c:v>
                </c:pt>
                <c:pt idx="41">
                  <c:v>4.9222974164285134</c:v>
                </c:pt>
                <c:pt idx="42">
                  <c:v>6.0096237523678333</c:v>
                </c:pt>
                <c:pt idx="43">
                  <c:v>7.0965861853492562</c:v>
                </c:pt>
                <c:pt idx="44">
                  <c:v>8.183185056334441</c:v>
                </c:pt>
                <c:pt idx="45">
                  <c:v>9.2694207244412929</c:v>
                </c:pt>
                <c:pt idx="46">
                  <c:v>10.35529356685295</c:v>
                </c:pt>
                <c:pt idx="47">
                  <c:v>11.440803978722371</c:v>
                </c:pt>
                <c:pt idx="48">
                  <c:v>12.525952373072602</c:v>
                </c:pt>
                <c:pt idx="49">
                  <c:v>13.610739180692793</c:v>
                </c:pt>
                <c:pt idx="50">
                  <c:v>14.69516485003011</c:v>
                </c:pt>
                <c:pt idx="51">
                  <c:v>15.779229847077357</c:v>
                </c:pt>
                <c:pt idx="52">
                  <c:v>16.862934655256698</c:v>
                </c:pt>
                <c:pt idx="53">
                  <c:v>17.946279775299281</c:v>
                </c:pt>
                <c:pt idx="54">
                  <c:v>19.029265725120979</c:v>
                </c:pt>
                <c:pt idx="55">
                  <c:v>20.111893039694287</c:v>
                </c:pt>
                <c:pt idx="56">
                  <c:v>21.194162270916365</c:v>
                </c:pt>
                <c:pt idx="57">
                  <c:v>22.276073987473477</c:v>
                </c:pt>
                <c:pt idx="58">
                  <c:v>23.357628774701688</c:v>
                </c:pt>
                <c:pt idx="59">
                  <c:v>24.438827234444101</c:v>
                </c:pt>
                <c:pt idx="60">
                  <c:v>25.519669984904571</c:v>
                </c:pt>
                <c:pt idx="61">
                  <c:v>26.600157660497995</c:v>
                </c:pt>
                <c:pt idx="62">
                  <c:v>27.680290911697355</c:v>
                </c:pt>
                <c:pt idx="63">
                  <c:v>28.760070404877478</c:v>
                </c:pt>
                <c:pt idx="64">
                  <c:v>29.839496822155699</c:v>
                </c:pt>
                <c:pt idx="65">
                  <c:v>30.918570861229391</c:v>
                </c:pt>
                <c:pt idx="66">
                  <c:v>31.997293235210623</c:v>
                </c:pt>
                <c:pt idx="67">
                  <c:v>33.075664672457833</c:v>
                </c:pt>
                <c:pt idx="68">
                  <c:v>34.153685916404797</c:v>
                </c:pt>
                <c:pt idx="69">
                  <c:v>35.231357725386793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86-4867-879C-4700301FE4B5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XLSTAT_20250614_141341_1_HID!xdata2</c:f>
              <c:numCache>
                <c:formatCode>General</c:formatCode>
                <c:ptCount val="70"/>
                <c:pt idx="0">
                  <c:v>-19.295321225317402</c:v>
                </c:pt>
                <c:pt idx="1">
                  <c:v>-18.191875016802602</c:v>
                </c:pt>
                <c:pt idx="2">
                  <c:v>-17.088428808287802</c:v>
                </c:pt>
                <c:pt idx="3">
                  <c:v>-15.984982599773002</c:v>
                </c:pt>
                <c:pt idx="4">
                  <c:v>-14.881536391258201</c:v>
                </c:pt>
                <c:pt idx="5">
                  <c:v>-13.778090182743401</c:v>
                </c:pt>
                <c:pt idx="6">
                  <c:v>-12.674643974228601</c:v>
                </c:pt>
                <c:pt idx="7">
                  <c:v>-11.571197765713801</c:v>
                </c:pt>
                <c:pt idx="8">
                  <c:v>-10.467751557199001</c:v>
                </c:pt>
                <c:pt idx="9">
                  <c:v>-9.3643053486842014</c:v>
                </c:pt>
                <c:pt idx="10">
                  <c:v>-8.2608591401694014</c:v>
                </c:pt>
                <c:pt idx="11">
                  <c:v>-7.1574129316546014</c:v>
                </c:pt>
                <c:pt idx="12">
                  <c:v>-6.0539667231398013</c:v>
                </c:pt>
                <c:pt idx="13">
                  <c:v>-4.9505205146250013</c:v>
                </c:pt>
                <c:pt idx="14">
                  <c:v>-3.8470743061102013</c:v>
                </c:pt>
                <c:pt idx="15">
                  <c:v>-2.7436280975954013</c:v>
                </c:pt>
                <c:pt idx="16">
                  <c:v>-1.6401818890806013</c:v>
                </c:pt>
                <c:pt idx="17">
                  <c:v>-0.53673568056580123</c:v>
                </c:pt>
                <c:pt idx="18">
                  <c:v>0.56671052794899879</c:v>
                </c:pt>
                <c:pt idx="19">
                  <c:v>1.6701567364637988</c:v>
                </c:pt>
                <c:pt idx="20">
                  <c:v>2.7736029449785988</c:v>
                </c:pt>
                <c:pt idx="21">
                  <c:v>3.8770491534933988</c:v>
                </c:pt>
                <c:pt idx="22">
                  <c:v>4.9804953620081989</c:v>
                </c:pt>
                <c:pt idx="23">
                  <c:v>6.0839415705229989</c:v>
                </c:pt>
                <c:pt idx="24">
                  <c:v>7.1873877790377989</c:v>
                </c:pt>
                <c:pt idx="25">
                  <c:v>8.2908339875525989</c:v>
                </c:pt>
                <c:pt idx="26">
                  <c:v>9.3942801960673989</c:v>
                </c:pt>
                <c:pt idx="27">
                  <c:v>10.497726404582199</c:v>
                </c:pt>
                <c:pt idx="28">
                  <c:v>11.601172613096999</c:v>
                </c:pt>
                <c:pt idx="29">
                  <c:v>12.704618821611799</c:v>
                </c:pt>
                <c:pt idx="30">
                  <c:v>13.808065030126599</c:v>
                </c:pt>
                <c:pt idx="31">
                  <c:v>14.911511238641403</c:v>
                </c:pt>
                <c:pt idx="32">
                  <c:v>16.014957447156199</c:v>
                </c:pt>
                <c:pt idx="33">
                  <c:v>17.118403655670996</c:v>
                </c:pt>
                <c:pt idx="34">
                  <c:v>18.221849864185799</c:v>
                </c:pt>
                <c:pt idx="35">
                  <c:v>19.325296072700603</c:v>
                </c:pt>
                <c:pt idx="36">
                  <c:v>20.428742281215399</c:v>
                </c:pt>
                <c:pt idx="37">
                  <c:v>21.532188489730196</c:v>
                </c:pt>
                <c:pt idx="38">
                  <c:v>22.635634698244999</c:v>
                </c:pt>
                <c:pt idx="39">
                  <c:v>23.739080906759803</c:v>
                </c:pt>
                <c:pt idx="40">
                  <c:v>24.842527115274599</c:v>
                </c:pt>
                <c:pt idx="41">
                  <c:v>25.945973323789396</c:v>
                </c:pt>
                <c:pt idx="42">
                  <c:v>27.049419532304199</c:v>
                </c:pt>
                <c:pt idx="43">
                  <c:v>28.152865740819003</c:v>
                </c:pt>
                <c:pt idx="44">
                  <c:v>29.256311949333799</c:v>
                </c:pt>
                <c:pt idx="45">
                  <c:v>30.359758157848596</c:v>
                </c:pt>
                <c:pt idx="46">
                  <c:v>31.463204366363399</c:v>
                </c:pt>
                <c:pt idx="47">
                  <c:v>32.566650574878203</c:v>
                </c:pt>
                <c:pt idx="48">
                  <c:v>33.670096783392999</c:v>
                </c:pt>
                <c:pt idx="49">
                  <c:v>34.773542991907796</c:v>
                </c:pt>
                <c:pt idx="50">
                  <c:v>35.876989200422599</c:v>
                </c:pt>
                <c:pt idx="51">
                  <c:v>36.980435408937403</c:v>
                </c:pt>
                <c:pt idx="52">
                  <c:v>38.083881617452199</c:v>
                </c:pt>
                <c:pt idx="53">
                  <c:v>39.187327825966996</c:v>
                </c:pt>
                <c:pt idx="54">
                  <c:v>40.2907740344818</c:v>
                </c:pt>
                <c:pt idx="55">
                  <c:v>41.394220242996603</c:v>
                </c:pt>
                <c:pt idx="56">
                  <c:v>42.4976664515114</c:v>
                </c:pt>
                <c:pt idx="57">
                  <c:v>43.601112660026196</c:v>
                </c:pt>
                <c:pt idx="58">
                  <c:v>44.704558868541</c:v>
                </c:pt>
                <c:pt idx="59">
                  <c:v>45.808005077055803</c:v>
                </c:pt>
                <c:pt idx="60">
                  <c:v>46.9114512855706</c:v>
                </c:pt>
                <c:pt idx="61">
                  <c:v>48.014897494085396</c:v>
                </c:pt>
                <c:pt idx="62">
                  <c:v>49.118343702600207</c:v>
                </c:pt>
                <c:pt idx="63">
                  <c:v>50.221789911115003</c:v>
                </c:pt>
                <c:pt idx="64">
                  <c:v>51.3252361196298</c:v>
                </c:pt>
                <c:pt idx="65">
                  <c:v>52.428682328144596</c:v>
                </c:pt>
                <c:pt idx="66">
                  <c:v>53.532128536659393</c:v>
                </c:pt>
                <c:pt idx="67">
                  <c:v>54.635574745174203</c:v>
                </c:pt>
                <c:pt idx="68">
                  <c:v>55.739020953689</c:v>
                </c:pt>
                <c:pt idx="69">
                  <c:v>56.842467162203796</c:v>
                </c:pt>
              </c:numCache>
            </c:numRef>
          </c:xVal>
          <c:yVal>
            <c:numRef>
              <c:f>XLSTAT_20250614_141341_1_HID!ydata2</c:f>
              <c:numCache>
                <c:formatCode>General</c:formatCode>
                <c:ptCount val="70"/>
                <c:pt idx="0">
                  <c:v>2.065963839968969</c:v>
                </c:pt>
                <c:pt idx="1">
                  <c:v>3.1604190721501944</c:v>
                </c:pt>
                <c:pt idx="2">
                  <c:v>4.2552423236920234</c:v>
                </c:pt>
                <c:pt idx="3">
                  <c:v>5.3504340408123845</c:v>
                </c:pt>
                <c:pt idx="4">
                  <c:v>6.4459946513380046</c:v>
                </c:pt>
                <c:pt idx="5">
                  <c:v>7.5419245645948507</c:v>
                </c:pt>
                <c:pt idx="6">
                  <c:v>8.6382241713029764</c:v>
                </c:pt>
                <c:pt idx="7">
                  <c:v>9.7348938434759802</c:v>
                </c:pt>
                <c:pt idx="8">
                  <c:v>10.831933934325004</c:v>
                </c:pt>
                <c:pt idx="9">
                  <c:v>11.929344778167408</c:v>
                </c:pt>
                <c:pt idx="10">
                  <c:v>13.027126690340147</c:v>
                </c:pt>
                <c:pt idx="11">
                  <c:v>14.125279967117905</c:v>
                </c:pt>
                <c:pt idx="12">
                  <c:v>15.223804885636017</c:v>
                </c:pt>
                <c:pt idx="13">
                  <c:v>16.322701703818293</c:v>
                </c:pt>
                <c:pt idx="14">
                  <c:v>17.421970660309682</c:v>
                </c:pt>
                <c:pt idx="15">
                  <c:v>18.521611974413918</c:v>
                </c:pt>
                <c:pt idx="16">
                  <c:v>19.621625846036121</c:v>
                </c:pt>
                <c:pt idx="17">
                  <c:v>20.722012455630416</c:v>
                </c:pt>
                <c:pt idx="18">
                  <c:v>21.822771964152594</c:v>
                </c:pt>
                <c:pt idx="19">
                  <c:v>22.923904513017824</c:v>
                </c:pt>
                <c:pt idx="20">
                  <c:v>24.025410224063531</c:v>
                </c:pt>
                <c:pt idx="21">
                  <c:v>25.1272891995173</c:v>
                </c:pt>
                <c:pt idx="22">
                  <c:v>26.229541521969988</c:v>
                </c:pt>
                <c:pt idx="23">
                  <c:v>27.332167254353976</c:v>
                </c:pt>
                <c:pt idx="24">
                  <c:v>28.435166439926569</c:v>
                </c:pt>
                <c:pt idx="25">
                  <c:v>29.538539102258625</c:v>
                </c:pt>
                <c:pt idx="26">
                  <c:v>30.642285245228305</c:v>
                </c:pt>
                <c:pt idx="27">
                  <c:v>31.746404853020081</c:v>
                </c:pt>
                <c:pt idx="28">
                  <c:v>32.850897890128891</c:v>
                </c:pt>
                <c:pt idx="29">
                  <c:v>33.955764301369499</c:v>
                </c:pt>
                <c:pt idx="30">
                  <c:v>35.061004011891043</c:v>
                </c:pt>
                <c:pt idx="31">
                  <c:v>36.166616927196742</c:v>
                </c:pt>
                <c:pt idx="32">
                  <c:v>37.27260293316877</c:v>
                </c:pt>
                <c:pt idx="33">
                  <c:v>38.378961896098332</c:v>
                </c:pt>
                <c:pt idx="34">
                  <c:v>39.485693662720742</c:v>
                </c:pt>
                <c:pt idx="35">
                  <c:v>40.592798060255731</c:v>
                </c:pt>
                <c:pt idx="36">
                  <c:v>41.700274896452804</c:v>
                </c:pt>
                <c:pt idx="37">
                  <c:v>42.808123959641591</c:v>
                </c:pt>
                <c:pt idx="38">
                  <c:v>43.916345018787361</c:v>
                </c:pt>
                <c:pt idx="39">
                  <c:v>45.024937823551298</c:v>
                </c:pt>
                <c:pt idx="40">
                  <c:v>46.133902104356004</c:v>
                </c:pt>
                <c:pt idx="41">
                  <c:v>47.243237572455712</c:v>
                </c:pt>
                <c:pt idx="42">
                  <c:v>48.352943920011462</c:v>
                </c:pt>
                <c:pt idx="43">
                  <c:v>49.463020820171053</c:v>
                </c:pt>
                <c:pt idx="44">
                  <c:v>50.573467927153843</c:v>
                </c:pt>
                <c:pt idx="45">
                  <c:v>51.684284876340186</c:v>
                </c:pt>
                <c:pt idx="46">
                  <c:v>52.795471284365647</c:v>
                </c:pt>
                <c:pt idx="47">
                  <c:v>53.907026749219725</c:v>
                </c:pt>
                <c:pt idx="48">
                  <c:v>55.018950850349171</c:v>
                </c:pt>
                <c:pt idx="49">
                  <c:v>56.131243148765932</c:v>
                </c:pt>
                <c:pt idx="50">
                  <c:v>57.243903187159269</c:v>
                </c:pt>
                <c:pt idx="51">
                  <c:v>58.356930490012473</c:v>
                </c:pt>
                <c:pt idx="52">
                  <c:v>59.470324563723764</c:v>
                </c:pt>
                <c:pt idx="53">
                  <c:v>60.584084896731454</c:v>
                </c:pt>
                <c:pt idx="54">
                  <c:v>61.698210959643298</c:v>
                </c:pt>
                <c:pt idx="55">
                  <c:v>62.812702205369789</c:v>
                </c:pt>
                <c:pt idx="56">
                  <c:v>63.927558069261615</c:v>
                </c:pt>
                <c:pt idx="57">
                  <c:v>65.04277796925102</c:v>
                </c:pt>
                <c:pt idx="58">
                  <c:v>66.158361305996877</c:v>
                </c:pt>
                <c:pt idx="59">
                  <c:v>67.274307463033665</c:v>
                </c:pt>
                <c:pt idx="60">
                  <c:v>68.390615806924046</c:v>
                </c:pt>
                <c:pt idx="61">
                  <c:v>69.507285687415063</c:v>
                </c:pt>
                <c:pt idx="62">
                  <c:v>70.624316437597855</c:v>
                </c:pt>
                <c:pt idx="63">
                  <c:v>71.741707374070742</c:v>
                </c:pt>
                <c:pt idx="64">
                  <c:v>72.859457797105648</c:v>
                </c:pt>
                <c:pt idx="65">
                  <c:v>73.977566990817792</c:v>
                </c:pt>
                <c:pt idx="66">
                  <c:v>75.096034223338506</c:v>
                </c:pt>
                <c:pt idx="67">
                  <c:v>76.214858746991098</c:v>
                </c:pt>
                <c:pt idx="68">
                  <c:v>77.334039798469561</c:v>
                </c:pt>
                <c:pt idx="69">
                  <c:v>78.45357659902038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86-4867-879C-4700301FE4B5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-40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-40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2B86-4867-879C-4700301F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088224"/>
        <c:axId val="744088704"/>
      </c:scatterChart>
      <c:valAx>
        <c:axId val="744088224"/>
        <c:scaling>
          <c:orientation val="minMax"/>
          <c:max val="100"/>
          <c:min val="-4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744088704"/>
        <c:crosses val="autoZero"/>
        <c:crossBetween val="midCat"/>
      </c:valAx>
      <c:valAx>
        <c:axId val="744088704"/>
        <c:scaling>
          <c:orientation val="minMax"/>
          <c:max val="100"/>
          <c:min val="-4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74408822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Standardized residuals / sigma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regression'!$B$127:$B$529</c:f>
              <c:strCache>
                <c:ptCount val="403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  <c:pt idx="311">
                  <c:v>Obs312</c:v>
                </c:pt>
                <c:pt idx="312">
                  <c:v>Obs313</c:v>
                </c:pt>
                <c:pt idx="313">
                  <c:v>Obs314</c:v>
                </c:pt>
                <c:pt idx="314">
                  <c:v>Obs315</c:v>
                </c:pt>
                <c:pt idx="315">
                  <c:v>Obs316</c:v>
                </c:pt>
                <c:pt idx="316">
                  <c:v>Obs317</c:v>
                </c:pt>
                <c:pt idx="317">
                  <c:v>Obs318</c:v>
                </c:pt>
                <c:pt idx="318">
                  <c:v>Obs319</c:v>
                </c:pt>
                <c:pt idx="319">
                  <c:v>Obs320</c:v>
                </c:pt>
                <c:pt idx="320">
                  <c:v>Obs321</c:v>
                </c:pt>
                <c:pt idx="321">
                  <c:v>Obs322</c:v>
                </c:pt>
                <c:pt idx="322">
                  <c:v>Obs323</c:v>
                </c:pt>
                <c:pt idx="323">
                  <c:v>Obs324</c:v>
                </c:pt>
                <c:pt idx="324">
                  <c:v>Obs325</c:v>
                </c:pt>
                <c:pt idx="325">
                  <c:v>Obs326</c:v>
                </c:pt>
                <c:pt idx="326">
                  <c:v>Obs327</c:v>
                </c:pt>
                <c:pt idx="327">
                  <c:v>Obs328</c:v>
                </c:pt>
                <c:pt idx="328">
                  <c:v>Obs329</c:v>
                </c:pt>
                <c:pt idx="329">
                  <c:v>Obs330</c:v>
                </c:pt>
                <c:pt idx="330">
                  <c:v>Obs331</c:v>
                </c:pt>
                <c:pt idx="331">
                  <c:v>Obs332</c:v>
                </c:pt>
                <c:pt idx="332">
                  <c:v>Obs333</c:v>
                </c:pt>
                <c:pt idx="333">
                  <c:v>Obs334</c:v>
                </c:pt>
                <c:pt idx="334">
                  <c:v>Obs335</c:v>
                </c:pt>
                <c:pt idx="335">
                  <c:v>Obs336</c:v>
                </c:pt>
                <c:pt idx="336">
                  <c:v>Obs337</c:v>
                </c:pt>
                <c:pt idx="337">
                  <c:v>Obs338</c:v>
                </c:pt>
                <c:pt idx="338">
                  <c:v>Obs339</c:v>
                </c:pt>
                <c:pt idx="339">
                  <c:v>Obs340</c:v>
                </c:pt>
                <c:pt idx="340">
                  <c:v>Obs341</c:v>
                </c:pt>
                <c:pt idx="341">
                  <c:v>Obs342</c:v>
                </c:pt>
                <c:pt idx="342">
                  <c:v>Obs343</c:v>
                </c:pt>
                <c:pt idx="343">
                  <c:v>Obs344</c:v>
                </c:pt>
                <c:pt idx="344">
                  <c:v>Obs345</c:v>
                </c:pt>
                <c:pt idx="345">
                  <c:v>Obs346</c:v>
                </c:pt>
                <c:pt idx="346">
                  <c:v>Obs347</c:v>
                </c:pt>
                <c:pt idx="347">
                  <c:v>Obs348</c:v>
                </c:pt>
                <c:pt idx="348">
                  <c:v>Obs349</c:v>
                </c:pt>
                <c:pt idx="349">
                  <c:v>Obs350</c:v>
                </c:pt>
                <c:pt idx="350">
                  <c:v>Obs351</c:v>
                </c:pt>
                <c:pt idx="351">
                  <c:v>Obs352</c:v>
                </c:pt>
                <c:pt idx="352">
                  <c:v>Obs353</c:v>
                </c:pt>
                <c:pt idx="353">
                  <c:v>Obs354</c:v>
                </c:pt>
                <c:pt idx="354">
                  <c:v>Obs355</c:v>
                </c:pt>
                <c:pt idx="355">
                  <c:v>Obs356</c:v>
                </c:pt>
                <c:pt idx="356">
                  <c:v>Obs357</c:v>
                </c:pt>
                <c:pt idx="357">
                  <c:v>Obs358</c:v>
                </c:pt>
                <c:pt idx="358">
                  <c:v>Obs359</c:v>
                </c:pt>
                <c:pt idx="359">
                  <c:v>Obs360</c:v>
                </c:pt>
                <c:pt idx="360">
                  <c:v>Obs361</c:v>
                </c:pt>
                <c:pt idx="361">
                  <c:v>Obs362</c:v>
                </c:pt>
                <c:pt idx="362">
                  <c:v>Obs363</c:v>
                </c:pt>
                <c:pt idx="363">
                  <c:v>Obs364</c:v>
                </c:pt>
                <c:pt idx="364">
                  <c:v>Obs365</c:v>
                </c:pt>
                <c:pt idx="365">
                  <c:v>Obs366</c:v>
                </c:pt>
                <c:pt idx="366">
                  <c:v>Obs367</c:v>
                </c:pt>
                <c:pt idx="367">
                  <c:v>Obs368</c:v>
                </c:pt>
                <c:pt idx="368">
                  <c:v>Obs369</c:v>
                </c:pt>
                <c:pt idx="369">
                  <c:v>Obs370</c:v>
                </c:pt>
                <c:pt idx="370">
                  <c:v>Obs371</c:v>
                </c:pt>
                <c:pt idx="371">
                  <c:v>Obs372</c:v>
                </c:pt>
                <c:pt idx="372">
                  <c:v>Obs373</c:v>
                </c:pt>
                <c:pt idx="373">
                  <c:v>Obs374</c:v>
                </c:pt>
                <c:pt idx="374">
                  <c:v>Obs375</c:v>
                </c:pt>
                <c:pt idx="375">
                  <c:v>Obs376</c:v>
                </c:pt>
                <c:pt idx="376">
                  <c:v>Obs377</c:v>
                </c:pt>
                <c:pt idx="377">
                  <c:v>Obs378</c:v>
                </c:pt>
                <c:pt idx="378">
                  <c:v>Obs379</c:v>
                </c:pt>
                <c:pt idx="379">
                  <c:v>Obs380</c:v>
                </c:pt>
                <c:pt idx="380">
                  <c:v>Obs381</c:v>
                </c:pt>
                <c:pt idx="381">
                  <c:v>Obs382</c:v>
                </c:pt>
                <c:pt idx="382">
                  <c:v>Obs383</c:v>
                </c:pt>
                <c:pt idx="383">
                  <c:v>Obs384</c:v>
                </c:pt>
                <c:pt idx="384">
                  <c:v>Obs385</c:v>
                </c:pt>
                <c:pt idx="385">
                  <c:v>Obs386</c:v>
                </c:pt>
                <c:pt idx="386">
                  <c:v>Obs387</c:v>
                </c:pt>
                <c:pt idx="387">
                  <c:v>Obs388</c:v>
                </c:pt>
                <c:pt idx="388">
                  <c:v>Obs389</c:v>
                </c:pt>
                <c:pt idx="389">
                  <c:v>Obs390</c:v>
                </c:pt>
                <c:pt idx="390">
                  <c:v>Obs391</c:v>
                </c:pt>
                <c:pt idx="391">
                  <c:v>Obs392</c:v>
                </c:pt>
                <c:pt idx="392">
                  <c:v>Obs393</c:v>
                </c:pt>
                <c:pt idx="393">
                  <c:v>Obs394</c:v>
                </c:pt>
                <c:pt idx="394">
                  <c:v>Obs395</c:v>
                </c:pt>
                <c:pt idx="395">
                  <c:v>Obs396</c:v>
                </c:pt>
                <c:pt idx="396">
                  <c:v>Obs397</c:v>
                </c:pt>
                <c:pt idx="397">
                  <c:v>Obs398</c:v>
                </c:pt>
                <c:pt idx="398">
                  <c:v>Obs399</c:v>
                </c:pt>
                <c:pt idx="399">
                  <c:v>Obs400</c:v>
                </c:pt>
                <c:pt idx="400">
                  <c:v>Obs401</c:v>
                </c:pt>
                <c:pt idx="401">
                  <c:v>Obs402</c:v>
                </c:pt>
                <c:pt idx="402">
                  <c:v>Obs403</c:v>
                </c:pt>
              </c:strCache>
            </c:strRef>
          </c:cat>
          <c:val>
            <c:numRef>
              <c:f>'Linear regression'!$G$127:$G$529</c:f>
              <c:numCache>
                <c:formatCode>0.000</c:formatCode>
                <c:ptCount val="403"/>
                <c:pt idx="0">
                  <c:v>-0.20721512731153943</c:v>
                </c:pt>
                <c:pt idx="1">
                  <c:v>-0.84536019640088245</c:v>
                </c:pt>
                <c:pt idx="2">
                  <c:v>-0.29084586831463766</c:v>
                </c:pt>
                <c:pt idx="3">
                  <c:v>-1.2900200462757161</c:v>
                </c:pt>
                <c:pt idx="4">
                  <c:v>-0.32509416119685364</c:v>
                </c:pt>
                <c:pt idx="5">
                  <c:v>-0.12334038951254539</c:v>
                </c:pt>
                <c:pt idx="6">
                  <c:v>-1.791433182450938</c:v>
                </c:pt>
                <c:pt idx="7">
                  <c:v>0.2481479285657151</c:v>
                </c:pt>
                <c:pt idx="8">
                  <c:v>1.8604663656644471</c:v>
                </c:pt>
                <c:pt idx="9">
                  <c:v>-0.30717235267686099</c:v>
                </c:pt>
                <c:pt idx="10">
                  <c:v>-0.51514200181669201</c:v>
                </c:pt>
                <c:pt idx="11">
                  <c:v>-0.52684579745271154</c:v>
                </c:pt>
                <c:pt idx="12">
                  <c:v>5.5473409299836379E-2</c:v>
                </c:pt>
                <c:pt idx="13">
                  <c:v>-0.28206955121280103</c:v>
                </c:pt>
                <c:pt idx="14">
                  <c:v>1.2865555805687405</c:v>
                </c:pt>
                <c:pt idx="15">
                  <c:v>2.8475395067059383E-2</c:v>
                </c:pt>
                <c:pt idx="16">
                  <c:v>-0.24687419720469986</c:v>
                </c:pt>
                <c:pt idx="17">
                  <c:v>3.6752661634479065</c:v>
                </c:pt>
                <c:pt idx="18">
                  <c:v>1.8594650956210224</c:v>
                </c:pt>
                <c:pt idx="19">
                  <c:v>0.11790267608950039</c:v>
                </c:pt>
                <c:pt idx="20">
                  <c:v>7.4062537920504282E-2</c:v>
                </c:pt>
                <c:pt idx="21">
                  <c:v>0.18894043112242259</c:v>
                </c:pt>
                <c:pt idx="22">
                  <c:v>0.68202812422502401</c:v>
                </c:pt>
                <c:pt idx="23">
                  <c:v>1.5823967814918762</c:v>
                </c:pt>
                <c:pt idx="24">
                  <c:v>0.82483275619345553</c:v>
                </c:pt>
                <c:pt idx="25">
                  <c:v>-0.31009702186763705</c:v>
                </c:pt>
                <c:pt idx="26">
                  <c:v>0.84886601000229622</c:v>
                </c:pt>
                <c:pt idx="27">
                  <c:v>-1.475811000042953</c:v>
                </c:pt>
                <c:pt idx="28">
                  <c:v>1.9969979660863086</c:v>
                </c:pt>
                <c:pt idx="29">
                  <c:v>2.1029430023839821</c:v>
                </c:pt>
                <c:pt idx="30">
                  <c:v>1.6734439957890588</c:v>
                </c:pt>
                <c:pt idx="31">
                  <c:v>-0.19442005586407662</c:v>
                </c:pt>
                <c:pt idx="32">
                  <c:v>-0.92296037515345175</c:v>
                </c:pt>
                <c:pt idx="33">
                  <c:v>-1.5165563565910292</c:v>
                </c:pt>
                <c:pt idx="34">
                  <c:v>-0.71640452722630865</c:v>
                </c:pt>
                <c:pt idx="35">
                  <c:v>-0.60826893493272272</c:v>
                </c:pt>
                <c:pt idx="36">
                  <c:v>-0.40855994220346253</c:v>
                </c:pt>
                <c:pt idx="37">
                  <c:v>-0.20358053063592157</c:v>
                </c:pt>
                <c:pt idx="38">
                  <c:v>-0.30458289258530447</c:v>
                </c:pt>
                <c:pt idx="39">
                  <c:v>-0.34101652568059515</c:v>
                </c:pt>
                <c:pt idx="40">
                  <c:v>-0.73900896320602805</c:v>
                </c:pt>
                <c:pt idx="41">
                  <c:v>-0.4842419853707059</c:v>
                </c:pt>
                <c:pt idx="42">
                  <c:v>-0.37402516649618844</c:v>
                </c:pt>
                <c:pt idx="43">
                  <c:v>-2.937043602253802E-5</c:v>
                </c:pt>
                <c:pt idx="44">
                  <c:v>-0.76732044349162332</c:v>
                </c:pt>
                <c:pt idx="45">
                  <c:v>3.6807737270190399</c:v>
                </c:pt>
                <c:pt idx="46">
                  <c:v>1.3307256208345017</c:v>
                </c:pt>
                <c:pt idx="47">
                  <c:v>-0.39127547301367466</c:v>
                </c:pt>
                <c:pt idx="48">
                  <c:v>-0.40158307787327213</c:v>
                </c:pt>
                <c:pt idx="49">
                  <c:v>0.66496015860089375</c:v>
                </c:pt>
                <c:pt idx="50">
                  <c:v>0.95585086256256679</c:v>
                </c:pt>
                <c:pt idx="51">
                  <c:v>1.7056034100558053E-2</c:v>
                </c:pt>
                <c:pt idx="52">
                  <c:v>0.11279023283090414</c:v>
                </c:pt>
                <c:pt idx="53">
                  <c:v>-0.35287482254172814</c:v>
                </c:pt>
                <c:pt idx="54">
                  <c:v>-0.38448059642640925</c:v>
                </c:pt>
                <c:pt idx="55">
                  <c:v>-1.1174746811686218</c:v>
                </c:pt>
                <c:pt idx="56">
                  <c:v>-0.42837162735941686</c:v>
                </c:pt>
                <c:pt idx="57">
                  <c:v>-0.30302185293958317</c:v>
                </c:pt>
                <c:pt idx="58">
                  <c:v>1.9793054116961772</c:v>
                </c:pt>
                <c:pt idx="59">
                  <c:v>-0.38199281339718588</c:v>
                </c:pt>
                <c:pt idx="60">
                  <c:v>6.6604591096856597E-2</c:v>
                </c:pt>
                <c:pt idx="61">
                  <c:v>0.57863206086705554</c:v>
                </c:pt>
                <c:pt idx="62">
                  <c:v>-3.0737629477576408E-2</c:v>
                </c:pt>
                <c:pt idx="63">
                  <c:v>0.43465624760958849</c:v>
                </c:pt>
                <c:pt idx="64">
                  <c:v>-0.29728152171290406</c:v>
                </c:pt>
                <c:pt idx="65">
                  <c:v>-0.74211515213757862</c:v>
                </c:pt>
                <c:pt idx="66">
                  <c:v>3.5999842663308246</c:v>
                </c:pt>
                <c:pt idx="67">
                  <c:v>-5.1956376662868224E-2</c:v>
                </c:pt>
                <c:pt idx="68">
                  <c:v>0.855398400831203</c:v>
                </c:pt>
                <c:pt idx="69">
                  <c:v>-1.0180564665643492</c:v>
                </c:pt>
                <c:pt idx="70">
                  <c:v>-0.47206744973344139</c:v>
                </c:pt>
                <c:pt idx="71">
                  <c:v>-0.43894118852802039</c:v>
                </c:pt>
                <c:pt idx="72">
                  <c:v>-1.2731135174383297</c:v>
                </c:pt>
                <c:pt idx="73">
                  <c:v>-1.0294753836964223</c:v>
                </c:pt>
                <c:pt idx="74">
                  <c:v>1.3732423203117967</c:v>
                </c:pt>
                <c:pt idx="75">
                  <c:v>-0.92752643434952109</c:v>
                </c:pt>
                <c:pt idx="76">
                  <c:v>0.80261241089279589</c:v>
                </c:pt>
                <c:pt idx="77">
                  <c:v>-0.3436746344077013</c:v>
                </c:pt>
                <c:pt idx="78">
                  <c:v>0.84381951854747017</c:v>
                </c:pt>
                <c:pt idx="79">
                  <c:v>-0.7654122418465612</c:v>
                </c:pt>
                <c:pt idx="80">
                  <c:v>0.19282232523364093</c:v>
                </c:pt>
                <c:pt idx="81">
                  <c:v>-0.15187043871785152</c:v>
                </c:pt>
                <c:pt idx="82">
                  <c:v>-0.33287670800733421</c:v>
                </c:pt>
                <c:pt idx="83">
                  <c:v>0.12493406380951445</c:v>
                </c:pt>
                <c:pt idx="84">
                  <c:v>-0.55168126276939444</c:v>
                </c:pt>
                <c:pt idx="85">
                  <c:v>-1.0543863110428606</c:v>
                </c:pt>
                <c:pt idx="86">
                  <c:v>-1.508634074637627</c:v>
                </c:pt>
                <c:pt idx="87">
                  <c:v>0.35939633654156761</c:v>
                </c:pt>
                <c:pt idx="88">
                  <c:v>-0.20125198450927692</c:v>
                </c:pt>
                <c:pt idx="89">
                  <c:v>-0.48680646800732719</c:v>
                </c:pt>
                <c:pt idx="90">
                  <c:v>0.82246763349699736</c:v>
                </c:pt>
                <c:pt idx="91">
                  <c:v>3.6193231009884688</c:v>
                </c:pt>
                <c:pt idx="92">
                  <c:v>0.39236340043436668</c:v>
                </c:pt>
                <c:pt idx="93">
                  <c:v>-0.46988553075608563</c:v>
                </c:pt>
                <c:pt idx="94">
                  <c:v>-0.28680011528146676</c:v>
                </c:pt>
                <c:pt idx="95">
                  <c:v>-0.40281219551420527</c:v>
                </c:pt>
                <c:pt idx="96">
                  <c:v>1.4157884133935154E-2</c:v>
                </c:pt>
                <c:pt idx="97">
                  <c:v>1.2010168027597261</c:v>
                </c:pt>
                <c:pt idx="98">
                  <c:v>1.930275699281471E-2</c:v>
                </c:pt>
                <c:pt idx="99">
                  <c:v>-0.84850208876518118</c:v>
                </c:pt>
                <c:pt idx="100">
                  <c:v>-2.1168037047599578E-2</c:v>
                </c:pt>
                <c:pt idx="101">
                  <c:v>-0.24209351314082653</c:v>
                </c:pt>
                <c:pt idx="102">
                  <c:v>-0.27650689844603915</c:v>
                </c:pt>
                <c:pt idx="103">
                  <c:v>0.26089943245746539</c:v>
                </c:pt>
                <c:pt idx="104">
                  <c:v>-0.53330660317275946</c:v>
                </c:pt>
                <c:pt idx="105">
                  <c:v>-0.52853676210818235</c:v>
                </c:pt>
                <c:pt idx="106">
                  <c:v>-1.6949493617950901</c:v>
                </c:pt>
                <c:pt idx="107">
                  <c:v>-0.25246685233373001</c:v>
                </c:pt>
                <c:pt idx="108">
                  <c:v>1.8631985603617451</c:v>
                </c:pt>
                <c:pt idx="109">
                  <c:v>-0.31622484472120371</c:v>
                </c:pt>
                <c:pt idx="110">
                  <c:v>-1.8095594692289165</c:v>
                </c:pt>
                <c:pt idx="111">
                  <c:v>1.036248103018538</c:v>
                </c:pt>
                <c:pt idx="112">
                  <c:v>-0.74902856171416765</c:v>
                </c:pt>
                <c:pt idx="113">
                  <c:v>2.0952074685209241</c:v>
                </c:pt>
                <c:pt idx="114">
                  <c:v>-0.11393237769962368</c:v>
                </c:pt>
                <c:pt idx="115">
                  <c:v>1.9885139945359602</c:v>
                </c:pt>
                <c:pt idx="116">
                  <c:v>3.5120199028525742E-2</c:v>
                </c:pt>
                <c:pt idx="117">
                  <c:v>-0.18582097917344004</c:v>
                </c:pt>
                <c:pt idx="118">
                  <c:v>-0.24076294752038502</c:v>
                </c:pt>
                <c:pt idx="119">
                  <c:v>1.0231590438219543E-2</c:v>
                </c:pt>
                <c:pt idx="120">
                  <c:v>-0.90078936070128768</c:v>
                </c:pt>
                <c:pt idx="121">
                  <c:v>0.11143150524882302</c:v>
                </c:pt>
                <c:pt idx="122">
                  <c:v>-0.39154626082178506</c:v>
                </c:pt>
                <c:pt idx="123">
                  <c:v>0.96392340014578426</c:v>
                </c:pt>
                <c:pt idx="124">
                  <c:v>-0.33804355918720574</c:v>
                </c:pt>
                <c:pt idx="125">
                  <c:v>1.5837836464501793</c:v>
                </c:pt>
                <c:pt idx="126">
                  <c:v>1.4322390071962552</c:v>
                </c:pt>
                <c:pt idx="127">
                  <c:v>-9.4341449111851189E-3</c:v>
                </c:pt>
                <c:pt idx="128">
                  <c:v>-0.60551558712992837</c:v>
                </c:pt>
                <c:pt idx="129">
                  <c:v>1.9677412463414679</c:v>
                </c:pt>
                <c:pt idx="130">
                  <c:v>0.51587708882807493</c:v>
                </c:pt>
                <c:pt idx="131">
                  <c:v>-0.25158265758410375</c:v>
                </c:pt>
                <c:pt idx="132">
                  <c:v>1.1692176628816573</c:v>
                </c:pt>
                <c:pt idx="133">
                  <c:v>0.54324813153288909</c:v>
                </c:pt>
                <c:pt idx="134">
                  <c:v>1.5790917179620954</c:v>
                </c:pt>
                <c:pt idx="135">
                  <c:v>0.25523020697584342</c:v>
                </c:pt>
                <c:pt idx="136">
                  <c:v>-1.0813413880814113</c:v>
                </c:pt>
                <c:pt idx="137">
                  <c:v>-0.4255344232201882</c:v>
                </c:pt>
                <c:pt idx="138">
                  <c:v>-0.14327154870201736</c:v>
                </c:pt>
                <c:pt idx="139">
                  <c:v>-0.59477289039879366</c:v>
                </c:pt>
                <c:pt idx="140">
                  <c:v>-1.4122984107102776</c:v>
                </c:pt>
                <c:pt idx="141">
                  <c:v>-0.35810440428204682</c:v>
                </c:pt>
                <c:pt idx="142">
                  <c:v>0.23988530920616416</c:v>
                </c:pt>
                <c:pt idx="143">
                  <c:v>-0.42088608124482685</c:v>
                </c:pt>
                <c:pt idx="144">
                  <c:v>-1.8409763714147918</c:v>
                </c:pt>
                <c:pt idx="145">
                  <c:v>-0.33453182781752788</c:v>
                </c:pt>
                <c:pt idx="146">
                  <c:v>0.19636950010006984</c:v>
                </c:pt>
                <c:pt idx="147">
                  <c:v>0.36869400936789504</c:v>
                </c:pt>
                <c:pt idx="148">
                  <c:v>-0.234955750487985</c:v>
                </c:pt>
                <c:pt idx="149">
                  <c:v>-0.34612720519879003</c:v>
                </c:pt>
                <c:pt idx="150">
                  <c:v>-1.55480737019785</c:v>
                </c:pt>
                <c:pt idx="151">
                  <c:v>0.94252268637529735</c:v>
                </c:pt>
                <c:pt idx="152">
                  <c:v>0.27294930859691729</c:v>
                </c:pt>
                <c:pt idx="153">
                  <c:v>-0.1167615594416941</c:v>
                </c:pt>
                <c:pt idx="154">
                  <c:v>0.20845441150371916</c:v>
                </c:pt>
                <c:pt idx="155">
                  <c:v>-0.40813338695241824</c:v>
                </c:pt>
                <c:pt idx="156">
                  <c:v>0.21131448458215393</c:v>
                </c:pt>
                <c:pt idx="157">
                  <c:v>0.75614047056417</c:v>
                </c:pt>
                <c:pt idx="158">
                  <c:v>-0.11064369878258982</c:v>
                </c:pt>
                <c:pt idx="159">
                  <c:v>3.6730381931559819</c:v>
                </c:pt>
                <c:pt idx="160">
                  <c:v>0.96549266759806207</c:v>
                </c:pt>
                <c:pt idx="161">
                  <c:v>-1.1449794623499918</c:v>
                </c:pt>
                <c:pt idx="162">
                  <c:v>-4.9234649770427852E-2</c:v>
                </c:pt>
                <c:pt idx="163">
                  <c:v>0.39590978434048513</c:v>
                </c:pt>
                <c:pt idx="164">
                  <c:v>1.6352419749905284E-2</c:v>
                </c:pt>
                <c:pt idx="165">
                  <c:v>-1.3825789914051123</c:v>
                </c:pt>
                <c:pt idx="166">
                  <c:v>-0.46804110664885845</c:v>
                </c:pt>
                <c:pt idx="167">
                  <c:v>-0.76935135524284159</c:v>
                </c:pt>
                <c:pt idx="168">
                  <c:v>0.68497970166713296</c:v>
                </c:pt>
                <c:pt idx="169">
                  <c:v>-0.48298991414404896</c:v>
                </c:pt>
                <c:pt idx="170">
                  <c:v>-0.55427501145087343</c:v>
                </c:pt>
                <c:pt idx="171">
                  <c:v>-0.34832576937700599</c:v>
                </c:pt>
                <c:pt idx="172">
                  <c:v>0.4893899443364832</c:v>
                </c:pt>
                <c:pt idx="173">
                  <c:v>-0.4425521788990941</c:v>
                </c:pt>
                <c:pt idx="174">
                  <c:v>1.1788669241560716</c:v>
                </c:pt>
                <c:pt idx="175">
                  <c:v>-0.64387591397018196</c:v>
                </c:pt>
                <c:pt idx="176">
                  <c:v>-0.47238831494855393</c:v>
                </c:pt>
                <c:pt idx="177">
                  <c:v>-1.0712321985840487</c:v>
                </c:pt>
                <c:pt idx="178">
                  <c:v>1.0177218080027797</c:v>
                </c:pt>
                <c:pt idx="179">
                  <c:v>0.97667319758968363</c:v>
                </c:pt>
                <c:pt idx="180">
                  <c:v>1.1795513605861447</c:v>
                </c:pt>
                <c:pt idx="181">
                  <c:v>-0.61366512643178417</c:v>
                </c:pt>
                <c:pt idx="182">
                  <c:v>-7.5872045157169818E-2</c:v>
                </c:pt>
                <c:pt idx="183">
                  <c:v>-0.80051175623526749</c:v>
                </c:pt>
                <c:pt idx="184">
                  <c:v>-0.50742587684038432</c:v>
                </c:pt>
                <c:pt idx="185">
                  <c:v>-0.53833910720672007</c:v>
                </c:pt>
                <c:pt idx="186">
                  <c:v>-0.21704334628744745</c:v>
                </c:pt>
                <c:pt idx="187">
                  <c:v>-0.34735641826304631</c:v>
                </c:pt>
                <c:pt idx="188">
                  <c:v>-1.4122038239855959</c:v>
                </c:pt>
                <c:pt idx="189">
                  <c:v>-0.56119537257777463</c:v>
                </c:pt>
                <c:pt idx="190">
                  <c:v>-1.7368545826670154</c:v>
                </c:pt>
                <c:pt idx="191">
                  <c:v>0.4205554732047127</c:v>
                </c:pt>
                <c:pt idx="192">
                  <c:v>-1.1519496765828474</c:v>
                </c:pt>
                <c:pt idx="193">
                  <c:v>0.67380665905674653</c:v>
                </c:pt>
                <c:pt idx="194">
                  <c:v>0.26088309830823325</c:v>
                </c:pt>
                <c:pt idx="195">
                  <c:v>2.0913397015893951</c:v>
                </c:pt>
                <c:pt idx="196">
                  <c:v>-0.13169940175716507</c:v>
                </c:pt>
                <c:pt idx="197">
                  <c:v>0.55938521316830347</c:v>
                </c:pt>
                <c:pt idx="198">
                  <c:v>4.6552703428576377E-2</c:v>
                </c:pt>
                <c:pt idx="199">
                  <c:v>-1.2307534245362224</c:v>
                </c:pt>
                <c:pt idx="200">
                  <c:v>-1.7434285627981458</c:v>
                </c:pt>
                <c:pt idx="201">
                  <c:v>-0.32288899334248156</c:v>
                </c:pt>
                <c:pt idx="202">
                  <c:v>-0.61806027352814197</c:v>
                </c:pt>
                <c:pt idx="203">
                  <c:v>-0.90276827645945656</c:v>
                </c:pt>
                <c:pt idx="204">
                  <c:v>-1.2135114347195597</c:v>
                </c:pt>
                <c:pt idx="205">
                  <c:v>-0.49747166837736922</c:v>
                </c:pt>
                <c:pt idx="206">
                  <c:v>-0.32241357754991645</c:v>
                </c:pt>
                <c:pt idx="207">
                  <c:v>0.79430349446416404</c:v>
                </c:pt>
                <c:pt idx="208">
                  <c:v>-0.44318582106055787</c:v>
                </c:pt>
                <c:pt idx="209">
                  <c:v>-0.47315621113344469</c:v>
                </c:pt>
                <c:pt idx="210">
                  <c:v>-0.95522510827250018</c:v>
                </c:pt>
                <c:pt idx="211">
                  <c:v>-0.42695587570830551</c:v>
                </c:pt>
                <c:pt idx="212">
                  <c:v>1.8825321270781887</c:v>
                </c:pt>
                <c:pt idx="213">
                  <c:v>0.59618856564297618</c:v>
                </c:pt>
                <c:pt idx="214">
                  <c:v>-0.7688768071399178</c:v>
                </c:pt>
                <c:pt idx="215">
                  <c:v>-0.95167684707757005</c:v>
                </c:pt>
                <c:pt idx="216">
                  <c:v>0.43535681236457652</c:v>
                </c:pt>
                <c:pt idx="217">
                  <c:v>-0.58882607867415593</c:v>
                </c:pt>
                <c:pt idx="218">
                  <c:v>-0.7756681159128308</c:v>
                </c:pt>
                <c:pt idx="219">
                  <c:v>-0.65505468460941529</c:v>
                </c:pt>
                <c:pt idx="220">
                  <c:v>1.0222059827763017</c:v>
                </c:pt>
                <c:pt idx="221">
                  <c:v>2.1106798936681912</c:v>
                </c:pt>
                <c:pt idx="222">
                  <c:v>0.78191733405067021</c:v>
                </c:pt>
                <c:pt idx="223">
                  <c:v>-0.44739314248635226</c:v>
                </c:pt>
                <c:pt idx="224">
                  <c:v>-1.0085524784133197</c:v>
                </c:pt>
                <c:pt idx="225">
                  <c:v>-0.60203807067494286</c:v>
                </c:pt>
                <c:pt idx="226">
                  <c:v>-0.60709807927961512</c:v>
                </c:pt>
                <c:pt idx="227">
                  <c:v>-0.75760437058594798</c:v>
                </c:pt>
                <c:pt idx="228">
                  <c:v>-0.57518867750950153</c:v>
                </c:pt>
                <c:pt idx="229">
                  <c:v>-0.28052855532622162</c:v>
                </c:pt>
                <c:pt idx="230">
                  <c:v>-0.541018642351484</c:v>
                </c:pt>
                <c:pt idx="231">
                  <c:v>0.16077643962085778</c:v>
                </c:pt>
                <c:pt idx="232">
                  <c:v>-0.11954741166265385</c:v>
                </c:pt>
                <c:pt idx="233">
                  <c:v>1.5746612476288182</c:v>
                </c:pt>
                <c:pt idx="234">
                  <c:v>1.5707934806972894</c:v>
                </c:pt>
                <c:pt idx="235">
                  <c:v>-0.29988579520707875</c:v>
                </c:pt>
                <c:pt idx="236">
                  <c:v>-1.8047794164928301</c:v>
                </c:pt>
                <c:pt idx="237">
                  <c:v>-0.25720902950664487</c:v>
                </c:pt>
                <c:pt idx="238">
                  <c:v>0.26330269982597437</c:v>
                </c:pt>
                <c:pt idx="239">
                  <c:v>-0.42700530972896006</c:v>
                </c:pt>
                <c:pt idx="240">
                  <c:v>-0.38940085917812606</c:v>
                </c:pt>
                <c:pt idx="241">
                  <c:v>-0.43828218810265512</c:v>
                </c:pt>
                <c:pt idx="242">
                  <c:v>-0.64468051974682972</c:v>
                </c:pt>
                <c:pt idx="243">
                  <c:v>-0.1353085397101296</c:v>
                </c:pt>
                <c:pt idx="244">
                  <c:v>-0.40673712326507361</c:v>
                </c:pt>
                <c:pt idx="245">
                  <c:v>-0.34103081977183353</c:v>
                </c:pt>
                <c:pt idx="246">
                  <c:v>0.11131447263357461</c:v>
                </c:pt>
                <c:pt idx="247">
                  <c:v>0.74688884366870034</c:v>
                </c:pt>
                <c:pt idx="248">
                  <c:v>0.32583887158837488</c:v>
                </c:pt>
                <c:pt idx="249">
                  <c:v>-0.52062678121411976</c:v>
                </c:pt>
                <c:pt idx="250">
                  <c:v>-1.0317662572461108</c:v>
                </c:pt>
                <c:pt idx="251">
                  <c:v>-0.73671213782765566</c:v>
                </c:pt>
                <c:pt idx="252">
                  <c:v>-0.52447505466573974</c:v>
                </c:pt>
                <c:pt idx="253">
                  <c:v>-0.16509860059010265</c:v>
                </c:pt>
                <c:pt idx="254">
                  <c:v>-8.999265266407977E-2</c:v>
                </c:pt>
                <c:pt idx="255">
                  <c:v>-0.11392841103615722</c:v>
                </c:pt>
                <c:pt idx="256">
                  <c:v>-0.90066556802541853</c:v>
                </c:pt>
                <c:pt idx="257">
                  <c:v>-0.49823797113371004</c:v>
                </c:pt>
                <c:pt idx="258">
                  <c:v>0.15892469006363732</c:v>
                </c:pt>
                <c:pt idx="259">
                  <c:v>-0.65318228350597118</c:v>
                </c:pt>
                <c:pt idx="260">
                  <c:v>0.75032785333230245</c:v>
                </c:pt>
                <c:pt idx="261">
                  <c:v>-0.16945850459850614</c:v>
                </c:pt>
                <c:pt idx="262">
                  <c:v>1.5813180226568964</c:v>
                </c:pt>
                <c:pt idx="263">
                  <c:v>0.23914075398357512</c:v>
                </c:pt>
                <c:pt idx="264">
                  <c:v>-0.30453499355104124</c:v>
                </c:pt>
                <c:pt idx="265">
                  <c:v>0.42565460161265894</c:v>
                </c:pt>
                <c:pt idx="266">
                  <c:v>-0.18146826136476904</c:v>
                </c:pt>
                <c:pt idx="267">
                  <c:v>6.2361166506174862E-2</c:v>
                </c:pt>
                <c:pt idx="268">
                  <c:v>-0.79254988862289877</c:v>
                </c:pt>
                <c:pt idx="269">
                  <c:v>0.17763955034026396</c:v>
                </c:pt>
                <c:pt idx="270">
                  <c:v>-5.1193787229504815E-2</c:v>
                </c:pt>
                <c:pt idx="271">
                  <c:v>-0.97953061265942398</c:v>
                </c:pt>
                <c:pt idx="272">
                  <c:v>0.16772768502528859</c:v>
                </c:pt>
                <c:pt idx="273">
                  <c:v>0.79817986539218166</c:v>
                </c:pt>
                <c:pt idx="274">
                  <c:v>0.74685725118372803</c:v>
                </c:pt>
                <c:pt idx="275">
                  <c:v>-0.81509465027380856</c:v>
                </c:pt>
                <c:pt idx="276">
                  <c:v>-1.0803797497607184</c:v>
                </c:pt>
                <c:pt idx="277">
                  <c:v>-1.4611855708894417</c:v>
                </c:pt>
                <c:pt idx="278">
                  <c:v>-0.82678953853446036</c:v>
                </c:pt>
                <c:pt idx="279">
                  <c:v>0.79647501744105353</c:v>
                </c:pt>
                <c:pt idx="280">
                  <c:v>0.74362127520865018</c:v>
                </c:pt>
                <c:pt idx="281">
                  <c:v>-0.92163830186060691</c:v>
                </c:pt>
                <c:pt idx="282">
                  <c:v>-0.96231289427591471</c:v>
                </c:pt>
                <c:pt idx="283">
                  <c:v>-0.65901717292419926</c:v>
                </c:pt>
                <c:pt idx="284">
                  <c:v>-0.30075065583982513</c:v>
                </c:pt>
                <c:pt idx="285">
                  <c:v>-0.59042227956485249</c:v>
                </c:pt>
                <c:pt idx="286">
                  <c:v>0.85526956340836102</c:v>
                </c:pt>
                <c:pt idx="287">
                  <c:v>-0.46070655126353111</c:v>
                </c:pt>
                <c:pt idx="288">
                  <c:v>1.027104768456395</c:v>
                </c:pt>
                <c:pt idx="289">
                  <c:v>0.87074244179154225</c:v>
                </c:pt>
                <c:pt idx="290">
                  <c:v>-1.755230532079314</c:v>
                </c:pt>
                <c:pt idx="291">
                  <c:v>-7.4384467071724844E-2</c:v>
                </c:pt>
                <c:pt idx="292">
                  <c:v>-0.58445600167404022</c:v>
                </c:pt>
                <c:pt idx="293">
                  <c:v>-1.0723626446126719</c:v>
                </c:pt>
                <c:pt idx="294">
                  <c:v>0.78572354104125286</c:v>
                </c:pt>
                <c:pt idx="295">
                  <c:v>-0.13839614616943444</c:v>
                </c:pt>
                <c:pt idx="296">
                  <c:v>1.169034917195845</c:v>
                </c:pt>
                <c:pt idx="297">
                  <c:v>0.13902220317712086</c:v>
                </c:pt>
                <c:pt idx="298">
                  <c:v>1.0657760182219296</c:v>
                </c:pt>
                <c:pt idx="299">
                  <c:v>-0.39728658363702601</c:v>
                </c:pt>
                <c:pt idx="300">
                  <c:v>-0.27447305078217427</c:v>
                </c:pt>
                <c:pt idx="301">
                  <c:v>-0.33526808226812338</c:v>
                </c:pt>
                <c:pt idx="302">
                  <c:v>-0.63633960789424959</c:v>
                </c:pt>
                <c:pt idx="303">
                  <c:v>-1.0869342663770689</c:v>
                </c:pt>
                <c:pt idx="304">
                  <c:v>1.3128928456839515</c:v>
                </c:pt>
                <c:pt idx="305">
                  <c:v>0.42802222491503655</c:v>
                </c:pt>
                <c:pt idx="306">
                  <c:v>-1.61749346466877</c:v>
                </c:pt>
                <c:pt idx="307">
                  <c:v>1.6694228496485897</c:v>
                </c:pt>
                <c:pt idx="308">
                  <c:v>-1.0885307842242093</c:v>
                </c:pt>
                <c:pt idx="309">
                  <c:v>0.41847806732625176</c:v>
                </c:pt>
                <c:pt idx="310">
                  <c:v>-0.56380055286157971</c:v>
                </c:pt>
                <c:pt idx="311">
                  <c:v>0.21216308280097393</c:v>
                </c:pt>
                <c:pt idx="312">
                  <c:v>3.6885106183032503</c:v>
                </c:pt>
                <c:pt idx="313">
                  <c:v>-0.33462235496762877</c:v>
                </c:pt>
                <c:pt idx="314">
                  <c:v>1.6031211236866725</c:v>
                </c:pt>
                <c:pt idx="315">
                  <c:v>-0.52041345028543573</c:v>
                </c:pt>
                <c:pt idx="316">
                  <c:v>-0.31066803858556336</c:v>
                </c:pt>
                <c:pt idx="317">
                  <c:v>-1.5161517781626965</c:v>
                </c:pt>
                <c:pt idx="318">
                  <c:v>1.5777616036906612</c:v>
                </c:pt>
                <c:pt idx="319">
                  <c:v>1.5890549139411059</c:v>
                </c:pt>
                <c:pt idx="320">
                  <c:v>-0.31758639504052821</c:v>
                </c:pt>
                <c:pt idx="321">
                  <c:v>-5.1527060494114194E-2</c:v>
                </c:pt>
                <c:pt idx="322">
                  <c:v>-0.28822370819610399</c:v>
                </c:pt>
                <c:pt idx="323">
                  <c:v>3.6115862097042601</c:v>
                </c:pt>
                <c:pt idx="324">
                  <c:v>-1.27138113703537</c:v>
                </c:pt>
                <c:pt idx="325">
                  <c:v>1.5901309579337826</c:v>
                </c:pt>
                <c:pt idx="326">
                  <c:v>0.98305838799664447</c:v>
                </c:pt>
                <c:pt idx="327">
                  <c:v>-0.40369849218127712</c:v>
                </c:pt>
                <c:pt idx="328">
                  <c:v>-0.6427520635445737</c:v>
                </c:pt>
                <c:pt idx="329">
                  <c:v>0.62438799820023372</c:v>
                </c:pt>
                <c:pt idx="330">
                  <c:v>-0.27611944438729646</c:v>
                </c:pt>
                <c:pt idx="331">
                  <c:v>-0.42128159407602583</c:v>
                </c:pt>
                <c:pt idx="332">
                  <c:v>1.062579381751428</c:v>
                </c:pt>
                <c:pt idx="333">
                  <c:v>-0.28812631929580179</c:v>
                </c:pt>
                <c:pt idx="334">
                  <c:v>1.5735824887938388</c:v>
                </c:pt>
                <c:pt idx="335">
                  <c:v>-0.13369357922405839</c:v>
                </c:pt>
                <c:pt idx="336">
                  <c:v>-1.4651237350108193</c:v>
                </c:pt>
                <c:pt idx="337">
                  <c:v>-0.36621901427369591</c:v>
                </c:pt>
                <c:pt idx="338">
                  <c:v>-0.40626445597564548</c:v>
                </c:pt>
                <c:pt idx="339">
                  <c:v>-3.2590971248813515E-2</c:v>
                </c:pt>
                <c:pt idx="340">
                  <c:v>-0.60099370981322875</c:v>
                </c:pt>
                <c:pt idx="341">
                  <c:v>8.9188156729801557E-2</c:v>
                </c:pt>
                <c:pt idx="342">
                  <c:v>3.6597937383006385</c:v>
                </c:pt>
                <c:pt idx="343">
                  <c:v>7.0809318444162841E-2</c:v>
                </c:pt>
                <c:pt idx="344">
                  <c:v>-0.60376442742688996</c:v>
                </c:pt>
                <c:pt idx="345">
                  <c:v>1.6238394672276613</c:v>
                </c:pt>
                <c:pt idx="346">
                  <c:v>0.25455797620037784</c:v>
                </c:pt>
                <c:pt idx="347">
                  <c:v>1.0351591816752717</c:v>
                </c:pt>
                <c:pt idx="348">
                  <c:v>1.3021364884622384</c:v>
                </c:pt>
                <c:pt idx="349">
                  <c:v>-0.9188466163314537</c:v>
                </c:pt>
                <c:pt idx="350">
                  <c:v>0.62362263931923156</c:v>
                </c:pt>
                <c:pt idx="351">
                  <c:v>-1.4653851190910236</c:v>
                </c:pt>
                <c:pt idx="352">
                  <c:v>-0.74423543877468434</c:v>
                </c:pt>
                <c:pt idx="353">
                  <c:v>-0.33920315011430158</c:v>
                </c:pt>
                <c:pt idx="354">
                  <c:v>-0.19926573899030711</c:v>
                </c:pt>
                <c:pt idx="355">
                  <c:v>-2.3865132713177216E-2</c:v>
                </c:pt>
                <c:pt idx="356">
                  <c:v>-0.33380295469227245</c:v>
                </c:pt>
                <c:pt idx="357">
                  <c:v>0.51099017419531423</c:v>
                </c:pt>
                <c:pt idx="358">
                  <c:v>0.28632631887464471</c:v>
                </c:pt>
                <c:pt idx="359">
                  <c:v>0.38617706608906388</c:v>
                </c:pt>
                <c:pt idx="360">
                  <c:v>0.85660154386535414</c:v>
                </c:pt>
                <c:pt idx="361">
                  <c:v>-1.0806895216381625</c:v>
                </c:pt>
                <c:pt idx="362">
                  <c:v>-0.26991553077483788</c:v>
                </c:pt>
                <c:pt idx="363">
                  <c:v>-0.29716924483270252</c:v>
                </c:pt>
                <c:pt idx="364">
                  <c:v>-0.49593383019969334</c:v>
                </c:pt>
                <c:pt idx="365">
                  <c:v>-4.4475275434517292E-2</c:v>
                </c:pt>
                <c:pt idx="366">
                  <c:v>-0.42984677017846928</c:v>
                </c:pt>
                <c:pt idx="367">
                  <c:v>-0.44458761713938943</c:v>
                </c:pt>
                <c:pt idx="368">
                  <c:v>1.5898503774034782</c:v>
                </c:pt>
                <c:pt idx="369">
                  <c:v>0.87847661823344858</c:v>
                </c:pt>
                <c:pt idx="370">
                  <c:v>-0.12916603972721258</c:v>
                </c:pt>
                <c:pt idx="371">
                  <c:v>-0.14044774475886881</c:v>
                </c:pt>
                <c:pt idx="372">
                  <c:v>0.98486802783657168</c:v>
                </c:pt>
                <c:pt idx="373">
                  <c:v>-0.46655350913518967</c:v>
                </c:pt>
                <c:pt idx="374">
                  <c:v>-0.70697311985783673</c:v>
                </c:pt>
                <c:pt idx="375">
                  <c:v>-0.38352705572743717</c:v>
                </c:pt>
                <c:pt idx="376">
                  <c:v>0.39597238867288165</c:v>
                </c:pt>
                <c:pt idx="377">
                  <c:v>0.76668550779056199</c:v>
                </c:pt>
                <c:pt idx="378">
                  <c:v>0.78979798769111442</c:v>
                </c:pt>
                <c:pt idx="379">
                  <c:v>0.41483743302120785</c:v>
                </c:pt>
                <c:pt idx="380">
                  <c:v>0.37407135286196636</c:v>
                </c:pt>
                <c:pt idx="381">
                  <c:v>3.6559259713691095</c:v>
                </c:pt>
                <c:pt idx="382">
                  <c:v>-1.817635437871685</c:v>
                </c:pt>
                <c:pt idx="383">
                  <c:v>-3.7649791331496985E-2</c:v>
                </c:pt>
                <c:pt idx="384">
                  <c:v>-0.78422204639322357</c:v>
                </c:pt>
                <c:pt idx="385">
                  <c:v>-0.4720187080081143</c:v>
                </c:pt>
                <c:pt idx="386">
                  <c:v>-0.84492616552150446</c:v>
                </c:pt>
                <c:pt idx="387">
                  <c:v>-0.58118182213324909</c:v>
                </c:pt>
                <c:pt idx="388">
                  <c:v>-0.3737172464936504</c:v>
                </c:pt>
                <c:pt idx="389">
                  <c:v>-0.61187715366842255</c:v>
                </c:pt>
                <c:pt idx="390">
                  <c:v>-1.4744300257447855</c:v>
                </c:pt>
                <c:pt idx="391">
                  <c:v>-0.55822947933672151</c:v>
                </c:pt>
                <c:pt idx="392">
                  <c:v>0.14631143635766988</c:v>
                </c:pt>
                <c:pt idx="393">
                  <c:v>-0.95179142402018335</c:v>
                </c:pt>
                <c:pt idx="394">
                  <c:v>1.367775771033287</c:v>
                </c:pt>
                <c:pt idx="395">
                  <c:v>1.5259002298867503E-2</c:v>
                </c:pt>
                <c:pt idx="396">
                  <c:v>-0.25142683544013422</c:v>
                </c:pt>
                <c:pt idx="397">
                  <c:v>-0.45751604861124151</c:v>
                </c:pt>
                <c:pt idx="398">
                  <c:v>-0.77052110308159205</c:v>
                </c:pt>
                <c:pt idx="399">
                  <c:v>-0.14719855217456118</c:v>
                </c:pt>
                <c:pt idx="400">
                  <c:v>-0.38691705757944389</c:v>
                </c:pt>
                <c:pt idx="401">
                  <c:v>-0.84646534689685948</c:v>
                </c:pt>
                <c:pt idx="402">
                  <c:v>-9.1645462264629218E-2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A-44A2-BE21-89B17A47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413983920"/>
        <c:axId val="1413980560"/>
      </c:barChart>
      <c:catAx>
        <c:axId val="1413983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413980560"/>
        <c:crosses val="autoZero"/>
        <c:auto val="1"/>
        <c:lblAlgn val="ctr"/>
        <c:lblOffset val="100"/>
        <c:noMultiLvlLbl val="0"/>
      </c:catAx>
      <c:valAx>
        <c:axId val="1413980560"/>
        <c:scaling>
          <c:orientation val="minMax"/>
          <c:max val="4"/>
          <c:min val="-4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1398392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Nonlinear regression of variable sigma"/>
    <item val="Goodness of fit statistics"/>
    <item val="Model parameters"/>
    <item val="Equation of the model:"/>
    <item val="Predictions and residuals"/>
  </itemLst>
</formControlPr>
</file>

<file path=xl/ctrlProps/ctrlProp2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sigma"/>
    <item val="Goodness of fit statistics (sigma)"/>
    <item val="Analysis of variance (sigma)"/>
    <item val="Model parameters (sigma)"/>
    <item val="Equation of the model (sigma)"/>
    <item val="Standardized coefficients (sigma)"/>
    <item val="Predictions and residuals (sigma)"/>
  </itemLst>
</formControlPr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chart" Target="../charts/chart8.xml"/><Relationship Id="rId5" Type="http://schemas.openxmlformats.org/officeDocument/2006/relationships/image" Target="../media/image5.png"/><Relationship Id="rId10" Type="http://schemas.openxmlformats.org/officeDocument/2006/relationships/chart" Target="../charts/chart7.xml"/><Relationship Id="rId4" Type="http://schemas.openxmlformats.org/officeDocument/2006/relationships/image" Target="../media/image4.pn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594279</xdr:colOff>
      <xdr:row>5</xdr:row>
      <xdr:rowOff>86880</xdr:rowOff>
    </xdr:from>
    <xdr:to>
      <xdr:col>17</xdr:col>
      <xdr:colOff>53952</xdr:colOff>
      <xdr:row>32</xdr:row>
      <xdr:rowOff>6404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E95A7E-5EBB-A8F0-24F2-35EEA8D15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193548</xdr:colOff>
      <xdr:row>0</xdr:row>
      <xdr:rowOff>36576</xdr:rowOff>
    </xdr:from>
    <xdr:to>
      <xdr:col>12</xdr:col>
      <xdr:colOff>71628</xdr:colOff>
      <xdr:row>1</xdr:row>
      <xdr:rowOff>146304</xdr:rowOff>
    </xdr:to>
    <xdr:sp macro="[0]!OrderXLSTAT" textlink="">
      <xdr:nvSpPr>
        <xdr:cNvPr id="2" name="BT974377">
          <a:extLst>
            <a:ext uri="{FF2B5EF4-FFF2-40B4-BE49-F238E27FC236}">
              <a16:creationId xmlns:a16="http://schemas.microsoft.com/office/drawing/2014/main" id="{3AA866B5-61FC-C017-D080-D90D535AE23F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3" name="TX735485" hidden="1">
          <a:extLst>
            <a:ext uri="{FF2B5EF4-FFF2-40B4-BE49-F238E27FC236}">
              <a16:creationId xmlns:a16="http://schemas.microsoft.com/office/drawing/2014/main" id="{9ECFA2D2-EC47-B6BA-064E-E7C525799970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RunProcNLI
Form61.txt
CheckBox_Desc,CheckBox,-1,True,600000000000_Outputs,True,Descriptive statistics,False,,,
CheckBox_Resid,CheckBox,-1,True,600000000500_Outputs,True,Predictions and residuals,False,,,
CheckBoxGood,CheckBox,-1,True,600000000200_Outputs,True,Goodness of fit statistics,False,,,
CheckboxParam,CheckBox,-1,True,600000000300_Outputs,True,Model parameters,False,,,
CheckBox_Equ,CheckBox,-1,True,600000000400_Outputs,True,Equation of the model,False,,,
CheckBox_Corr,CheckBox,-1,True,600000000100_Outputs,True,Correlations,False,,,
CheckBoxStart,CheckBox,0,True,200000000000_Options,True,Initial values,False,,,
CheckBoxNames,CheckBox,0,True,200000000400_Options,True,Parameter labels,False,,,
CheckBoxBounds,CheckBox,0,True,200000000300_Options,True,Parameters bounds,False,,,
OptionButton_MVRemove,OptionButton,-1,True,500000000000_Missing data,True,Remove the observations,False,,,
OptionButton_MVEstimate,OptionButton,0,True,500000000100_Missing data,True,Estimate missing data,False,,,
OptionButton_MeanMode,OptionButton,-1,True,500000000200_Missing data,True,Mean or mode,False,,,
OptionButton_NN,OptionButton,0,True,500000010200_Missing data,True,Nearest neighbor,False,,,
OptionButtonBuiltIn,OptionButton,-1,True,100000000000_Functions,True,Built-in functions,False,,,
OptionButtonUDF,OptionButton,0,True,100000000100_Functions,True,User defined functions,False,,,
TextBoxList,TextBox,,False,03,False,,False,,,
CheckBoxTrans,CheckBox,0,False,01,False,Trans,False,,,
CheckBoxDerivatives,CheckBox,0,False,100000000300_Functions,False,Derivatives,False,,,
ListBoxUDF,ListBox,,False,100000001200_Functions,False,Select the functions to fit to the data,False,,,
CheckBox_W,CheckBox,0,True,000000000300_General,True,Observation weights,False,,,
CheckBox_ObsLabels,CheckBox,0,True,000000000100_General,True,Observation labels,False,,,
CheckBoxVarLabels,CheckBox,-1,True,000000000000_General,True,Variable labels,False,,,
TextBoxMaxIter,TextBox,200,True,200000020001_Options,True,Iterations:,False,,,
TextBoxConv,TextBox,0.00001,True,200000040001_Options,True,Convergence:,False,,,
CheckBox_ObsLabelsPred,CheckBox,0,True,400000000500_Prediction,True,Observation labels,False,,,
CheckBox_Predict,CheckBox,0,True,400000000000_Prediction,True,Prediction,False,,,
CheckBoxChartsDataPred,CheckBox,-1,True,600000010001_Outputs,True,Data and predictions,False,,,
CheckBoxResidChart,CheckBox,-1,True,600000040001_Outputs,True,Residuals,False,,,
CheckBoxCharts,CheckBox,-1,True,600000000001_Outputs,True,Display charts,False,,,
FileSelect2,CommandButton,,False,400000000400_Prediction,False,,False,,,
CheckBoxShared,CheckBox,0,True,200000000600_Options,True,Shared parameters,False,,,
CheckBox_G,CheckBox,0,True,000000000601_General,True,Groups,False,,,
FileSelect1,CommandButton,,False,000000000301_General,False,RefEdit_Y,False,,,
TextBoxFunc,TextBox,1/3:\43,False,04,False,,False,,,
ScrollBarSelect,ScrollBar,0,False,02,False,,,,,
ComboBoxModel,ComboBox,0,True,100000000600_Functions,True,,False,,,
ComboBox_TestMethod,ComboBox,0,True,300000000200_Validation,True,Select the method for the extraction of validation data,False,,,
TextBoxTestNumber,TextBox,1,True,300000000400_Validation,True,,False,,,
CheckBox_Validation,CheckBox,0,True,300000000000_Validation,True,Validation,False,,,
CheckBox_VarLabelsPred,CheckBox,0,True,400000000600_Prediction,True,Variable labels,False,,,
CheckBoxConfBands,CheckBox,-1,True,600000020001_Outputs,True,Confidence intervals,False,,,
CheckBoxPredBands,CheckBox,-1,True,600000030001_Outputs,True,Prediction intervals,False,,,
RefEditStart,TextBox0,,True,200000000100_Options,True,Initial values:,False,,,
RefEditNames,TextBox0,,True,200000000500_Options,True,Parameter labels:,False,,,
RefEditBounds,TextBox0,,True,200000000200_Options,True,Parameters bounds:,False,,,
RefEditDerivatives,TextBox0,,False,100000000900_Functions,False,Derivatives:,False,,,
RefEditFunc,TextBox2,,True,100000001000_Functions,True,,False,,,
RefEdit_W,TextBox0,,True,000000000400_General,True,Observation weights:,False,,,
RefEdit_ObsLabels,TextBox0,,True,000000000200_General,True,Observation labels:,False,,,
RefEdit_PredLabels,TextBox0,,True,400000000700_Prediction,True,,False,,,
RefEdit_XPred,TextBox0,,True,400000000300_Prediction,True,,False,,,
RefEdit_X,TextBox0,'Sheet1'!$A:$H,True,000000020401_General,True,X / Explanatory variables:,False,,404,8
RefEdit_Y,TextBox0,'Sheet1'!$I:$I,True,000000000201_General,True,Y / Dependent variables:,False,,404,1
RefEdit_G,TextBox0,,True,000000000501_General,True,Groups:,False,,,
RefEditGroup,TextBox0,,True,300000000600_Validation,True,Group variable:,False,,,
RefEditInhib,TextBox2,,True,100000001100_Functions,True,Inhibitor concentration:,False,,,
OptionButton_R,OptionButton,0,True,0007,True,Range,False,,,
RefEdit_R,TextBox,,True,0107,True,Range:,False,,,
OptionButton_S,OptionButton,-1,True,0207,True,Sheet,False,,,
OptionButton_W,OptionButton,0,True,0307,True,Workbook,False,,,
ChkNode11,OptionButton,0,True,100000020200_Functions,True,,False,,,
ChkNode12,OptionButton,-1,True,100000040200_Functions,True,,False,,,
ChkNode13,OptionButton,0,True,100000060200_Functions,True,,False,,,
ChkNode14,OptionButton,0,True,100000080200_Functions,True,,False,,,
ChkNode15,OptionButton,0,True,100000100200_Functions,True,,False,,,
ChkNode16,OptionButton,0,True,100000120200_Functions,True,,False,,,
ChkNode17,OptionButton,0,True,100000140200_Functions,True,,False,,,
ChkNode18,OptionButton,0,True,100000160200_Functions,True,,False,,,
ChkNode19,OptionButton,0,True,100000180200_Functions,True,,False,,,
ChkNode20,OptionButton,0,True,100000200200_Functions,True,,False,,,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3</xdr:col>
      <xdr:colOff>455930</xdr:colOff>
      <xdr:row>7</xdr:row>
      <xdr:rowOff>470535</xdr:rowOff>
    </xdr:to>
    <xdr:sp macro="" textlink="">
      <xdr:nvSpPr>
        <xdr:cNvPr id="4" name="BK735485">
          <a:extLst>
            <a:ext uri="{FF2B5EF4-FFF2-40B4-BE49-F238E27FC236}">
              <a16:creationId xmlns:a16="http://schemas.microsoft.com/office/drawing/2014/main" id="{63009EFC-111E-5F53-6C79-3541FA9641ED}"/>
            </a:ext>
          </a:extLst>
        </xdr:cNvPr>
        <xdr:cNvSpPr/>
      </xdr:nvSpPr>
      <xdr:spPr>
        <a:xfrm>
          <a:off x="334010" y="128651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46736</xdr:colOff>
      <xdr:row>7</xdr:row>
      <xdr:rowOff>53975</xdr:rowOff>
    </xdr:from>
    <xdr:to>
      <xdr:col>1</xdr:col>
      <xdr:colOff>432816</xdr:colOff>
      <xdr:row>7</xdr:row>
      <xdr:rowOff>440055</xdr:rowOff>
    </xdr:to>
    <xdr:pic macro="[0]!ReRunXLSTAT">
      <xdr:nvPicPr>
        <xdr:cNvPr id="5" name="BT735485">
          <a:extLst>
            <a:ext uri="{FF2B5EF4-FFF2-40B4-BE49-F238E27FC236}">
              <a16:creationId xmlns:a16="http://schemas.microsoft.com/office/drawing/2014/main" id="{710CB26B-6856-52D7-BAB2-439CB2D2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96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501142</xdr:colOff>
      <xdr:row>7</xdr:row>
      <xdr:rowOff>53975</xdr:rowOff>
    </xdr:from>
    <xdr:to>
      <xdr:col>2</xdr:col>
      <xdr:colOff>277622</xdr:colOff>
      <xdr:row>7</xdr:row>
      <xdr:rowOff>440055</xdr:rowOff>
    </xdr:to>
    <xdr:pic macro="[0]!AddRemovGrid">
      <xdr:nvPicPr>
        <xdr:cNvPr id="6" name="RM735485">
          <a:extLst>
            <a:ext uri="{FF2B5EF4-FFF2-40B4-BE49-F238E27FC236}">
              <a16:creationId xmlns:a16="http://schemas.microsoft.com/office/drawing/2014/main" id="{5AB5C482-2986-30CF-DBEA-312F7844D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8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501142</xdr:colOff>
      <xdr:row>7</xdr:row>
      <xdr:rowOff>53975</xdr:rowOff>
    </xdr:from>
    <xdr:to>
      <xdr:col>2</xdr:col>
      <xdr:colOff>277622</xdr:colOff>
      <xdr:row>7</xdr:row>
      <xdr:rowOff>440055</xdr:rowOff>
    </xdr:to>
    <xdr:pic macro="[0]!AddRemovGrid">
      <xdr:nvPicPr>
        <xdr:cNvPr id="7" name="AD735485" hidden="1">
          <a:extLst>
            <a:ext uri="{FF2B5EF4-FFF2-40B4-BE49-F238E27FC236}">
              <a16:creationId xmlns:a16="http://schemas.microsoft.com/office/drawing/2014/main" id="{B1B5AFB3-D999-8136-D4F8-B691ABD13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8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345948</xdr:colOff>
      <xdr:row>7</xdr:row>
      <xdr:rowOff>53975</xdr:rowOff>
    </xdr:from>
    <xdr:to>
      <xdr:col>2</xdr:col>
      <xdr:colOff>732028</xdr:colOff>
      <xdr:row>7</xdr:row>
      <xdr:rowOff>440055</xdr:rowOff>
    </xdr:to>
    <xdr:pic macro="[0]!SendToOfficeLocal">
      <xdr:nvPicPr>
        <xdr:cNvPr id="8" name="WD735485">
          <a:extLst>
            <a:ext uri="{FF2B5EF4-FFF2-40B4-BE49-F238E27FC236}">
              <a16:creationId xmlns:a16="http://schemas.microsoft.com/office/drawing/2014/main" id="{6DD49019-968F-C6E8-0582-C32E27C16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3208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30734</xdr:colOff>
      <xdr:row>7</xdr:row>
      <xdr:rowOff>53975</xdr:rowOff>
    </xdr:from>
    <xdr:to>
      <xdr:col>3</xdr:col>
      <xdr:colOff>416814</xdr:colOff>
      <xdr:row>7</xdr:row>
      <xdr:rowOff>440055</xdr:rowOff>
    </xdr:to>
    <xdr:pic macro="[0]!SendToOfficeLocal">
      <xdr:nvPicPr>
        <xdr:cNvPr id="9" name="PT735485">
          <a:extLst>
            <a:ext uri="{FF2B5EF4-FFF2-40B4-BE49-F238E27FC236}">
              <a16:creationId xmlns:a16="http://schemas.microsoft.com/office/drawing/2014/main" id="{8799E910-0889-0FD8-8400-52812D7DC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7614" y="133413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488</xdr:row>
      <xdr:rowOff>2</xdr:rowOff>
    </xdr:from>
    <xdr:to>
      <xdr:col>6</xdr:col>
      <xdr:colOff>0</xdr:colOff>
      <xdr:row>506</xdr:row>
      <xdr:rowOff>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DEF134-508C-7A85-9807-0E1D46D76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127000</xdr:colOff>
      <xdr:row>488</xdr:row>
      <xdr:rowOff>2</xdr:rowOff>
    </xdr:from>
    <xdr:to>
      <xdr:col>12</xdr:col>
      <xdr:colOff>43180</xdr:colOff>
      <xdr:row>506</xdr:row>
      <xdr:rowOff>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69A8DD-1839-595E-98FB-4CB640DB7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2" name="XP735485" hidden="1">
          <a:extLst>
            <a:ext uri="{FF2B5EF4-FFF2-40B4-BE49-F238E27FC236}">
              <a16:creationId xmlns:a16="http://schemas.microsoft.com/office/drawing/2014/main" id="{8FE48800-A01B-3677-CC5B-B6E7C3FF7074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Nonlinear regression*SEP*Summary statistics*SEP*$B$12
Nonlinear regression*SEP*Correlation matrix*SEP*$B$26
Nonlinear regression*SEP*Nonlinear regression of variable sigma*SEP*$B$40
Nonlinear regression*SEP*Goodness of fit statistics*SEP*$B$42
Nonlinear regression*SEP*Model parameters*SEP*$B$55
Nonlinear regression*SEP*Equation of the model:*SEP*$B$77
Nonlinear regression*SEP*Predictions and residuals*SEP*$B$81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7620</xdr:colOff>
          <xdr:row>9</xdr:row>
          <xdr:rowOff>0</xdr:rowOff>
        </xdr:to>
        <xdr:sp macro="" textlink="">
          <xdr:nvSpPr>
            <xdr:cNvPr id="3073" name="DD410602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582168</xdr:colOff>
      <xdr:row>0</xdr:row>
      <xdr:rowOff>36576</xdr:rowOff>
    </xdr:from>
    <xdr:to>
      <xdr:col>12</xdr:col>
      <xdr:colOff>460248</xdr:colOff>
      <xdr:row>1</xdr:row>
      <xdr:rowOff>146304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9AD23C40-8564-DBF9-10AC-0EEC34BE37CD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3" name="TX699502" hidden="1">
          <a:extLst>
            <a:ext uri="{FF2B5EF4-FFF2-40B4-BE49-F238E27FC236}">
              <a16:creationId xmlns:a16="http://schemas.microsoft.com/office/drawing/2014/main" id="{A04DAB2E-7FCA-7A01-C32F-107007BF8733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CheckBoxInterpret,CheckBox,0,True,500000000700_Outputs|General,True,Interpretation,False,,,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TextBoxNbFactors,TextBox,1,True,000001020100_General,True,Number of factors:,False,,,
CheckBoxVarLabels,CheckBox,-1,True,000000000001_General,True,Variable labels,False,,,
CheckBox_ObsLabels,CheckBox,0,True,000000000101_General,True,Observation labels,False,,,
CheckBox_Wr,CheckBox,0,False,000000050101_General,False,Regression weights,False,,,
CheckBox_W,CheckBox,0,False,000000030101_General,False,Observation weights,False,,,
FileSelect2,CommandButton,,False,300000000602_Prediction,False,,False,,,
CheckBoxNorm,CheckBox,0,True,530000000000_Outputs|Test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FileSelect1,CommandButton,,False,000000030200_General,False,RefEdit_Y,False,,,
ScrollBarSelect,ScrollBar,0,False,03,False,,,,,
CheckBox_X,CheckBox,-1,True,000001040200_General,True,Quantitative,False,,,
CheckBox_Q,CheckBox,0,True,000004040200_General,True,Qualitative,False,,,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SpinButtonNbFactors,SpinButton,5,False,000002020100_General,False,,,,,
CheckBoxWithEta,CheckBox,0,True,500000000300_Outputs|General,True,Effect size measures,False,,,
CheckBox_G,CheckBox,0,False,000000060101_General,False,Groups,False,,,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ComboBox_Format,ComboBox,0,True,000000010000_General,True,,False,,,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RefEditDataTable,TextBox,,True,000000000100_General,True,Data table:,False,,,
RefEdit_Wr,TextBox0,,False,000000070101_General,False,Regression weights:,False,,,
RefEdit_ObsLabels,TextBox0,,True,000000010101_General,True,Observation labels:,False,,,
RefEdit_W,TextBox0,,False,000000020101_General,False,Observation weights:,False,,,
RefEdit_Y,TextBox0,'dim_training'!$I:$I,True,000000020200_General,True,Y / Dependent variables:,False,,404,1
RefEdit_X,TextBox0,'dim_training'!$A:$H,True,000002040200_General,True,X / Explanatory variables:,False,,404,8
RefEdit_Q,TextBox0,,True,000003040200_General,True,Qualitative:,False,,,
RefEdit_G,TextBox0,,False,000000040101_General,False,Groups:,False,,,
RefEditClusters,TextBox0,,True,120000000500_Options|Covariances,True,Clusters:,False,,,
CheckBox_SV,CheckBox,-1,False,05,False,SV,False,,,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CheckBox_TISS_SV,CheckBox,0,False,000000010201_General,False,Type I/III SS,False,,,
ListBoxPairwise_SV,TextBox,Click to select tests,False,000000020201_General,False,Pairwise comparisons:,False,,,
CheckBoxPairwise_SV,CheckBox,0,False,000000030201_General,False,Pairwise comparisons,False,,,
CheckBoxInterpret_SV,CheckBox,0,True,000000040201_General,True,Interpretation,False,,,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CheckBoxGroupsColor,CheckBox,-1,False,000000080101_General,False,Regression by group,False,,,
CheckBox_SV,CheckBox,-1,False,23,False,SV,False,,,
</a:t>
          </a:r>
        </a:p>
      </xdr:txBody>
    </xdr:sp>
    <xdr:clientData/>
  </xdr:twoCellAnchor>
  <xdr:twoCellAnchor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4" name="TX298739" hidden="1">
          <a:extLst>
            <a:ext uri="{FF2B5EF4-FFF2-40B4-BE49-F238E27FC236}">
              <a16:creationId xmlns:a16="http://schemas.microsoft.com/office/drawing/2014/main" id="{1CC1872D-1AC3-BF0B-C7E8-C5498F2314BE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Form53.txt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4</xdr:col>
      <xdr:colOff>501650</xdr:colOff>
      <xdr:row>7</xdr:row>
      <xdr:rowOff>470535</xdr:rowOff>
    </xdr:to>
    <xdr:sp macro="" textlink="">
      <xdr:nvSpPr>
        <xdr:cNvPr id="5" name="BK699502">
          <a:extLst>
            <a:ext uri="{FF2B5EF4-FFF2-40B4-BE49-F238E27FC236}">
              <a16:creationId xmlns:a16="http://schemas.microsoft.com/office/drawing/2014/main" id="{C8E61EF9-B17D-55D7-3A7C-4B5144890D4C}"/>
            </a:ext>
          </a:extLst>
        </xdr:cNvPr>
        <xdr:cNvSpPr/>
      </xdr:nvSpPr>
      <xdr:spPr>
        <a:xfrm>
          <a:off x="334010" y="1286510"/>
          <a:ext cx="24384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7</xdr:row>
      <xdr:rowOff>53975</xdr:rowOff>
    </xdr:from>
    <xdr:to>
      <xdr:col>1</xdr:col>
      <xdr:colOff>448522</xdr:colOff>
      <xdr:row>7</xdr:row>
      <xdr:rowOff>440055</xdr:rowOff>
    </xdr:to>
    <xdr:pic macro="[0]!ReRunXLSTAT">
      <xdr:nvPicPr>
        <xdr:cNvPr id="6" name="BT699502">
          <a:extLst>
            <a:ext uri="{FF2B5EF4-FFF2-40B4-BE49-F238E27FC236}">
              <a16:creationId xmlns:a16="http://schemas.microsoft.com/office/drawing/2014/main" id="{3183DD2F-FD7A-4C1A-46AF-9DD745183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7</xdr:row>
      <xdr:rowOff>53975</xdr:rowOff>
    </xdr:from>
    <xdr:to>
      <xdr:col>2</xdr:col>
      <xdr:colOff>321310</xdr:colOff>
      <xdr:row>7</xdr:row>
      <xdr:rowOff>440055</xdr:rowOff>
    </xdr:to>
    <xdr:pic macro="[0]!AddRemovGrid">
      <xdr:nvPicPr>
        <xdr:cNvPr id="7" name="RM699502">
          <a:extLst>
            <a:ext uri="{FF2B5EF4-FFF2-40B4-BE49-F238E27FC236}">
              <a16:creationId xmlns:a16="http://schemas.microsoft.com/office/drawing/2014/main" id="{0E7DC186-F4E7-C266-639B-3074B70E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7</xdr:row>
      <xdr:rowOff>53975</xdr:rowOff>
    </xdr:from>
    <xdr:to>
      <xdr:col>2</xdr:col>
      <xdr:colOff>321310</xdr:colOff>
      <xdr:row>7</xdr:row>
      <xdr:rowOff>440055</xdr:rowOff>
    </xdr:to>
    <xdr:pic macro="[0]!AddRemovGrid">
      <xdr:nvPicPr>
        <xdr:cNvPr id="8" name="AD699502" hidden="1">
          <a:extLst>
            <a:ext uri="{FF2B5EF4-FFF2-40B4-BE49-F238E27FC236}">
              <a16:creationId xmlns:a16="http://schemas.microsoft.com/office/drawing/2014/main" id="{69BB2F1B-07C3-2CDA-01D2-4797DE66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7</xdr:row>
      <xdr:rowOff>53975</xdr:rowOff>
    </xdr:from>
    <xdr:to>
      <xdr:col>3</xdr:col>
      <xdr:colOff>194098</xdr:colOff>
      <xdr:row>7</xdr:row>
      <xdr:rowOff>440055</xdr:rowOff>
    </xdr:to>
    <xdr:pic macro="[0]!SendToOfficeLocal">
      <xdr:nvPicPr>
        <xdr:cNvPr id="9" name="WD699502">
          <a:extLst>
            <a:ext uri="{FF2B5EF4-FFF2-40B4-BE49-F238E27FC236}">
              <a16:creationId xmlns:a16="http://schemas.microsoft.com/office/drawing/2014/main" id="{BD57333D-165D-36E1-332A-5BFBA994F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878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7</xdr:row>
      <xdr:rowOff>53975</xdr:rowOff>
    </xdr:from>
    <xdr:to>
      <xdr:col>3</xdr:col>
      <xdr:colOff>676487</xdr:colOff>
      <xdr:row>7</xdr:row>
      <xdr:rowOff>440055</xdr:rowOff>
    </xdr:to>
    <xdr:pic macro="[0]!SendToOfficeLocal">
      <xdr:nvPicPr>
        <xdr:cNvPr id="10" name="PT699502">
          <a:extLst>
            <a:ext uri="{FF2B5EF4-FFF2-40B4-BE49-F238E27FC236}">
              <a16:creationId xmlns:a16="http://schemas.microsoft.com/office/drawing/2014/main" id="{E4A3FBDE-4DAD-FCEB-4712-2A07569EF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7267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48895</xdr:colOff>
      <xdr:row>7</xdr:row>
      <xdr:rowOff>53975</xdr:rowOff>
    </xdr:from>
    <xdr:to>
      <xdr:col>4</xdr:col>
      <xdr:colOff>434975</xdr:colOff>
      <xdr:row>7</xdr:row>
      <xdr:rowOff>440055</xdr:rowOff>
    </xdr:to>
    <xdr:pic macro="[0]!getAIAResultsLocal">
      <xdr:nvPicPr>
        <xdr:cNvPr id="11" name="IA298739">
          <a:extLst>
            <a:ext uri="{FF2B5EF4-FFF2-40B4-BE49-F238E27FC236}">
              <a16:creationId xmlns:a16="http://schemas.microsoft.com/office/drawing/2014/main" id="{A04876F6-BA55-C399-5AE6-B0863152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655" y="133413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7</xdr:col>
      <xdr:colOff>0</xdr:colOff>
      <xdr:row>121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535689-751C-55AC-5405-567DC6DCF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531</xdr:row>
      <xdr:rowOff>1</xdr:rowOff>
    </xdr:from>
    <xdr:to>
      <xdr:col>7</xdr:col>
      <xdr:colOff>0</xdr:colOff>
      <xdr:row>549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A73617C-F321-3FB1-4198-D84AE551E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127000</xdr:colOff>
      <xdr:row>531</xdr:row>
      <xdr:rowOff>1</xdr:rowOff>
    </xdr:from>
    <xdr:to>
      <xdr:col>13</xdr:col>
      <xdr:colOff>264160</xdr:colOff>
      <xdr:row>549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0633AE-A690-0188-FDC5-DDC1D8AFB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391160</xdr:colOff>
      <xdr:row>531</xdr:row>
      <xdr:rowOff>1</xdr:rowOff>
    </xdr:from>
    <xdr:to>
      <xdr:col>19</xdr:col>
      <xdr:colOff>528320</xdr:colOff>
      <xdr:row>549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AEA8A11-C55A-BF01-903A-237BC92BB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551</xdr:row>
      <xdr:rowOff>1</xdr:rowOff>
    </xdr:from>
    <xdr:to>
      <xdr:col>7</xdr:col>
      <xdr:colOff>0</xdr:colOff>
      <xdr:row>569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53BC2C6-E178-99CD-725E-5DC26D08D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7" name="XP699502" hidden="1">
          <a:extLst>
            <a:ext uri="{FF2B5EF4-FFF2-40B4-BE49-F238E27FC236}">
              <a16:creationId xmlns:a16="http://schemas.microsoft.com/office/drawing/2014/main" id="{FB600744-F139-B57F-4D57-C812377A2DBE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Linear regression*SEP*Summary statistics*SEP*$B$12
Linear regression*SEP*Correlation matrix*SEP*$B$26
Linear regression*SEP*Regression of variable sigma*SEP*$B$40
Linear regression*SEP*Goodness of fit statistics (sigma)*SEP*$B$42
Linear regression*SEP*Analysis of variance (sigma)*SEP*$B$60
Linear regression*SEP*Model parameters (sigma)*SEP*$B$70
Linear regression*SEP*Equation of the model (sigma)*SEP*$B$85
Linear regression*SEP*Standardized coefficients (sigma)*SEP*$B$90
Linear regression*SEP*Predictions and residuals (sigma)*SEP*$B$124</a:t>
          </a:r>
        </a:p>
      </xdr:txBody>
    </xdr:sp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8" name="XP298739" hidden="1">
          <a:extLst>
            <a:ext uri="{FF2B5EF4-FFF2-40B4-BE49-F238E27FC236}">
              <a16:creationId xmlns:a16="http://schemas.microsoft.com/office/drawing/2014/main" id="{BD011798-B6C1-9505-A223-E0D6F1416FDD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Linear regression*SEP*Summary statistics*SEP*$B$12
Linear regression*SEP*Correlation matrix*SEP*$B$26
Linear regression*SEP*Regression of variable sigma*SEP*$B$40
Linear regression*SEP*Goodness of fit statistics (sigma)*SEP*$B$42
Linear regression*SEP*Analysis of variance (sigma)*SEP*$B$60
Linear regression*SEP*Model parameters (sigma)*SEP*$B$70
Linear regression*SEP*Equation of the model (sigma)*SEP*$B$85
Linear regression*SEP*Standardized coefficients (sigma)*SEP*$B$90
Linear regression*SEP*Predictions and residuals (sigma)*SEP*$B$124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049" name="DD47873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E33D-8434-40A9-B921-C262272E0986}">
  <sheetPr codeName="Sheet1"/>
  <dimension ref="A1:V404"/>
  <sheetViews>
    <sheetView tabSelected="1" zoomScale="85" zoomScaleNormal="85" workbookViewId="0">
      <selection activeCell="J1" sqref="J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520</v>
      </c>
      <c r="K1" t="s">
        <v>521</v>
      </c>
      <c r="L1" t="s">
        <v>522</v>
      </c>
      <c r="M1" t="s">
        <v>523</v>
      </c>
      <c r="N1" t="s">
        <v>524</v>
      </c>
      <c r="O1" t="s">
        <v>483</v>
      </c>
      <c r="P1" t="s">
        <v>484</v>
      </c>
    </row>
    <row r="2" spans="1:22" x14ac:dyDescent="0.3">
      <c r="A2">
        <v>0.6</v>
      </c>
      <c r="B2">
        <v>4</v>
      </c>
      <c r="C2">
        <v>20</v>
      </c>
      <c r="D2">
        <v>13.8</v>
      </c>
      <c r="E2">
        <v>31.999477370000001</v>
      </c>
      <c r="F2">
        <v>1.88</v>
      </c>
      <c r="G2">
        <v>20.12</v>
      </c>
      <c r="H2">
        <v>6.9699999999999996E-3</v>
      </c>
      <c r="I2">
        <v>-2.6523485720000002</v>
      </c>
      <c r="J2">
        <v>-2.62562891678497</v>
      </c>
      <c r="K2">
        <v>-1.8055838</v>
      </c>
      <c r="L2">
        <v>-2.4605301815946099</v>
      </c>
      <c r="M2">
        <v>-2.65848350167551</v>
      </c>
      <c r="N2">
        <v>-2.579392486233</v>
      </c>
      <c r="O2" s="17">
        <v>-0.41561557716360031</v>
      </c>
      <c r="P2" s="17">
        <v>-1.9224670523719283</v>
      </c>
    </row>
    <row r="3" spans="1:22" x14ac:dyDescent="0.3">
      <c r="A3">
        <v>1</v>
      </c>
      <c r="B3">
        <v>6</v>
      </c>
      <c r="C3">
        <v>30</v>
      </c>
      <c r="D3">
        <v>7.2</v>
      </c>
      <c r="E3">
        <v>4.1669299559999997</v>
      </c>
      <c r="F3">
        <v>7.6656000000000004</v>
      </c>
      <c r="G3">
        <v>2.62</v>
      </c>
      <c r="H3">
        <v>9.1083599999999994E-3</v>
      </c>
      <c r="I3">
        <v>8.5512575000000002</v>
      </c>
      <c r="J3">
        <v>8.5243398563521993</v>
      </c>
      <c r="K3">
        <v>8.2087754999999998</v>
      </c>
      <c r="L3">
        <v>8.4388800175406704</v>
      </c>
      <c r="M3">
        <v>8.55666791605268</v>
      </c>
      <c r="N3">
        <v>8.5188503713010597</v>
      </c>
      <c r="O3" s="12">
        <v>17.676291315549697</v>
      </c>
      <c r="P3" s="12">
        <v>21.850318065033356</v>
      </c>
    </row>
    <row r="4" spans="1:22" x14ac:dyDescent="0.3">
      <c r="A4">
        <v>0.6</v>
      </c>
      <c r="B4">
        <v>4</v>
      </c>
      <c r="C4">
        <v>10</v>
      </c>
      <c r="D4">
        <v>3.2</v>
      </c>
      <c r="E4">
        <v>4.0078868280000002</v>
      </c>
      <c r="F4">
        <v>0.94</v>
      </c>
      <c r="G4">
        <v>2.52</v>
      </c>
      <c r="H4">
        <v>4.0000000000000001E-3</v>
      </c>
      <c r="I4">
        <v>4.7125161450000004</v>
      </c>
      <c r="J4">
        <v>4.7748928557286199</v>
      </c>
      <c r="K4">
        <v>4.7308573999999997</v>
      </c>
      <c r="L4">
        <v>4.85667672596212</v>
      </c>
      <c r="M4">
        <v>4.7347659269427904</v>
      </c>
      <c r="N4">
        <v>4.7108894791270304</v>
      </c>
      <c r="O4" s="12">
        <v>7.8519807126284329</v>
      </c>
      <c r="P4" s="12">
        <v>7.3763255001827268</v>
      </c>
    </row>
    <row r="5" spans="1:22" x14ac:dyDescent="0.3">
      <c r="A5">
        <v>1.6666666670000001</v>
      </c>
      <c r="B5">
        <v>4</v>
      </c>
      <c r="C5">
        <v>60</v>
      </c>
      <c r="D5">
        <v>18.399999999999999</v>
      </c>
      <c r="E5">
        <v>3.292192751</v>
      </c>
      <c r="F5">
        <v>3.24</v>
      </c>
      <c r="G5">
        <v>2.0699999999999998</v>
      </c>
      <c r="H5">
        <v>1.205E-2</v>
      </c>
      <c r="I5">
        <v>5.2274105290000001</v>
      </c>
      <c r="J5">
        <v>5.2202420491443799</v>
      </c>
      <c r="K5">
        <v>5.2105569999999997</v>
      </c>
      <c r="L5">
        <v>5.4683295890203496</v>
      </c>
      <c r="M5">
        <v>5.1934452505129496</v>
      </c>
      <c r="N5">
        <v>5.2295960972330002</v>
      </c>
      <c r="O5" s="12">
        <v>19.152216304242209</v>
      </c>
      <c r="P5" s="12">
        <v>3.4833846931112546</v>
      </c>
    </row>
    <row r="6" spans="1:22" x14ac:dyDescent="0.3">
      <c r="A6">
        <v>1</v>
      </c>
      <c r="B6">
        <v>6</v>
      </c>
      <c r="C6">
        <v>15</v>
      </c>
      <c r="D6">
        <v>10</v>
      </c>
      <c r="E6">
        <v>23.68152177</v>
      </c>
      <c r="F6">
        <v>6.5609999999999999</v>
      </c>
      <c r="G6">
        <v>14.89</v>
      </c>
      <c r="H6">
        <v>6.6531000000000003E-3</v>
      </c>
      <c r="I6">
        <v>-1.0631378490000001</v>
      </c>
      <c r="J6">
        <v>-1.07318733894333</v>
      </c>
      <c r="K6">
        <v>-1.1184765999999999</v>
      </c>
      <c r="L6">
        <v>-0.99475009429193795</v>
      </c>
      <c r="M6">
        <v>-1.11854960697283</v>
      </c>
      <c r="N6">
        <v>-1.04646185044399</v>
      </c>
      <c r="O6" s="12">
        <v>2.4460115370118976</v>
      </c>
      <c r="P6" s="12">
        <v>2.5388570326609958</v>
      </c>
    </row>
    <row r="7" spans="1:22" x14ac:dyDescent="0.3">
      <c r="A7">
        <v>0.6</v>
      </c>
      <c r="B7">
        <v>4</v>
      </c>
      <c r="C7">
        <v>10</v>
      </c>
      <c r="D7">
        <v>9.6</v>
      </c>
      <c r="E7">
        <v>35.403000310000003</v>
      </c>
      <c r="F7">
        <v>0.94</v>
      </c>
      <c r="G7">
        <v>22.26</v>
      </c>
      <c r="H7">
        <v>4.0000000000000001E-3</v>
      </c>
      <c r="I7">
        <v>-1.8012541989999999</v>
      </c>
      <c r="J7">
        <v>-1.8297980924973201</v>
      </c>
      <c r="K7">
        <v>-1.7444333999999999</v>
      </c>
      <c r="L7">
        <v>-1.8634516237977099</v>
      </c>
      <c r="M7">
        <v>-1.84548596949729</v>
      </c>
      <c r="N7">
        <v>-1.7732613344741699</v>
      </c>
      <c r="O7" s="12">
        <v>-0.46988654067305635</v>
      </c>
      <c r="P7" s="12">
        <v>-1.6478402710232132</v>
      </c>
    </row>
    <row r="8" spans="1:22" x14ac:dyDescent="0.3">
      <c r="A8">
        <v>1.6666666670000001</v>
      </c>
      <c r="B8">
        <v>4</v>
      </c>
      <c r="C8">
        <v>60</v>
      </c>
      <c r="D8">
        <v>13.8</v>
      </c>
      <c r="E8">
        <v>3.133149623</v>
      </c>
      <c r="F8">
        <v>3.24</v>
      </c>
      <c r="G8">
        <v>1.97</v>
      </c>
      <c r="H8">
        <v>1.205E-2</v>
      </c>
      <c r="I8">
        <v>9.3266259460000001</v>
      </c>
      <c r="J8">
        <v>9.3570229365178097</v>
      </c>
      <c r="K8">
        <v>9.0502020000000005</v>
      </c>
      <c r="L8">
        <v>9.3940252982474401</v>
      </c>
      <c r="M8">
        <v>9.3798398238393901</v>
      </c>
      <c r="N8">
        <v>9.2762676986135801</v>
      </c>
      <c r="O8" s="12">
        <v>28.663813144734256</v>
      </c>
      <c r="P8" s="12">
        <v>15.456939179345063</v>
      </c>
    </row>
    <row r="9" spans="1:22" x14ac:dyDescent="0.3">
      <c r="A9">
        <v>1.6666666670000001</v>
      </c>
      <c r="B9">
        <v>6</v>
      </c>
      <c r="C9">
        <v>60</v>
      </c>
      <c r="D9">
        <v>27.6</v>
      </c>
      <c r="E9">
        <v>1.5109097170000001</v>
      </c>
      <c r="F9">
        <v>3.24</v>
      </c>
      <c r="G9">
        <v>0.95</v>
      </c>
      <c r="H9">
        <v>1.204998E-2</v>
      </c>
      <c r="I9">
        <v>2.3933102380000002</v>
      </c>
      <c r="J9">
        <v>2.3713018007909898</v>
      </c>
      <c r="K9">
        <v>2.5203180000000001</v>
      </c>
      <c r="L9">
        <v>4.0379658179536699</v>
      </c>
      <c r="M9">
        <v>2.39408810894483</v>
      </c>
      <c r="N9">
        <v>2.4684612772399999</v>
      </c>
      <c r="O9" s="12">
        <v>-0.28526186541965082</v>
      </c>
      <c r="P9" s="12">
        <v>-0.87591929870960428</v>
      </c>
      <c r="T9" t="s">
        <v>517</v>
      </c>
      <c r="U9">
        <v>-20</v>
      </c>
      <c r="V9">
        <v>60</v>
      </c>
    </row>
    <row r="10" spans="1:22" x14ac:dyDescent="0.3">
      <c r="A10">
        <v>0.6</v>
      </c>
      <c r="B10">
        <v>1</v>
      </c>
      <c r="C10">
        <v>20</v>
      </c>
      <c r="D10">
        <v>2.2999999999999998</v>
      </c>
      <c r="E10">
        <v>0</v>
      </c>
      <c r="F10">
        <v>1.88</v>
      </c>
      <c r="G10">
        <v>0</v>
      </c>
      <c r="H10">
        <v>6.9699999999999996E-3</v>
      </c>
      <c r="I10">
        <v>38.591876030000002</v>
      </c>
      <c r="J10">
        <v>38.577987908988398</v>
      </c>
      <c r="K10">
        <v>38.101345000000002</v>
      </c>
      <c r="L10">
        <v>36.163457649873401</v>
      </c>
      <c r="M10">
        <v>38.503492132172099</v>
      </c>
      <c r="N10">
        <v>38.503944181459801</v>
      </c>
      <c r="O10" s="12">
        <v>18.509527024617842</v>
      </c>
      <c r="P10" s="12">
        <v>32.128889391265432</v>
      </c>
      <c r="T10" t="s">
        <v>519</v>
      </c>
      <c r="U10">
        <v>-20</v>
      </c>
      <c r="V10">
        <v>60</v>
      </c>
    </row>
    <row r="11" spans="1:22" x14ac:dyDescent="0.3">
      <c r="A11">
        <v>1</v>
      </c>
      <c r="B11">
        <v>1</v>
      </c>
      <c r="C11">
        <v>10</v>
      </c>
      <c r="D11">
        <v>5.4</v>
      </c>
      <c r="E11">
        <v>5.3279447910000002</v>
      </c>
      <c r="F11">
        <v>5.8784999999999998</v>
      </c>
      <c r="G11">
        <v>3.35</v>
      </c>
      <c r="H11">
        <v>5.5425099999999996E-3</v>
      </c>
      <c r="I11">
        <v>1.622004843</v>
      </c>
      <c r="J11">
        <v>1.6387597019648299</v>
      </c>
      <c r="K11">
        <v>2.0479726999999999</v>
      </c>
      <c r="L11">
        <v>2.0699566547066501</v>
      </c>
      <c r="M11">
        <v>1.68114120742058</v>
      </c>
      <c r="N11">
        <v>1.690952119913</v>
      </c>
      <c r="O11" s="12">
        <v>4.9377016516643977</v>
      </c>
      <c r="P11" s="12">
        <v>-0.3888511331090605</v>
      </c>
    </row>
    <row r="12" spans="1:22" x14ac:dyDescent="0.3">
      <c r="A12">
        <v>1</v>
      </c>
      <c r="B12">
        <v>4</v>
      </c>
      <c r="C12">
        <v>20</v>
      </c>
      <c r="D12">
        <v>8.4</v>
      </c>
      <c r="E12">
        <v>8.8268936090000008</v>
      </c>
      <c r="F12">
        <v>7.0444000000000004</v>
      </c>
      <c r="G12">
        <v>5.55</v>
      </c>
      <c r="H12">
        <v>7.5770400000000002E-3</v>
      </c>
      <c r="I12">
        <v>2.1826909890000001</v>
      </c>
      <c r="J12">
        <v>2.19083103690155</v>
      </c>
      <c r="K12">
        <v>2.1946979</v>
      </c>
      <c r="L12">
        <v>2.2712928468636302</v>
      </c>
      <c r="M12">
        <v>2.1867504914253399</v>
      </c>
      <c r="N12">
        <v>2.1896644754994998</v>
      </c>
      <c r="O12" s="12">
        <v>7.7432652937761643</v>
      </c>
      <c r="P12" s="12">
        <v>2.1404298828941606</v>
      </c>
      <c r="T12">
        <v>-10</v>
      </c>
    </row>
    <row r="13" spans="1:22" x14ac:dyDescent="0.3">
      <c r="A13">
        <v>1.6666666670000001</v>
      </c>
      <c r="B13">
        <v>6</v>
      </c>
      <c r="C13">
        <v>60</v>
      </c>
      <c r="D13">
        <v>23</v>
      </c>
      <c r="E13">
        <v>0.87473720399999999</v>
      </c>
      <c r="F13">
        <v>3.24</v>
      </c>
      <c r="G13">
        <v>0.55000000000000004</v>
      </c>
      <c r="H13">
        <v>1.204998E-2</v>
      </c>
      <c r="I13">
        <v>3.4642517960000001</v>
      </c>
      <c r="J13">
        <v>3.4797956455321502</v>
      </c>
      <c r="K13">
        <v>3.8100375999999998</v>
      </c>
      <c r="L13">
        <v>5.2163299674063399</v>
      </c>
      <c r="M13">
        <v>3.4685016250047398</v>
      </c>
      <c r="N13">
        <v>3.6092253165479899</v>
      </c>
      <c r="O13" s="12">
        <v>9.1511598593368948</v>
      </c>
      <c r="P13" s="12">
        <v>-0.90144632614649112</v>
      </c>
      <c r="T13" t="s">
        <v>518</v>
      </c>
      <c r="U13">
        <v>-12</v>
      </c>
      <c r="V13">
        <v>60</v>
      </c>
    </row>
    <row r="14" spans="1:22" x14ac:dyDescent="0.3">
      <c r="A14">
        <v>1.6666666670000001</v>
      </c>
      <c r="B14">
        <v>2</v>
      </c>
      <c r="C14">
        <v>10</v>
      </c>
      <c r="D14">
        <v>9.8000000000000007</v>
      </c>
      <c r="E14">
        <v>28.96175362</v>
      </c>
      <c r="F14">
        <v>0.54</v>
      </c>
      <c r="G14">
        <v>18.21</v>
      </c>
      <c r="H14">
        <v>2.5500000000000002E-3</v>
      </c>
      <c r="I14">
        <v>-0.980954522</v>
      </c>
      <c r="J14">
        <v>-1.0037024442384901</v>
      </c>
      <c r="K14">
        <v>-1.5709498</v>
      </c>
      <c r="L14">
        <v>-1.1848581186150999</v>
      </c>
      <c r="M14">
        <v>-0.98212331931848196</v>
      </c>
      <c r="N14">
        <v>-0.97505860071399297</v>
      </c>
      <c r="O14" s="12">
        <v>-1.5797486666497795</v>
      </c>
      <c r="P14" s="12">
        <v>-8.1628504031892088</v>
      </c>
      <c r="T14" t="s">
        <v>519</v>
      </c>
      <c r="U14">
        <v>-20</v>
      </c>
      <c r="V14">
        <v>52</v>
      </c>
    </row>
    <row r="15" spans="1:22" x14ac:dyDescent="0.3">
      <c r="A15">
        <v>1.6666666670000001</v>
      </c>
      <c r="B15">
        <v>1</v>
      </c>
      <c r="C15">
        <v>20</v>
      </c>
      <c r="D15">
        <v>9.1999999999999993</v>
      </c>
      <c r="E15">
        <v>6.9501846970000001</v>
      </c>
      <c r="F15">
        <v>1.08</v>
      </c>
      <c r="G15">
        <v>4.37</v>
      </c>
      <c r="H15">
        <v>4.8399999999999997E-3</v>
      </c>
      <c r="I15">
        <v>2.0166808340000002</v>
      </c>
      <c r="J15">
        <v>1.9851208719210001</v>
      </c>
      <c r="K15">
        <v>1.9203125000000001</v>
      </c>
      <c r="L15">
        <v>2.0027933647629101</v>
      </c>
      <c r="M15">
        <v>1.9694952442403799</v>
      </c>
      <c r="N15">
        <v>1.9749679728259999</v>
      </c>
      <c r="O15" s="12">
        <v>5.0614115938726325</v>
      </c>
      <c r="P15" s="12">
        <v>-1.3490838685384361</v>
      </c>
    </row>
    <row r="16" spans="1:22" x14ac:dyDescent="0.3">
      <c r="A16">
        <v>1</v>
      </c>
      <c r="B16">
        <v>1</v>
      </c>
      <c r="C16">
        <v>30</v>
      </c>
      <c r="D16">
        <v>25.6</v>
      </c>
      <c r="E16">
        <v>32.667458510000003</v>
      </c>
      <c r="F16">
        <v>7.6656000000000004</v>
      </c>
      <c r="G16">
        <v>20.54</v>
      </c>
      <c r="H16">
        <v>9.1083599999999994E-3</v>
      </c>
      <c r="I16">
        <v>-1.883711527</v>
      </c>
      <c r="J16">
        <v>-1.8554731005677501</v>
      </c>
      <c r="K16">
        <v>-1.8322286999999999</v>
      </c>
      <c r="L16">
        <v>-1.7581711939265801</v>
      </c>
      <c r="M16">
        <v>-1.82430091473502</v>
      </c>
      <c r="N16">
        <v>-1.87704801814799</v>
      </c>
      <c r="O16" s="12">
        <v>-15.771120974779006</v>
      </c>
      <c r="P16" s="12">
        <v>-1.7973153553297649</v>
      </c>
      <c r="T16">
        <v>10</v>
      </c>
    </row>
    <row r="17" spans="1:22" x14ac:dyDescent="0.3">
      <c r="A17">
        <v>1.6666666670000001</v>
      </c>
      <c r="B17">
        <v>2</v>
      </c>
      <c r="C17">
        <v>10</v>
      </c>
      <c r="D17">
        <v>9.6</v>
      </c>
      <c r="E17">
        <v>28.341485429999999</v>
      </c>
      <c r="F17">
        <v>0.54</v>
      </c>
      <c r="G17">
        <v>17.82</v>
      </c>
      <c r="H17">
        <v>2.5500000000000002E-3</v>
      </c>
      <c r="I17">
        <v>-0.955468447</v>
      </c>
      <c r="J17">
        <v>-0.98752692663495201</v>
      </c>
      <c r="K17">
        <v>-1.5709498</v>
      </c>
      <c r="L17">
        <v>-1.08990540540988</v>
      </c>
      <c r="M17">
        <v>-1.0540586204286699</v>
      </c>
      <c r="N17">
        <v>-0.96924257052199203</v>
      </c>
      <c r="O17" s="12">
        <v>-1.2628391323058816</v>
      </c>
      <c r="P17" s="12">
        <v>-7.7284573030929504</v>
      </c>
      <c r="T17" t="s">
        <v>518</v>
      </c>
      <c r="U17">
        <v>-20</v>
      </c>
      <c r="V17">
        <v>52</v>
      </c>
    </row>
    <row r="18" spans="1:22" x14ac:dyDescent="0.3">
      <c r="A18">
        <v>0.6</v>
      </c>
      <c r="B18">
        <v>6</v>
      </c>
      <c r="C18">
        <v>10</v>
      </c>
      <c r="D18">
        <v>8</v>
      </c>
      <c r="E18">
        <v>27.164566279999999</v>
      </c>
      <c r="F18">
        <v>0.94</v>
      </c>
      <c r="G18">
        <v>17.079999999999998</v>
      </c>
      <c r="H18">
        <v>4.00002E-3</v>
      </c>
      <c r="I18">
        <v>-1.199120535</v>
      </c>
      <c r="J18">
        <v>-1.2045901562274901</v>
      </c>
      <c r="K18">
        <v>-1.0612682</v>
      </c>
      <c r="L18">
        <v>-1.2439509849849699</v>
      </c>
      <c r="M18">
        <v>-1.10005342853266</v>
      </c>
      <c r="N18">
        <v>-1.206027402408</v>
      </c>
      <c r="O18" s="12">
        <v>1.4657025868722888</v>
      </c>
      <c r="P18" s="12">
        <v>4.3114958283801066</v>
      </c>
      <c r="T18" t="s">
        <v>519</v>
      </c>
      <c r="U18">
        <v>-12</v>
      </c>
      <c r="V18">
        <v>60</v>
      </c>
    </row>
    <row r="19" spans="1:22" x14ac:dyDescent="0.3">
      <c r="A19">
        <v>1.6666666670000001</v>
      </c>
      <c r="B19">
        <v>6</v>
      </c>
      <c r="C19">
        <v>60</v>
      </c>
      <c r="D19">
        <v>4.5999999999999996</v>
      </c>
      <c r="E19">
        <v>0</v>
      </c>
      <c r="F19">
        <v>3.24</v>
      </c>
      <c r="G19">
        <v>0</v>
      </c>
      <c r="H19">
        <v>1.204998E-2</v>
      </c>
      <c r="I19">
        <v>86.831721079999994</v>
      </c>
      <c r="J19">
        <v>86.827323691173902</v>
      </c>
      <c r="K19">
        <v>86.417379999999994</v>
      </c>
      <c r="L19">
        <v>85.420606765891193</v>
      </c>
      <c r="M19">
        <v>86.738960868328405</v>
      </c>
      <c r="N19">
        <v>86.828649761080698</v>
      </c>
      <c r="O19" s="12">
        <v>47.159959663516133</v>
      </c>
      <c r="P19" s="12">
        <v>58.293749057167446</v>
      </c>
    </row>
    <row r="20" spans="1:22" x14ac:dyDescent="0.3">
      <c r="A20">
        <v>1.6666666670000001</v>
      </c>
      <c r="B20">
        <v>4</v>
      </c>
      <c r="C20">
        <v>20</v>
      </c>
      <c r="D20">
        <v>2.2999999999999998</v>
      </c>
      <c r="E20">
        <v>1.1928234609999999</v>
      </c>
      <c r="F20">
        <v>1.08</v>
      </c>
      <c r="G20">
        <v>0.75</v>
      </c>
      <c r="H20">
        <v>4.8399999999999997E-3</v>
      </c>
      <c r="I20">
        <v>38.405573400000002</v>
      </c>
      <c r="J20">
        <v>38.399451943922202</v>
      </c>
      <c r="K20">
        <v>38.395102999999999</v>
      </c>
      <c r="L20">
        <v>35.566514655745003</v>
      </c>
      <c r="M20">
        <v>38.420250961732897</v>
      </c>
      <c r="N20">
        <v>38.506597517529997</v>
      </c>
      <c r="O20" s="12">
        <v>18.334032359132433</v>
      </c>
      <c r="P20" s="12">
        <v>26.231338084782607</v>
      </c>
    </row>
    <row r="21" spans="1:22" x14ac:dyDescent="0.3">
      <c r="A21">
        <v>1.6666666670000001</v>
      </c>
      <c r="B21">
        <v>4</v>
      </c>
      <c r="C21">
        <v>20</v>
      </c>
      <c r="D21">
        <v>17</v>
      </c>
      <c r="E21">
        <v>44.516171550000003</v>
      </c>
      <c r="F21">
        <v>1.08</v>
      </c>
      <c r="G21">
        <v>27.99</v>
      </c>
      <c r="H21">
        <v>4.8399999999999997E-3</v>
      </c>
      <c r="I21">
        <v>-4.0432285129999999</v>
      </c>
      <c r="J21">
        <v>-4.0608982690937001</v>
      </c>
      <c r="K21">
        <v>-4.1366266999999999</v>
      </c>
      <c r="L21">
        <v>-4.0267980785070296</v>
      </c>
      <c r="M21">
        <v>-4.0169281339354797</v>
      </c>
      <c r="N21">
        <v>-4.0344645579340002</v>
      </c>
      <c r="O21" s="12">
        <v>-5.3159001041643208</v>
      </c>
      <c r="P21" s="12">
        <v>-5.3532175945021052</v>
      </c>
    </row>
    <row r="22" spans="1:22" x14ac:dyDescent="0.3">
      <c r="A22">
        <v>1.6666666670000001</v>
      </c>
      <c r="B22">
        <v>6</v>
      </c>
      <c r="C22">
        <v>20</v>
      </c>
      <c r="D22">
        <v>13.8</v>
      </c>
      <c r="E22">
        <v>24.524450349999999</v>
      </c>
      <c r="F22">
        <v>1.08</v>
      </c>
      <c r="G22">
        <v>15.42</v>
      </c>
      <c r="H22">
        <v>4.8400200000000004E-3</v>
      </c>
      <c r="I22">
        <v>-1.1155772479999999</v>
      </c>
      <c r="J22">
        <v>-1.15422333060761</v>
      </c>
      <c r="K22">
        <v>-1.5890508999999999</v>
      </c>
      <c r="L22">
        <v>-1.2387538090713099</v>
      </c>
      <c r="M22">
        <v>-1.2410544888302499</v>
      </c>
      <c r="N22">
        <v>-1.17072967197333</v>
      </c>
      <c r="O22" s="12">
        <v>-1.9150271935585295</v>
      </c>
      <c r="P22" s="12">
        <v>-5.302131237743362</v>
      </c>
    </row>
    <row r="23" spans="1:22" x14ac:dyDescent="0.3">
      <c r="A23">
        <v>1</v>
      </c>
      <c r="B23">
        <v>6</v>
      </c>
      <c r="C23">
        <v>20</v>
      </c>
      <c r="D23">
        <v>14</v>
      </c>
      <c r="E23">
        <v>19.228314189999999</v>
      </c>
      <c r="F23">
        <v>7.0444000000000004</v>
      </c>
      <c r="G23">
        <v>12.09</v>
      </c>
      <c r="H23">
        <v>7.5770400000000002E-3</v>
      </c>
      <c r="I23">
        <v>-0.27178638300000002</v>
      </c>
      <c r="J23">
        <v>-0.28784322789176497</v>
      </c>
      <c r="K23">
        <v>-0.12107279</v>
      </c>
      <c r="L23">
        <v>-0.34716594207395002</v>
      </c>
      <c r="M23">
        <v>-0.29204413803875701</v>
      </c>
      <c r="N23">
        <v>-0.28423044548800103</v>
      </c>
      <c r="O23" s="12">
        <v>-2.3112576408814824</v>
      </c>
      <c r="P23" s="12">
        <v>-7.1472955998583743</v>
      </c>
    </row>
    <row r="24" spans="1:22" x14ac:dyDescent="0.3">
      <c r="A24">
        <v>0.6</v>
      </c>
      <c r="B24">
        <v>1</v>
      </c>
      <c r="C24">
        <v>40</v>
      </c>
      <c r="D24">
        <v>23.4</v>
      </c>
      <c r="E24">
        <v>14.80691522</v>
      </c>
      <c r="F24">
        <v>3.76</v>
      </c>
      <c r="G24">
        <v>9.31</v>
      </c>
      <c r="H24">
        <v>9.2599999999999991E-3</v>
      </c>
      <c r="I24">
        <v>0.38197231199999998</v>
      </c>
      <c r="J24">
        <v>0.39493809509167299</v>
      </c>
      <c r="K24">
        <v>0.38548088000000003</v>
      </c>
      <c r="L24">
        <v>0.44046463853248902</v>
      </c>
      <c r="M24">
        <v>0.30812679709376301</v>
      </c>
      <c r="N24">
        <v>0.396424091676499</v>
      </c>
      <c r="O24" s="12">
        <v>-6.9800134110159711</v>
      </c>
      <c r="P24" s="12">
        <v>-4.7295989907201488</v>
      </c>
    </row>
    <row r="25" spans="1:22" x14ac:dyDescent="0.3">
      <c r="A25">
        <v>0.6</v>
      </c>
      <c r="B25">
        <v>4</v>
      </c>
      <c r="C25">
        <v>15</v>
      </c>
      <c r="D25">
        <v>1.9</v>
      </c>
      <c r="E25">
        <v>0</v>
      </c>
      <c r="F25">
        <v>1.41</v>
      </c>
      <c r="G25">
        <v>0</v>
      </c>
      <c r="H25">
        <v>5.7099999999999998E-3</v>
      </c>
      <c r="I25">
        <v>31.810235769999998</v>
      </c>
      <c r="J25">
        <v>31.7950565662927</v>
      </c>
      <c r="K25">
        <v>31.797861000000001</v>
      </c>
      <c r="L25">
        <v>31.327933773389798</v>
      </c>
      <c r="M25">
        <v>31.760975323165798</v>
      </c>
      <c r="N25">
        <v>31.8102357700004</v>
      </c>
      <c r="O25" s="12">
        <v>14.729440858900368</v>
      </c>
      <c r="P25" s="12">
        <v>22.26136433194764</v>
      </c>
    </row>
    <row r="26" spans="1:22" x14ac:dyDescent="0.3">
      <c r="A26">
        <v>1.6666666670000001</v>
      </c>
      <c r="B26">
        <v>2</v>
      </c>
      <c r="C26">
        <v>60</v>
      </c>
      <c r="D26">
        <v>32.5</v>
      </c>
      <c r="E26">
        <v>13.963986650000001</v>
      </c>
      <c r="F26">
        <v>3.24</v>
      </c>
      <c r="G26">
        <v>8.7799999999999994</v>
      </c>
      <c r="H26">
        <v>1.205E-2</v>
      </c>
      <c r="I26">
        <v>0.588666358</v>
      </c>
      <c r="J26">
        <v>0.57307783391113698</v>
      </c>
      <c r="K26">
        <v>0.68691270000000004</v>
      </c>
      <c r="L26">
        <v>0.61931733490806096</v>
      </c>
      <c r="M26">
        <v>0.62464208440256697</v>
      </c>
      <c r="N26">
        <v>0.59846417166433197</v>
      </c>
      <c r="O26" s="12">
        <v>-8.3147890264419502</v>
      </c>
      <c r="P26" s="12">
        <v>13.420689680461614</v>
      </c>
    </row>
    <row r="27" spans="1:22" x14ac:dyDescent="0.3">
      <c r="A27">
        <v>1</v>
      </c>
      <c r="B27">
        <v>2</v>
      </c>
      <c r="C27">
        <v>10</v>
      </c>
      <c r="D27">
        <v>7.2</v>
      </c>
      <c r="E27">
        <v>18.305864039999999</v>
      </c>
      <c r="F27">
        <v>5.8784999999999998</v>
      </c>
      <c r="G27">
        <v>11.51</v>
      </c>
      <c r="H27">
        <v>5.5424999999999997E-3</v>
      </c>
      <c r="I27">
        <v>-0.13829327699999999</v>
      </c>
      <c r="J27">
        <v>-0.17891931424477001</v>
      </c>
      <c r="K27">
        <v>2.4383058999999999E-2</v>
      </c>
      <c r="L27">
        <v>-0.157257702326035</v>
      </c>
      <c r="M27">
        <v>-0.316755897880383</v>
      </c>
      <c r="N27">
        <v>-0.13694095835433301</v>
      </c>
      <c r="O27" s="12">
        <v>3.2089731576992531</v>
      </c>
      <c r="P27" s="12">
        <v>-1.8946186430319809</v>
      </c>
    </row>
    <row r="28" spans="1:22" x14ac:dyDescent="0.3">
      <c r="A28">
        <v>1.6666666670000001</v>
      </c>
      <c r="B28">
        <v>4</v>
      </c>
      <c r="C28">
        <v>10</v>
      </c>
      <c r="D28">
        <v>1.6</v>
      </c>
      <c r="E28">
        <v>0</v>
      </c>
      <c r="F28">
        <v>0.54</v>
      </c>
      <c r="G28">
        <v>0</v>
      </c>
      <c r="H28">
        <v>2.5500000000000002E-3</v>
      </c>
      <c r="I28">
        <v>19.93662346</v>
      </c>
      <c r="J28">
        <v>19.943375338957502</v>
      </c>
      <c r="K28">
        <v>20.053813999999999</v>
      </c>
      <c r="L28">
        <v>20.091413936863301</v>
      </c>
      <c r="M28">
        <v>20.037893873425102</v>
      </c>
      <c r="N28">
        <v>19.936623460000099</v>
      </c>
      <c r="O28" s="12">
        <v>10.773746997256698</v>
      </c>
      <c r="P28" s="12">
        <v>10.85901253336894</v>
      </c>
    </row>
    <row r="29" spans="1:22" x14ac:dyDescent="0.3">
      <c r="A29">
        <v>0.6</v>
      </c>
      <c r="B29">
        <v>4</v>
      </c>
      <c r="C29">
        <v>60</v>
      </c>
      <c r="D29">
        <v>9.1999999999999993</v>
      </c>
      <c r="E29">
        <v>0.28274333899999998</v>
      </c>
      <c r="F29">
        <v>5.64</v>
      </c>
      <c r="G29">
        <v>0.4</v>
      </c>
      <c r="H29">
        <v>1.379E-2</v>
      </c>
      <c r="I29">
        <v>21.67812185</v>
      </c>
      <c r="J29">
        <v>21.695586243162701</v>
      </c>
      <c r="K29">
        <v>22.180515</v>
      </c>
      <c r="L29">
        <v>22.633611047879999</v>
      </c>
      <c r="M29">
        <v>21.703120346314801</v>
      </c>
      <c r="N29">
        <v>21.645655574366</v>
      </c>
      <c r="O29" s="12">
        <v>37.608402620359328</v>
      </c>
      <c r="P29" s="12">
        <v>27.707496122475177</v>
      </c>
    </row>
    <row r="30" spans="1:22" x14ac:dyDescent="0.3">
      <c r="A30">
        <v>1.6666666670000001</v>
      </c>
      <c r="B30">
        <v>1</v>
      </c>
      <c r="C30">
        <v>40</v>
      </c>
      <c r="D30">
        <v>3.9</v>
      </c>
      <c r="E30">
        <v>0</v>
      </c>
      <c r="F30">
        <v>2.16</v>
      </c>
      <c r="G30">
        <v>0</v>
      </c>
      <c r="H30">
        <v>8.7799999999999996E-3</v>
      </c>
      <c r="I30">
        <v>53.688632269999999</v>
      </c>
      <c r="J30">
        <v>53.6811058173014</v>
      </c>
      <c r="K30">
        <v>53.335827000000002</v>
      </c>
      <c r="L30">
        <v>53.643581200926398</v>
      </c>
      <c r="M30">
        <v>53.755695801654298</v>
      </c>
      <c r="N30">
        <v>53.653951261660197</v>
      </c>
      <c r="O30" s="12">
        <v>32.132526307471252</v>
      </c>
      <c r="P30" s="12">
        <v>46.026853835615782</v>
      </c>
    </row>
    <row r="31" spans="1:22" x14ac:dyDescent="0.3">
      <c r="A31">
        <v>0.6</v>
      </c>
      <c r="B31">
        <v>4</v>
      </c>
      <c r="C31">
        <v>40</v>
      </c>
      <c r="D31">
        <v>3.9</v>
      </c>
      <c r="E31">
        <v>0</v>
      </c>
      <c r="F31">
        <v>3.76</v>
      </c>
      <c r="G31">
        <v>0</v>
      </c>
      <c r="H31">
        <v>9.2599999999999991E-3</v>
      </c>
      <c r="I31">
        <v>53.688632269999999</v>
      </c>
      <c r="J31">
        <v>53.7172729034775</v>
      </c>
      <c r="K31">
        <v>53.795439999999999</v>
      </c>
      <c r="L31">
        <v>53.668784577347502</v>
      </c>
      <c r="M31">
        <v>53.725164972137399</v>
      </c>
      <c r="N31">
        <v>53.688632270000198</v>
      </c>
      <c r="O31" s="12">
        <v>30.98892853350241</v>
      </c>
      <c r="P31" s="12">
        <v>41.672008550715177</v>
      </c>
    </row>
    <row r="32" spans="1:22" x14ac:dyDescent="0.3">
      <c r="A32">
        <v>1</v>
      </c>
      <c r="B32">
        <v>1</v>
      </c>
      <c r="C32">
        <v>40</v>
      </c>
      <c r="D32">
        <v>4.0999999999999996</v>
      </c>
      <c r="E32">
        <v>0</v>
      </c>
      <c r="F32">
        <v>7.9885999999999999</v>
      </c>
      <c r="G32">
        <v>0</v>
      </c>
      <c r="H32">
        <v>1.0389860000000001E-2</v>
      </c>
      <c r="I32">
        <v>49.816643599999999</v>
      </c>
      <c r="J32">
        <v>49.787120091844798</v>
      </c>
      <c r="K32">
        <v>49.897117999999999</v>
      </c>
      <c r="L32">
        <v>50.410559900778601</v>
      </c>
      <c r="M32">
        <v>49.957265293548602</v>
      </c>
      <c r="N32">
        <v>49.796737416169897</v>
      </c>
      <c r="O32" s="12">
        <v>31.753061809638066</v>
      </c>
      <c r="P32" s="12">
        <v>45.910948524639295</v>
      </c>
    </row>
    <row r="33" spans="1:16" x14ac:dyDescent="0.3">
      <c r="A33">
        <v>0.6</v>
      </c>
      <c r="B33">
        <v>1</v>
      </c>
      <c r="C33">
        <v>15</v>
      </c>
      <c r="D33">
        <v>7.6</v>
      </c>
      <c r="E33">
        <v>5.4074663550000004</v>
      </c>
      <c r="F33">
        <v>1.41</v>
      </c>
      <c r="G33">
        <v>3.4</v>
      </c>
      <c r="H33">
        <v>5.7099999999999998E-3</v>
      </c>
      <c r="I33">
        <v>1.7908950480000001</v>
      </c>
      <c r="J33">
        <v>1.78023108534535</v>
      </c>
      <c r="K33">
        <v>1.8229271</v>
      </c>
      <c r="L33">
        <v>1.9819651801281799</v>
      </c>
      <c r="M33">
        <v>1.7599934428339501</v>
      </c>
      <c r="N33">
        <v>1.8126524860303901</v>
      </c>
      <c r="O33" s="12">
        <v>3.8895147745188727</v>
      </c>
      <c r="P33" s="12">
        <v>-0.58340343217748925</v>
      </c>
    </row>
    <row r="34" spans="1:16" x14ac:dyDescent="0.3">
      <c r="A34">
        <v>0.6</v>
      </c>
      <c r="B34">
        <v>1</v>
      </c>
      <c r="C34">
        <v>40</v>
      </c>
      <c r="D34">
        <v>7.8</v>
      </c>
      <c r="E34">
        <v>0.94719018499999996</v>
      </c>
      <c r="F34">
        <v>3.76</v>
      </c>
      <c r="G34">
        <v>1.34</v>
      </c>
      <c r="H34">
        <v>9.2599999999999991E-3</v>
      </c>
      <c r="I34">
        <v>13.215319020000001</v>
      </c>
      <c r="J34">
        <v>13.2056774735214</v>
      </c>
      <c r="K34">
        <v>13.060259</v>
      </c>
      <c r="L34">
        <v>13.3599688208259</v>
      </c>
      <c r="M34">
        <v>13.2068872345925</v>
      </c>
      <c r="N34">
        <v>13.1003481490635</v>
      </c>
      <c r="O34" s="12">
        <v>23.177988979556297</v>
      </c>
      <c r="P34" s="12">
        <v>22.252787393293552</v>
      </c>
    </row>
    <row r="35" spans="1:16" x14ac:dyDescent="0.3">
      <c r="A35">
        <v>0.6</v>
      </c>
      <c r="B35">
        <v>2</v>
      </c>
      <c r="C35">
        <v>60</v>
      </c>
      <c r="D35">
        <v>9.1999999999999993</v>
      </c>
      <c r="E35">
        <v>1.574526968</v>
      </c>
      <c r="F35">
        <v>5.64</v>
      </c>
      <c r="G35">
        <v>0.99</v>
      </c>
      <c r="H35">
        <v>1.379E-2</v>
      </c>
      <c r="I35">
        <v>21.52533506</v>
      </c>
      <c r="J35">
        <v>21.500066398316701</v>
      </c>
      <c r="K35">
        <v>21.349888</v>
      </c>
      <c r="L35">
        <v>20.435524547972499</v>
      </c>
      <c r="M35">
        <v>21.498398554230601</v>
      </c>
      <c r="N35">
        <v>21.486897214889801</v>
      </c>
      <c r="O35" s="12">
        <v>37.895431612922515</v>
      </c>
      <c r="P35" s="12">
        <v>33.785208513616993</v>
      </c>
    </row>
    <row r="36" spans="1:16" x14ac:dyDescent="0.3">
      <c r="A36">
        <v>1</v>
      </c>
      <c r="B36">
        <v>2</v>
      </c>
      <c r="C36">
        <v>30</v>
      </c>
      <c r="D36">
        <v>10.8</v>
      </c>
      <c r="E36">
        <v>7.7613046509999997</v>
      </c>
      <c r="F36">
        <v>7.6656000000000004</v>
      </c>
      <c r="G36">
        <v>4.88</v>
      </c>
      <c r="H36">
        <v>9.1083599999999994E-3</v>
      </c>
      <c r="I36">
        <v>3.2130864840000002</v>
      </c>
      <c r="J36">
        <v>3.2539374924614899</v>
      </c>
      <c r="K36">
        <v>3.3085947</v>
      </c>
      <c r="L36">
        <v>3.25755212421894</v>
      </c>
      <c r="M36">
        <v>3.2743251409319201</v>
      </c>
      <c r="N36">
        <v>3.2212289723517902</v>
      </c>
      <c r="O36" s="12">
        <v>10.946139878736503</v>
      </c>
      <c r="P36" s="12">
        <v>6.1079535262580222</v>
      </c>
    </row>
    <row r="37" spans="1:16" x14ac:dyDescent="0.3">
      <c r="A37">
        <v>1</v>
      </c>
      <c r="B37">
        <v>2</v>
      </c>
      <c r="C37">
        <v>20</v>
      </c>
      <c r="D37">
        <v>5.6</v>
      </c>
      <c r="E37">
        <v>4.0237911410000002</v>
      </c>
      <c r="F37">
        <v>7.0444000000000004</v>
      </c>
      <c r="G37">
        <v>2.5299999999999998</v>
      </c>
      <c r="H37">
        <v>7.5770400000000002E-3</v>
      </c>
      <c r="I37">
        <v>6.3091121550000002</v>
      </c>
      <c r="J37">
        <v>6.2712140533667302</v>
      </c>
      <c r="K37">
        <v>6.2408413999999999</v>
      </c>
      <c r="L37">
        <v>6.4766884359144603</v>
      </c>
      <c r="M37">
        <v>6.3235779656743398</v>
      </c>
      <c r="N37">
        <v>6.3318328306033997</v>
      </c>
      <c r="O37" s="12">
        <v>12.874922355007779</v>
      </c>
      <c r="P37" s="12">
        <v>13.824733561408941</v>
      </c>
    </row>
    <row r="38" spans="1:16" x14ac:dyDescent="0.3">
      <c r="A38">
        <v>0.6</v>
      </c>
      <c r="B38">
        <v>1</v>
      </c>
      <c r="C38">
        <v>20</v>
      </c>
      <c r="D38">
        <v>4.5999999999999996</v>
      </c>
      <c r="E38">
        <v>1.5268140299999999</v>
      </c>
      <c r="F38">
        <v>1.88</v>
      </c>
      <c r="G38">
        <v>0.96</v>
      </c>
      <c r="H38">
        <v>6.9699999999999996E-3</v>
      </c>
      <c r="I38">
        <v>9.5716594500000003</v>
      </c>
      <c r="J38">
        <v>9.6184554188326601</v>
      </c>
      <c r="K38">
        <v>10.423064</v>
      </c>
      <c r="L38">
        <v>11.702610331037</v>
      </c>
      <c r="M38">
        <v>9.6153811699902807</v>
      </c>
      <c r="N38">
        <v>9.8617531849469806</v>
      </c>
      <c r="O38" s="12">
        <v>13.98175978848068</v>
      </c>
      <c r="P38" s="12">
        <v>19.585018568707838</v>
      </c>
    </row>
    <row r="39" spans="1:16" x14ac:dyDescent="0.3">
      <c r="A39">
        <v>1.6666666670000001</v>
      </c>
      <c r="B39">
        <v>6</v>
      </c>
      <c r="C39">
        <v>10</v>
      </c>
      <c r="D39">
        <v>9.6</v>
      </c>
      <c r="E39">
        <v>37.820455860000003</v>
      </c>
      <c r="F39">
        <v>0.54</v>
      </c>
      <c r="G39">
        <v>23.78</v>
      </c>
      <c r="H39">
        <v>2.5500000000000002E-3</v>
      </c>
      <c r="I39">
        <v>-2.1338590549999998</v>
      </c>
      <c r="J39">
        <v>-2.1562082819839099</v>
      </c>
      <c r="K39">
        <v>-2.2771949999999999</v>
      </c>
      <c r="L39">
        <v>-2.2200109357781099</v>
      </c>
      <c r="M39">
        <v>-2.2075282496763</v>
      </c>
      <c r="N39">
        <v>-2.148657015605</v>
      </c>
      <c r="O39" s="12">
        <v>6.364117525616475E-2</v>
      </c>
      <c r="P39" s="12">
        <v>1.2067059503210245</v>
      </c>
    </row>
    <row r="40" spans="1:16" x14ac:dyDescent="0.3">
      <c r="A40">
        <v>0.6</v>
      </c>
      <c r="B40">
        <v>6</v>
      </c>
      <c r="C40">
        <v>10</v>
      </c>
      <c r="D40">
        <v>6.4</v>
      </c>
      <c r="E40">
        <v>17.431126840000001</v>
      </c>
      <c r="F40">
        <v>0.94</v>
      </c>
      <c r="G40">
        <v>10.96</v>
      </c>
      <c r="H40">
        <v>4.00002E-3</v>
      </c>
      <c r="I40">
        <v>-3.8517822E-2</v>
      </c>
      <c r="J40">
        <v>-4.1324259524681703E-2</v>
      </c>
      <c r="K40">
        <v>-0.16745508000000001</v>
      </c>
      <c r="L40">
        <v>-3.7941753092631397E-2</v>
      </c>
      <c r="M40">
        <v>-0.11037816205286401</v>
      </c>
      <c r="N40">
        <v>-3.8605415053999698E-2</v>
      </c>
      <c r="O40" s="12">
        <v>3.2492276932393347</v>
      </c>
      <c r="P40" s="12">
        <v>4.9479796106444569</v>
      </c>
    </row>
    <row r="41" spans="1:16" x14ac:dyDescent="0.3">
      <c r="A41">
        <v>0.6</v>
      </c>
      <c r="B41">
        <v>4</v>
      </c>
      <c r="C41">
        <v>10</v>
      </c>
      <c r="D41">
        <v>6.4</v>
      </c>
      <c r="E41">
        <v>18.43309855</v>
      </c>
      <c r="F41">
        <v>0.94</v>
      </c>
      <c r="G41">
        <v>11.59</v>
      </c>
      <c r="H41">
        <v>4.0000000000000001E-3</v>
      </c>
      <c r="I41">
        <v>-0.19043934200000001</v>
      </c>
      <c r="J41">
        <v>-0.16229718189185199</v>
      </c>
      <c r="K41">
        <v>-0.16745508000000001</v>
      </c>
      <c r="L41">
        <v>-0.17186747012421</v>
      </c>
      <c r="M41">
        <v>-0.16246601969975299</v>
      </c>
      <c r="N41">
        <v>-0.18721425992400001</v>
      </c>
      <c r="O41" s="12">
        <v>3.4905801118909263</v>
      </c>
      <c r="P41" s="12">
        <v>1.5153483295446648</v>
      </c>
    </row>
    <row r="42" spans="1:16" x14ac:dyDescent="0.3">
      <c r="A42">
        <v>1.6666666670000001</v>
      </c>
      <c r="B42">
        <v>4</v>
      </c>
      <c r="C42">
        <v>40</v>
      </c>
      <c r="D42">
        <v>15.6</v>
      </c>
      <c r="E42">
        <v>12.119086360000001</v>
      </c>
      <c r="F42">
        <v>2.16</v>
      </c>
      <c r="G42">
        <v>7.62</v>
      </c>
      <c r="H42">
        <v>8.7799999999999996E-3</v>
      </c>
      <c r="I42">
        <v>1.6833985899999999</v>
      </c>
      <c r="J42">
        <v>1.66622207826682</v>
      </c>
      <c r="K42">
        <v>1.7382917</v>
      </c>
      <c r="L42">
        <v>1.53044053115784</v>
      </c>
      <c r="M42">
        <v>1.83899685564171</v>
      </c>
      <c r="N42">
        <v>1.66104123737701</v>
      </c>
      <c r="O42" s="12">
        <v>9.6604500385537335</v>
      </c>
      <c r="P42" s="12">
        <v>1.1488448497384915</v>
      </c>
    </row>
    <row r="43" spans="1:16" x14ac:dyDescent="0.3">
      <c r="A43">
        <v>0.6</v>
      </c>
      <c r="B43">
        <v>2</v>
      </c>
      <c r="C43">
        <v>20</v>
      </c>
      <c r="D43">
        <v>9.1999999999999993</v>
      </c>
      <c r="E43">
        <v>13.12105807</v>
      </c>
      <c r="F43">
        <v>1.88</v>
      </c>
      <c r="G43">
        <v>8.25</v>
      </c>
      <c r="H43">
        <v>6.9699999999999996E-3</v>
      </c>
      <c r="I43">
        <v>1.0030785849999999</v>
      </c>
      <c r="J43">
        <v>0.96997253504844205</v>
      </c>
      <c r="K43">
        <v>0.80090636000000004</v>
      </c>
      <c r="L43">
        <v>0.888487859534976</v>
      </c>
      <c r="M43">
        <v>1.07772937898331</v>
      </c>
      <c r="N43">
        <v>0.98914965840450197</v>
      </c>
      <c r="O43" s="12">
        <v>6.2301102221995208</v>
      </c>
      <c r="P43" s="12">
        <v>3.2307327323734967</v>
      </c>
    </row>
    <row r="44" spans="1:16" x14ac:dyDescent="0.3">
      <c r="A44">
        <v>1.6666666670000001</v>
      </c>
      <c r="B44">
        <v>4</v>
      </c>
      <c r="C44">
        <v>15</v>
      </c>
      <c r="D44">
        <v>3.8</v>
      </c>
      <c r="E44">
        <v>4.7076765910000002</v>
      </c>
      <c r="F44">
        <v>0.81</v>
      </c>
      <c r="G44">
        <v>2.96</v>
      </c>
      <c r="H44">
        <v>3.7299999999999998E-3</v>
      </c>
      <c r="I44">
        <v>7.3545731090000004</v>
      </c>
      <c r="J44">
        <v>7.3424991235180199</v>
      </c>
      <c r="K44">
        <v>7.4042152999999997</v>
      </c>
      <c r="L44">
        <v>6.4338260775457803</v>
      </c>
      <c r="M44">
        <v>7.2028969049248497</v>
      </c>
      <c r="N44">
        <v>7.1944250201248297</v>
      </c>
      <c r="O44" s="12">
        <v>11.391896260332564</v>
      </c>
      <c r="P44" s="12">
        <v>11.458936668258403</v>
      </c>
    </row>
    <row r="45" spans="1:16" x14ac:dyDescent="0.3">
      <c r="A45">
        <v>1</v>
      </c>
      <c r="B45">
        <v>2</v>
      </c>
      <c r="C45">
        <v>20</v>
      </c>
      <c r="D45">
        <v>14</v>
      </c>
      <c r="E45">
        <v>25.112909930000001</v>
      </c>
      <c r="F45">
        <v>7.0444000000000004</v>
      </c>
      <c r="G45">
        <v>15.79</v>
      </c>
      <c r="H45">
        <v>7.5770400000000002E-3</v>
      </c>
      <c r="I45">
        <v>-1.2174162580000001</v>
      </c>
      <c r="J45">
        <v>-1.21549403828539</v>
      </c>
      <c r="K45">
        <v>-0.87595135000000002</v>
      </c>
      <c r="L45">
        <v>-1.25731809653937</v>
      </c>
      <c r="M45">
        <v>-1.25241282500326</v>
      </c>
      <c r="N45">
        <v>-1.2192238188344999</v>
      </c>
      <c r="O45" s="12">
        <v>-1.2170992260140796</v>
      </c>
      <c r="P45" s="12">
        <v>-5.1728292896512116</v>
      </c>
    </row>
    <row r="46" spans="1:16" x14ac:dyDescent="0.3">
      <c r="A46">
        <v>0.6</v>
      </c>
      <c r="B46">
        <v>2</v>
      </c>
      <c r="C46">
        <v>30</v>
      </c>
      <c r="D46">
        <v>13.2</v>
      </c>
      <c r="E46">
        <v>19.053366740000001</v>
      </c>
      <c r="F46">
        <v>2.82</v>
      </c>
      <c r="G46">
        <v>11.98</v>
      </c>
      <c r="H46">
        <v>9.2599999999999991E-3</v>
      </c>
      <c r="I46">
        <v>-0.610887917</v>
      </c>
      <c r="J46">
        <v>-0.56382660652502703</v>
      </c>
      <c r="K46">
        <v>-7.8097689999999997E-2</v>
      </c>
      <c r="L46">
        <v>-0.53509087214608997</v>
      </c>
      <c r="M46">
        <v>-0.445768883159189</v>
      </c>
      <c r="N46">
        <v>-0.619198153190333</v>
      </c>
      <c r="O46" s="12">
        <v>7.6717648788542352</v>
      </c>
      <c r="P46" s="12">
        <v>4.5077629529369574</v>
      </c>
    </row>
    <row r="47" spans="1:16" x14ac:dyDescent="0.3">
      <c r="A47">
        <v>0.6</v>
      </c>
      <c r="B47">
        <v>4</v>
      </c>
      <c r="C47">
        <v>60</v>
      </c>
      <c r="D47">
        <v>4.5999999999999996</v>
      </c>
      <c r="E47">
        <v>0</v>
      </c>
      <c r="F47">
        <v>5.64</v>
      </c>
      <c r="G47">
        <v>0</v>
      </c>
      <c r="H47">
        <v>1.379E-2</v>
      </c>
      <c r="I47">
        <v>86.831721079999994</v>
      </c>
      <c r="J47">
        <v>86.823312903600296</v>
      </c>
      <c r="K47">
        <v>86.63785</v>
      </c>
      <c r="L47">
        <v>86.626663294969106</v>
      </c>
      <c r="M47">
        <v>86.848841916295001</v>
      </c>
      <c r="N47">
        <v>86.831721080000705</v>
      </c>
      <c r="O47" s="12">
        <v>47.100509616019394</v>
      </c>
      <c r="P47" s="12">
        <v>54.258308634450671</v>
      </c>
    </row>
    <row r="48" spans="1:16" x14ac:dyDescent="0.3">
      <c r="A48">
        <v>1</v>
      </c>
      <c r="B48">
        <v>4</v>
      </c>
      <c r="C48">
        <v>30</v>
      </c>
      <c r="D48">
        <v>25.5</v>
      </c>
      <c r="E48">
        <v>30.838462539999998</v>
      </c>
      <c r="F48">
        <v>7.6656000000000004</v>
      </c>
      <c r="G48">
        <v>19.39</v>
      </c>
      <c r="H48">
        <v>9.1083599999999994E-3</v>
      </c>
      <c r="I48">
        <v>-1.61303051</v>
      </c>
      <c r="J48">
        <v>-1.6194643440732599</v>
      </c>
      <c r="K48">
        <v>-1.6240053000000001</v>
      </c>
      <c r="L48">
        <v>-1.77561457293991</v>
      </c>
      <c r="M48">
        <v>-1.62497893772216</v>
      </c>
      <c r="N48">
        <v>-1.696894263713</v>
      </c>
      <c r="O48" s="12">
        <v>-15.977222650854998</v>
      </c>
      <c r="P48" s="12">
        <v>-7.8111219350320695</v>
      </c>
    </row>
    <row r="49" spans="1:16" x14ac:dyDescent="0.3">
      <c r="A49">
        <v>0.6</v>
      </c>
      <c r="B49">
        <v>6</v>
      </c>
      <c r="C49">
        <v>10</v>
      </c>
      <c r="D49">
        <v>4.8</v>
      </c>
      <c r="E49">
        <v>10.926262899999999</v>
      </c>
      <c r="F49">
        <v>0.94</v>
      </c>
      <c r="G49">
        <v>6.87</v>
      </c>
      <c r="H49">
        <v>4.00002E-3</v>
      </c>
      <c r="I49">
        <v>1.3179103839999999</v>
      </c>
      <c r="J49">
        <v>1.31778981623542</v>
      </c>
      <c r="K49">
        <v>1.4070431999999999</v>
      </c>
      <c r="L49">
        <v>1.3343573755910301</v>
      </c>
      <c r="M49">
        <v>1.35774588338673</v>
      </c>
      <c r="N49">
        <v>1.3265259088229999</v>
      </c>
      <c r="O49" s="12">
        <v>5.5414377486026343</v>
      </c>
      <c r="P49" s="12">
        <v>8.3047653301883493</v>
      </c>
    </row>
    <row r="50" spans="1:16" x14ac:dyDescent="0.3">
      <c r="A50">
        <v>1.6666666670000001</v>
      </c>
      <c r="B50">
        <v>1</v>
      </c>
      <c r="C50">
        <v>20</v>
      </c>
      <c r="D50">
        <v>4.5999999999999996</v>
      </c>
      <c r="E50">
        <v>2.115273604</v>
      </c>
      <c r="F50">
        <v>1.08</v>
      </c>
      <c r="G50">
        <v>1.33</v>
      </c>
      <c r="H50">
        <v>4.8399999999999997E-3</v>
      </c>
      <c r="I50">
        <v>9.501502018</v>
      </c>
      <c r="J50">
        <v>9.4852574719232496</v>
      </c>
      <c r="K50">
        <v>9.2705260000000003</v>
      </c>
      <c r="L50">
        <v>9.6448542549176999</v>
      </c>
      <c r="M50">
        <v>9.4671205552053497</v>
      </c>
      <c r="N50">
        <v>9.6089094196742106</v>
      </c>
      <c r="O50" s="12">
        <v>13.836292301417123</v>
      </c>
      <c r="P50" s="12">
        <v>17.870704023807612</v>
      </c>
    </row>
    <row r="51" spans="1:16" x14ac:dyDescent="0.3">
      <c r="A51">
        <v>1</v>
      </c>
      <c r="B51">
        <v>2</v>
      </c>
      <c r="C51">
        <v>30</v>
      </c>
      <c r="D51">
        <v>21.6</v>
      </c>
      <c r="E51">
        <v>26.25802045</v>
      </c>
      <c r="F51">
        <v>7.6656000000000004</v>
      </c>
      <c r="G51">
        <v>16.510000000000002</v>
      </c>
      <c r="H51">
        <v>9.1083599999999994E-3</v>
      </c>
      <c r="I51">
        <v>-1.352229618</v>
      </c>
      <c r="J51">
        <v>-1.3851160576716799</v>
      </c>
      <c r="K51">
        <v>-1.4729201000000001</v>
      </c>
      <c r="L51">
        <v>-1.4496473726160399</v>
      </c>
      <c r="M51">
        <v>-1.3886366243849599</v>
      </c>
      <c r="N51">
        <v>-1.4064675444265</v>
      </c>
      <c r="O51" s="12">
        <v>-8.5299793619079942</v>
      </c>
      <c r="P51" s="12">
        <v>-7.0321779628081273</v>
      </c>
    </row>
    <row r="52" spans="1:16" x14ac:dyDescent="0.3">
      <c r="A52">
        <v>1</v>
      </c>
      <c r="B52">
        <v>6</v>
      </c>
      <c r="C52">
        <v>30</v>
      </c>
      <c r="D52">
        <v>21.6</v>
      </c>
      <c r="E52">
        <v>16.476868069999998</v>
      </c>
      <c r="F52">
        <v>7.6656000000000004</v>
      </c>
      <c r="G52">
        <v>10.36</v>
      </c>
      <c r="H52">
        <v>9.1083599999999994E-3</v>
      </c>
      <c r="I52">
        <v>7.9630390999999995E-2</v>
      </c>
      <c r="J52">
        <v>7.4007223510140899E-2</v>
      </c>
      <c r="K52">
        <v>-1.5941246999999999E-2</v>
      </c>
      <c r="L52">
        <v>0.117331243755789</v>
      </c>
      <c r="M52">
        <v>-5.8001453713449804E-3</v>
      </c>
      <c r="N52">
        <v>8.0900926403999707E-2</v>
      </c>
      <c r="O52" s="12">
        <v>-10.23806788795893</v>
      </c>
      <c r="P52" s="12">
        <v>-12.066474921971739</v>
      </c>
    </row>
    <row r="53" spans="1:16" x14ac:dyDescent="0.3">
      <c r="A53">
        <v>0.6</v>
      </c>
      <c r="B53">
        <v>1</v>
      </c>
      <c r="C53">
        <v>10</v>
      </c>
      <c r="D53">
        <v>9.6</v>
      </c>
      <c r="E53">
        <v>29.534308889999998</v>
      </c>
      <c r="F53">
        <v>0.94</v>
      </c>
      <c r="G53">
        <v>18.57</v>
      </c>
      <c r="H53">
        <v>4.0000000000000001E-3</v>
      </c>
      <c r="I53">
        <v>-1.085184283</v>
      </c>
      <c r="J53">
        <v>-1.05884927419196</v>
      </c>
      <c r="K53">
        <v>-1.2327882999999999</v>
      </c>
      <c r="L53">
        <v>-1.1425877649377101</v>
      </c>
      <c r="M53">
        <v>-1.1172876523917801</v>
      </c>
      <c r="N53">
        <v>-1.0909751687089899</v>
      </c>
      <c r="O53" s="12">
        <v>-1.2692914701959248</v>
      </c>
      <c r="P53" s="12">
        <v>-0.86973508133048938</v>
      </c>
    </row>
    <row r="54" spans="1:16" x14ac:dyDescent="0.3">
      <c r="A54">
        <v>0.6</v>
      </c>
      <c r="B54">
        <v>1</v>
      </c>
      <c r="C54">
        <v>40</v>
      </c>
      <c r="D54">
        <v>19.5</v>
      </c>
      <c r="E54">
        <v>9.5107790600000008</v>
      </c>
      <c r="F54">
        <v>3.76</v>
      </c>
      <c r="G54">
        <v>5.98</v>
      </c>
      <c r="H54">
        <v>9.2599999999999991E-3</v>
      </c>
      <c r="I54">
        <v>1.488454451</v>
      </c>
      <c r="J54">
        <v>1.5165989770909001</v>
      </c>
      <c r="K54">
        <v>1.6824132000000001</v>
      </c>
      <c r="L54">
        <v>1.73894922398936</v>
      </c>
      <c r="M54">
        <v>1.53309568148599</v>
      </c>
      <c r="N54">
        <v>1.56460087834587</v>
      </c>
      <c r="O54" s="12">
        <v>0.27096787778824805</v>
      </c>
      <c r="P54" s="12">
        <v>-4.6668269738030119</v>
      </c>
    </row>
    <row r="55" spans="1:16" x14ac:dyDescent="0.3">
      <c r="A55">
        <v>0.6</v>
      </c>
      <c r="B55">
        <v>4</v>
      </c>
      <c r="C55">
        <v>15</v>
      </c>
      <c r="D55">
        <v>7.6</v>
      </c>
      <c r="E55">
        <v>12.07137342</v>
      </c>
      <c r="F55">
        <v>1.41</v>
      </c>
      <c r="G55">
        <v>7.59</v>
      </c>
      <c r="H55">
        <v>5.7099999999999998E-3</v>
      </c>
      <c r="I55">
        <v>1.0051906260000001</v>
      </c>
      <c r="J55">
        <v>1.0179450397910701</v>
      </c>
      <c r="K55">
        <v>1.1313959</v>
      </c>
      <c r="L55">
        <v>1.0957175661935099</v>
      </c>
      <c r="M55">
        <v>1.0114056298176699</v>
      </c>
      <c r="N55">
        <v>1.0440166203543499</v>
      </c>
      <c r="O55" s="12">
        <v>4.8142115641261176</v>
      </c>
      <c r="P55" s="12">
        <v>0.53760713944276439</v>
      </c>
    </row>
    <row r="56" spans="1:16" x14ac:dyDescent="0.3">
      <c r="A56">
        <v>0.6</v>
      </c>
      <c r="B56">
        <v>4</v>
      </c>
      <c r="C56">
        <v>10</v>
      </c>
      <c r="D56">
        <v>4.8</v>
      </c>
      <c r="E56">
        <v>10.4332292</v>
      </c>
      <c r="F56">
        <v>0.94</v>
      </c>
      <c r="G56">
        <v>6.56</v>
      </c>
      <c r="H56">
        <v>4.0000000000000001E-3</v>
      </c>
      <c r="I56">
        <v>1.3970597389999999</v>
      </c>
      <c r="J56">
        <v>1.3831585352282101</v>
      </c>
      <c r="K56">
        <v>1.4070431999999999</v>
      </c>
      <c r="L56">
        <v>1.44881002894648</v>
      </c>
      <c r="M56">
        <v>1.36956568995104</v>
      </c>
      <c r="N56">
        <v>1.401589543739</v>
      </c>
      <c r="O56" s="12">
        <v>5.5472414707052451</v>
      </c>
      <c r="P56" s="12">
        <v>3.6388827864811191</v>
      </c>
    </row>
    <row r="57" spans="1:16" x14ac:dyDescent="0.3">
      <c r="A57">
        <v>1</v>
      </c>
      <c r="B57">
        <v>4</v>
      </c>
      <c r="C57">
        <v>60</v>
      </c>
      <c r="D57">
        <v>18.8</v>
      </c>
      <c r="E57">
        <v>1.6699528450000001</v>
      </c>
      <c r="F57">
        <v>7.9885999999999999</v>
      </c>
      <c r="G57">
        <v>1.05</v>
      </c>
      <c r="H57">
        <v>1.2535040000000001E-2</v>
      </c>
      <c r="I57">
        <v>5.2805623309999996</v>
      </c>
      <c r="J57">
        <v>5.3016479790039703</v>
      </c>
      <c r="K57">
        <v>5.3586819999999999</v>
      </c>
      <c r="L57">
        <v>7.1009278513474001</v>
      </c>
      <c r="M57">
        <v>5.3444867842709298</v>
      </c>
      <c r="N57">
        <v>5.4196109975660303</v>
      </c>
      <c r="O57" s="12">
        <v>17.342869377272052</v>
      </c>
      <c r="P57" s="12">
        <v>-0.80317846305350571</v>
      </c>
    </row>
    <row r="58" spans="1:16" x14ac:dyDescent="0.3">
      <c r="A58">
        <v>1</v>
      </c>
      <c r="B58">
        <v>6</v>
      </c>
      <c r="C58">
        <v>10</v>
      </c>
      <c r="D58">
        <v>9</v>
      </c>
      <c r="E58">
        <v>37.041144529999997</v>
      </c>
      <c r="F58">
        <v>5.8784999999999998</v>
      </c>
      <c r="G58">
        <v>23.29</v>
      </c>
      <c r="H58">
        <v>5.5424999999999997E-3</v>
      </c>
      <c r="I58">
        <v>-2.3618366659999999</v>
      </c>
      <c r="J58">
        <v>-2.3387881612335502</v>
      </c>
      <c r="K58">
        <v>-2.1468506000000001</v>
      </c>
      <c r="L58">
        <v>-2.25110949305608</v>
      </c>
      <c r="M58">
        <v>-2.3482064213060898</v>
      </c>
      <c r="N58">
        <v>-2.3079958993954999</v>
      </c>
      <c r="O58" s="12">
        <v>2.2621160608008153</v>
      </c>
      <c r="P58" s="12">
        <v>5.4803810818501919</v>
      </c>
    </row>
    <row r="59" spans="1:16" x14ac:dyDescent="0.3">
      <c r="A59">
        <v>0.6</v>
      </c>
      <c r="B59">
        <v>1</v>
      </c>
      <c r="C59">
        <v>10</v>
      </c>
      <c r="D59">
        <v>6.4</v>
      </c>
      <c r="E59">
        <v>16.683624139999999</v>
      </c>
      <c r="F59">
        <v>0.94</v>
      </c>
      <c r="G59">
        <v>10.49</v>
      </c>
      <c r="H59">
        <v>4.0000000000000001E-3</v>
      </c>
      <c r="I59">
        <v>6.9291757999999995E-2</v>
      </c>
      <c r="J59">
        <v>3.79523594317554E-2</v>
      </c>
      <c r="K59">
        <v>-1.9605668E-2</v>
      </c>
      <c r="L59">
        <v>6.4795558854736396E-2</v>
      </c>
      <c r="M59">
        <v>5.7525198700884198E-2</v>
      </c>
      <c r="N59">
        <v>6.8875317534666206E-2</v>
      </c>
      <c r="O59" s="12">
        <v>3.340187012705107</v>
      </c>
      <c r="P59" s="12">
        <v>4.8681049090767345</v>
      </c>
    </row>
    <row r="60" spans="1:16" x14ac:dyDescent="0.3">
      <c r="A60">
        <v>1.6666666670000001</v>
      </c>
      <c r="B60">
        <v>4</v>
      </c>
      <c r="C60">
        <v>40</v>
      </c>
      <c r="D60">
        <v>3.9</v>
      </c>
      <c r="E60">
        <v>0.95425876899999995</v>
      </c>
      <c r="F60">
        <v>2.16</v>
      </c>
      <c r="G60">
        <v>0.6</v>
      </c>
      <c r="H60">
        <v>8.7799999999999996E-3</v>
      </c>
      <c r="I60">
        <v>53.52275556</v>
      </c>
      <c r="J60">
        <v>53.530932114424097</v>
      </c>
      <c r="K60">
        <v>53.583537999999997</v>
      </c>
      <c r="L60">
        <v>53.176351498462999</v>
      </c>
      <c r="M60">
        <v>53.515839937807598</v>
      </c>
      <c r="N60">
        <v>53.527002464600201</v>
      </c>
      <c r="O60" s="12">
        <v>32.157627547202921</v>
      </c>
      <c r="P60" s="12">
        <v>42.171967297903052</v>
      </c>
    </row>
    <row r="61" spans="1:16" x14ac:dyDescent="0.3">
      <c r="A61">
        <v>1.6666666670000001</v>
      </c>
      <c r="B61">
        <v>4</v>
      </c>
      <c r="C61">
        <v>10</v>
      </c>
      <c r="D61">
        <v>6.4</v>
      </c>
      <c r="E61">
        <v>19.085175370000002</v>
      </c>
      <c r="F61">
        <v>0.54</v>
      </c>
      <c r="G61">
        <v>12</v>
      </c>
      <c r="H61">
        <v>2.5500000000000002E-3</v>
      </c>
      <c r="I61">
        <v>-0.29386874000000002</v>
      </c>
      <c r="J61">
        <v>-0.32363324603528298</v>
      </c>
      <c r="K61">
        <v>-0.27086502000000001</v>
      </c>
      <c r="L61">
        <v>-0.36974679362526103</v>
      </c>
      <c r="M61">
        <v>-0.369088221495527</v>
      </c>
      <c r="N61">
        <v>-0.29457224960733203</v>
      </c>
      <c r="O61" s="12">
        <v>3.8294592264533871</v>
      </c>
      <c r="P61" s="12">
        <v>-0.90520748912085347</v>
      </c>
    </row>
    <row r="62" spans="1:16" x14ac:dyDescent="0.3">
      <c r="A62">
        <v>0.6</v>
      </c>
      <c r="B62">
        <v>1</v>
      </c>
      <c r="C62">
        <v>20</v>
      </c>
      <c r="D62">
        <v>11.5</v>
      </c>
      <c r="E62">
        <v>7.1251321379999997</v>
      </c>
      <c r="F62">
        <v>1.88</v>
      </c>
      <c r="G62">
        <v>4.4800000000000004</v>
      </c>
      <c r="H62">
        <v>6.9699999999999996E-3</v>
      </c>
      <c r="I62">
        <v>1.2777786229999999</v>
      </c>
      <c r="J62">
        <v>1.2665718524359799</v>
      </c>
      <c r="K62">
        <v>1.661624</v>
      </c>
      <c r="L62">
        <v>1.9705843623035499</v>
      </c>
      <c r="M62">
        <v>1.3690523392766401</v>
      </c>
      <c r="N62">
        <v>1.3209503741635</v>
      </c>
      <c r="O62" s="12">
        <v>0.55883165977976379</v>
      </c>
      <c r="P62" s="12">
        <v>-8.5911378306398802</v>
      </c>
    </row>
    <row r="63" spans="1:16" x14ac:dyDescent="0.3">
      <c r="A63">
        <v>0.6</v>
      </c>
      <c r="B63">
        <v>6</v>
      </c>
      <c r="C63">
        <v>30</v>
      </c>
      <c r="D63">
        <v>19.8</v>
      </c>
      <c r="E63">
        <v>17.940064849999999</v>
      </c>
      <c r="F63">
        <v>2.82</v>
      </c>
      <c r="G63">
        <v>11.28</v>
      </c>
      <c r="H63">
        <v>9.2599799999999993E-3</v>
      </c>
      <c r="I63">
        <v>-0.10778186100000001</v>
      </c>
      <c r="J63">
        <v>-8.8520290034979104E-2</v>
      </c>
      <c r="K63">
        <v>-0.12926542999999999</v>
      </c>
      <c r="L63">
        <v>-0.12880860497108701</v>
      </c>
      <c r="M63">
        <v>-7.8980133532946001E-2</v>
      </c>
      <c r="N63">
        <v>-0.117192119474999</v>
      </c>
      <c r="O63" s="12">
        <v>-6.353684074817056</v>
      </c>
      <c r="P63" s="12">
        <v>-10.509502228757562</v>
      </c>
    </row>
    <row r="64" spans="1:16" x14ac:dyDescent="0.3">
      <c r="A64">
        <v>1.6666666670000001</v>
      </c>
      <c r="B64">
        <v>2</v>
      </c>
      <c r="C64">
        <v>60</v>
      </c>
      <c r="D64">
        <v>27.6</v>
      </c>
      <c r="E64">
        <v>12.08727773</v>
      </c>
      <c r="F64">
        <v>3.24</v>
      </c>
      <c r="G64">
        <v>7.6</v>
      </c>
      <c r="H64">
        <v>1.205E-2</v>
      </c>
      <c r="I64">
        <v>1.21634335</v>
      </c>
      <c r="J64">
        <v>1.2453882490220001</v>
      </c>
      <c r="K64">
        <v>1.3720505000000001</v>
      </c>
      <c r="L64">
        <v>1.3115352143455301</v>
      </c>
      <c r="M64">
        <v>1.1665103745173799</v>
      </c>
      <c r="N64">
        <v>1.23743956399032</v>
      </c>
      <c r="O64" s="12">
        <v>1.5481331711754853</v>
      </c>
      <c r="P64" s="12">
        <v>6.0985057600641781</v>
      </c>
    </row>
    <row r="65" spans="1:16" x14ac:dyDescent="0.3">
      <c r="A65">
        <v>1.6666666670000001</v>
      </c>
      <c r="B65">
        <v>2</v>
      </c>
      <c r="C65">
        <v>30</v>
      </c>
      <c r="D65">
        <v>23.1</v>
      </c>
      <c r="E65">
        <v>43.546008469999997</v>
      </c>
      <c r="F65">
        <v>1.62</v>
      </c>
      <c r="G65">
        <v>27.38</v>
      </c>
      <c r="H65">
        <v>6.9100000000000003E-3</v>
      </c>
      <c r="I65">
        <v>-4.6774985500000001</v>
      </c>
      <c r="J65">
        <v>-4.6825783130531597</v>
      </c>
      <c r="K65">
        <v>-4.1594220000000002</v>
      </c>
      <c r="L65">
        <v>-4.35580802798109</v>
      </c>
      <c r="M65">
        <v>-4.6908205984093003</v>
      </c>
      <c r="N65">
        <v>-4.5390145666269799</v>
      </c>
      <c r="O65" s="12">
        <v>-9.3692890725059605</v>
      </c>
      <c r="P65" s="12">
        <v>0.85165335895883132</v>
      </c>
    </row>
    <row r="66" spans="1:16" x14ac:dyDescent="0.3">
      <c r="A66">
        <v>0.6</v>
      </c>
      <c r="B66">
        <v>1</v>
      </c>
      <c r="C66">
        <v>15</v>
      </c>
      <c r="D66">
        <v>3.8</v>
      </c>
      <c r="E66">
        <v>0.88357293400000003</v>
      </c>
      <c r="F66">
        <v>1.41</v>
      </c>
      <c r="G66">
        <v>1.25</v>
      </c>
      <c r="H66">
        <v>5.7099999999999998E-3</v>
      </c>
      <c r="I66">
        <v>7.8459171339999996</v>
      </c>
      <c r="J66">
        <v>7.8493415446755499</v>
      </c>
      <c r="K66">
        <v>7.9847602999999996</v>
      </c>
      <c r="L66">
        <v>9.3585892644050102</v>
      </c>
      <c r="M66">
        <v>7.8675546534884599</v>
      </c>
      <c r="N66">
        <v>8.1191980648740198</v>
      </c>
      <c r="O66" s="12">
        <v>11.054849787699153</v>
      </c>
      <c r="P66" s="12">
        <v>11.756198121897716</v>
      </c>
    </row>
    <row r="67" spans="1:16" x14ac:dyDescent="0.3">
      <c r="A67">
        <v>1.6666666670000001</v>
      </c>
      <c r="B67">
        <v>2</v>
      </c>
      <c r="C67">
        <v>30</v>
      </c>
      <c r="D67">
        <v>13.2</v>
      </c>
      <c r="E67">
        <v>19.260122809999999</v>
      </c>
      <c r="F67">
        <v>1.62</v>
      </c>
      <c r="G67">
        <v>12.11</v>
      </c>
      <c r="H67">
        <v>6.9100000000000003E-3</v>
      </c>
      <c r="I67">
        <v>-0.68174233699999998</v>
      </c>
      <c r="J67">
        <v>-0.65309394685180799</v>
      </c>
      <c r="K67">
        <v>-0.93830340000000001</v>
      </c>
      <c r="L67">
        <v>-0.611115194949157</v>
      </c>
      <c r="M67">
        <v>-0.70827369747381896</v>
      </c>
      <c r="N67">
        <v>-0.64944716807333103</v>
      </c>
      <c r="O67" s="12">
        <v>7.3288381080200447</v>
      </c>
      <c r="P67" s="12">
        <v>4.6800295374890517</v>
      </c>
    </row>
    <row r="68" spans="1:16" x14ac:dyDescent="0.3">
      <c r="A68">
        <v>1</v>
      </c>
      <c r="B68">
        <v>1</v>
      </c>
      <c r="C68">
        <v>60</v>
      </c>
      <c r="D68">
        <v>4.7</v>
      </c>
      <c r="E68">
        <v>0</v>
      </c>
      <c r="F68">
        <v>7.9885999999999999</v>
      </c>
      <c r="G68">
        <v>0</v>
      </c>
      <c r="H68">
        <v>1.2535019999999999E-2</v>
      </c>
      <c r="I68">
        <v>85.296061620000003</v>
      </c>
      <c r="J68">
        <v>85.320834777470196</v>
      </c>
      <c r="K68">
        <v>86.293273999999997</v>
      </c>
      <c r="L68">
        <v>85.042535208294595</v>
      </c>
      <c r="M68">
        <v>85.1643837968859</v>
      </c>
      <c r="N68">
        <v>85.296061619999804</v>
      </c>
      <c r="O68" s="12">
        <v>46.43691222359562</v>
      </c>
      <c r="P68" s="12">
        <v>56.259967728901941</v>
      </c>
    </row>
    <row r="69" spans="1:16" x14ac:dyDescent="0.3">
      <c r="A69">
        <v>0.6</v>
      </c>
      <c r="B69">
        <v>6</v>
      </c>
      <c r="C69">
        <v>10</v>
      </c>
      <c r="D69">
        <v>9.6</v>
      </c>
      <c r="E69">
        <v>33.00144908</v>
      </c>
      <c r="F69">
        <v>0.94</v>
      </c>
      <c r="G69">
        <v>20.75</v>
      </c>
      <c r="H69">
        <v>4.00002E-3</v>
      </c>
      <c r="I69">
        <v>-1.492583027</v>
      </c>
      <c r="J69">
        <v>-1.49857730637455</v>
      </c>
      <c r="K69">
        <v>-1.7435563999999999</v>
      </c>
      <c r="L69">
        <v>-1.5610350444863701</v>
      </c>
      <c r="M69">
        <v>-1.5933070575063899</v>
      </c>
      <c r="N69">
        <v>-1.5006646414606699</v>
      </c>
      <c r="O69" s="12">
        <v>-0.93175263067828507</v>
      </c>
      <c r="P69" s="12">
        <v>0.99478012427939189</v>
      </c>
    </row>
    <row r="70" spans="1:16" x14ac:dyDescent="0.3">
      <c r="A70">
        <v>0.6</v>
      </c>
      <c r="B70">
        <v>2</v>
      </c>
      <c r="C70">
        <v>10</v>
      </c>
      <c r="D70">
        <v>1.6</v>
      </c>
      <c r="E70">
        <v>0.31101767299999999</v>
      </c>
      <c r="F70">
        <v>0.94</v>
      </c>
      <c r="G70">
        <v>0.44</v>
      </c>
      <c r="H70">
        <v>4.0000000000000001E-3</v>
      </c>
      <c r="I70">
        <v>19.903498330000001</v>
      </c>
      <c r="J70">
        <v>19.883800185923899</v>
      </c>
      <c r="K70">
        <v>19.853586</v>
      </c>
      <c r="L70">
        <v>19.969030596947398</v>
      </c>
      <c r="M70">
        <v>19.992152021299798</v>
      </c>
      <c r="N70">
        <v>19.7884861582139</v>
      </c>
      <c r="O70" s="12">
        <v>10.670109572658559</v>
      </c>
      <c r="P70" s="12">
        <v>12.412637305585541</v>
      </c>
    </row>
    <row r="71" spans="1:16" x14ac:dyDescent="0.3">
      <c r="A71">
        <v>1</v>
      </c>
      <c r="B71">
        <v>2</v>
      </c>
      <c r="C71">
        <v>40</v>
      </c>
      <c r="D71">
        <v>12.3</v>
      </c>
      <c r="E71">
        <v>6.4889596259999998</v>
      </c>
      <c r="F71">
        <v>7.9885999999999999</v>
      </c>
      <c r="G71">
        <v>4.08</v>
      </c>
      <c r="H71">
        <v>1.0389860000000001E-2</v>
      </c>
      <c r="I71">
        <v>4.7444077570000003</v>
      </c>
      <c r="J71">
        <v>4.72973415183833</v>
      </c>
      <c r="K71">
        <v>4.8613048000000001</v>
      </c>
      <c r="L71">
        <v>4.7582286544988097</v>
      </c>
      <c r="M71">
        <v>4.7496311699892901</v>
      </c>
      <c r="N71">
        <v>4.7494704147228104</v>
      </c>
      <c r="O71" s="12">
        <v>15.733569209230673</v>
      </c>
      <c r="P71" s="12">
        <v>9.5992244091625238</v>
      </c>
    </row>
    <row r="72" spans="1:16" x14ac:dyDescent="0.3">
      <c r="A72">
        <v>0.6</v>
      </c>
      <c r="B72">
        <v>6</v>
      </c>
      <c r="C72">
        <v>30</v>
      </c>
      <c r="D72">
        <v>13.2</v>
      </c>
      <c r="E72">
        <v>12.134990670000001</v>
      </c>
      <c r="F72">
        <v>2.82</v>
      </c>
      <c r="G72">
        <v>7.63</v>
      </c>
      <c r="H72">
        <v>9.2599799999999993E-3</v>
      </c>
      <c r="I72">
        <v>1.319095804</v>
      </c>
      <c r="J72">
        <v>1.31703355196895</v>
      </c>
      <c r="K72">
        <v>1.2886846000000001</v>
      </c>
      <c r="L72">
        <v>1.3099136773254201</v>
      </c>
      <c r="M72">
        <v>1.3088307884256101</v>
      </c>
      <c r="N72">
        <v>1.27236398839166</v>
      </c>
      <c r="O72" s="12">
        <v>6.4147123948658615</v>
      </c>
      <c r="P72" s="12">
        <v>1.3484541688662475</v>
      </c>
    </row>
    <row r="73" spans="1:16" x14ac:dyDescent="0.3">
      <c r="A73">
        <v>0.6</v>
      </c>
      <c r="B73">
        <v>2</v>
      </c>
      <c r="C73">
        <v>15</v>
      </c>
      <c r="D73">
        <v>5.7</v>
      </c>
      <c r="E73">
        <v>5.8686914259999998</v>
      </c>
      <c r="F73">
        <v>1.41</v>
      </c>
      <c r="G73">
        <v>3.69</v>
      </c>
      <c r="H73">
        <v>5.7099999999999998E-3</v>
      </c>
      <c r="I73">
        <v>3.1214443599999999</v>
      </c>
      <c r="J73">
        <v>3.1572487997471099</v>
      </c>
      <c r="K73">
        <v>3.0206531999999999</v>
      </c>
      <c r="L73">
        <v>3.09966930765412</v>
      </c>
      <c r="M73">
        <v>3.0835564161736899</v>
      </c>
      <c r="N73">
        <v>3.17030411538666</v>
      </c>
      <c r="O73" s="12">
        <v>7.8594876289030493</v>
      </c>
      <c r="P73" s="12">
        <v>6.6691245362261444</v>
      </c>
    </row>
    <row r="74" spans="1:16" x14ac:dyDescent="0.3">
      <c r="A74">
        <v>0.6</v>
      </c>
      <c r="B74">
        <v>4</v>
      </c>
      <c r="C74">
        <v>60</v>
      </c>
      <c r="D74">
        <v>18.399999999999999</v>
      </c>
      <c r="E74">
        <v>3.1490539360000001</v>
      </c>
      <c r="F74">
        <v>5.64</v>
      </c>
      <c r="G74">
        <v>1.98</v>
      </c>
      <c r="H74">
        <v>1.379E-2</v>
      </c>
      <c r="I74">
        <v>5.2443873559999998</v>
      </c>
      <c r="J74">
        <v>5.2264308406357802</v>
      </c>
      <c r="K74">
        <v>5.3222465999999997</v>
      </c>
      <c r="L74">
        <v>5.5097836374498401</v>
      </c>
      <c r="M74">
        <v>5.1793250466682599</v>
      </c>
      <c r="N74">
        <v>5.2658563089730004</v>
      </c>
      <c r="O74" s="12">
        <v>18.986699742031867</v>
      </c>
      <c r="P74" s="12">
        <v>3.5532667723419991</v>
      </c>
    </row>
    <row r="75" spans="1:16" x14ac:dyDescent="0.3">
      <c r="A75">
        <v>1</v>
      </c>
      <c r="B75">
        <v>6</v>
      </c>
      <c r="C75">
        <v>40</v>
      </c>
      <c r="D75">
        <v>8.1999999999999993</v>
      </c>
      <c r="E75">
        <v>2.115273604</v>
      </c>
      <c r="F75">
        <v>7.9885999999999999</v>
      </c>
      <c r="G75">
        <v>1.33</v>
      </c>
      <c r="H75">
        <v>1.0389839999999999E-2</v>
      </c>
      <c r="I75">
        <v>12.265092770000001</v>
      </c>
      <c r="J75">
        <v>12.269988841201901</v>
      </c>
      <c r="K75">
        <v>12.369415</v>
      </c>
      <c r="L75">
        <v>12.802858080877799</v>
      </c>
      <c r="M75">
        <v>12.2849060637242</v>
      </c>
      <c r="N75">
        <v>12.345685731773001</v>
      </c>
      <c r="O75" s="12">
        <v>23.377512929478481</v>
      </c>
      <c r="P75" s="12">
        <v>25.460099215978268</v>
      </c>
    </row>
    <row r="76" spans="1:16" x14ac:dyDescent="0.3">
      <c r="A76">
        <v>0.6</v>
      </c>
      <c r="B76">
        <v>1</v>
      </c>
      <c r="C76">
        <v>40</v>
      </c>
      <c r="D76">
        <v>27.7</v>
      </c>
      <c r="E76">
        <v>19.57820907</v>
      </c>
      <c r="F76">
        <v>3.76</v>
      </c>
      <c r="G76">
        <v>12.31</v>
      </c>
      <c r="H76">
        <v>9.2599999999999991E-3</v>
      </c>
      <c r="I76">
        <v>-0.31983344000000002</v>
      </c>
      <c r="J76">
        <v>-0.33467412155659898</v>
      </c>
      <c r="K76">
        <v>-0.47542392999999999</v>
      </c>
      <c r="L76">
        <v>-0.39251249842059999</v>
      </c>
      <c r="M76">
        <v>-0.357106090253271</v>
      </c>
      <c r="N76">
        <v>-0.33961257894399799</v>
      </c>
      <c r="O76" s="12">
        <v>-15.142961691293657</v>
      </c>
      <c r="P76" s="12">
        <v>-1.1082125662424573</v>
      </c>
    </row>
    <row r="77" spans="1:16" x14ac:dyDescent="0.3">
      <c r="A77">
        <v>0.6</v>
      </c>
      <c r="B77">
        <v>1</v>
      </c>
      <c r="C77">
        <v>40</v>
      </c>
      <c r="D77">
        <v>11.7</v>
      </c>
      <c r="E77">
        <v>4.2464515199999999</v>
      </c>
      <c r="F77">
        <v>3.76</v>
      </c>
      <c r="G77">
        <v>2.67</v>
      </c>
      <c r="H77">
        <v>9.2599999999999991E-3</v>
      </c>
      <c r="I77">
        <v>5.6004287430000002</v>
      </c>
      <c r="J77">
        <v>5.5915570280321001</v>
      </c>
      <c r="K77">
        <v>5.7955145999999997</v>
      </c>
      <c r="L77">
        <v>6.3739295600784001</v>
      </c>
      <c r="M77">
        <v>5.6427126943909798</v>
      </c>
      <c r="N77">
        <v>5.6453150377233303</v>
      </c>
      <c r="O77" s="12">
        <v>15.612385911423386</v>
      </c>
      <c r="P77" s="12">
        <v>12.216570691823719</v>
      </c>
    </row>
    <row r="78" spans="1:16" x14ac:dyDescent="0.3">
      <c r="A78">
        <v>1.6666666670000001</v>
      </c>
      <c r="B78">
        <v>2</v>
      </c>
      <c r="C78">
        <v>10</v>
      </c>
      <c r="D78">
        <v>1.6</v>
      </c>
      <c r="E78">
        <v>1.574526968</v>
      </c>
      <c r="F78">
        <v>0.54</v>
      </c>
      <c r="G78">
        <v>0.99</v>
      </c>
      <c r="H78">
        <v>2.5500000000000002E-3</v>
      </c>
      <c r="I78">
        <v>19.768927510000001</v>
      </c>
      <c r="J78">
        <v>19.754071934345198</v>
      </c>
      <c r="K78">
        <v>19.254166000000001</v>
      </c>
      <c r="L78">
        <v>16.8499425795831</v>
      </c>
      <c r="M78">
        <v>19.669251225981501</v>
      </c>
      <c r="N78">
        <v>19.557186779300999</v>
      </c>
      <c r="O78" s="12">
        <v>11.105324206511195</v>
      </c>
      <c r="P78" s="12">
        <v>14.051417127227667</v>
      </c>
    </row>
    <row r="79" spans="1:16" x14ac:dyDescent="0.3">
      <c r="A79">
        <v>1.6666666670000001</v>
      </c>
      <c r="B79">
        <v>6</v>
      </c>
      <c r="C79">
        <v>10</v>
      </c>
      <c r="D79">
        <v>6.4</v>
      </c>
      <c r="E79">
        <v>18.035490729999999</v>
      </c>
      <c r="F79">
        <v>0.54</v>
      </c>
      <c r="G79">
        <v>11.34</v>
      </c>
      <c r="H79">
        <v>2.5500000000000002E-3</v>
      </c>
      <c r="I79">
        <v>-0.129137113</v>
      </c>
      <c r="J79">
        <v>-0.11481180076457601</v>
      </c>
      <c r="K79">
        <v>-0.16580613999999999</v>
      </c>
      <c r="L79">
        <v>-0.12576223508638501</v>
      </c>
      <c r="M79">
        <v>-0.154847044159028</v>
      </c>
      <c r="N79">
        <v>-0.129314194847999</v>
      </c>
      <c r="O79" s="12">
        <v>3.580574645216962</v>
      </c>
      <c r="P79" s="12">
        <v>2.4946325009122616</v>
      </c>
    </row>
    <row r="80" spans="1:16" x14ac:dyDescent="0.3">
      <c r="A80">
        <v>1.6666666670000001</v>
      </c>
      <c r="B80">
        <v>4</v>
      </c>
      <c r="C80">
        <v>30</v>
      </c>
      <c r="D80">
        <v>23.5</v>
      </c>
      <c r="E80">
        <v>34.703210550000001</v>
      </c>
      <c r="F80">
        <v>1.62</v>
      </c>
      <c r="G80">
        <v>21.82</v>
      </c>
      <c r="H80">
        <v>6.9100000000000003E-3</v>
      </c>
      <c r="I80">
        <v>-2.5669048970000001</v>
      </c>
      <c r="J80">
        <v>-2.5672524239444701</v>
      </c>
      <c r="K80">
        <v>-2.9253420000000001</v>
      </c>
      <c r="L80">
        <v>-2.6982824180519902</v>
      </c>
      <c r="M80">
        <v>-2.5744348030583399</v>
      </c>
      <c r="N80">
        <v>-2.5654284746739902</v>
      </c>
      <c r="O80" s="12">
        <v>-11.675308242400867</v>
      </c>
      <c r="P80" s="12">
        <v>-6.6132230931332536</v>
      </c>
    </row>
    <row r="81" spans="1:16" x14ac:dyDescent="0.3">
      <c r="A81">
        <v>0.6</v>
      </c>
      <c r="B81">
        <v>1</v>
      </c>
      <c r="C81">
        <v>60</v>
      </c>
      <c r="D81">
        <v>23</v>
      </c>
      <c r="E81">
        <v>9.7493437519999997</v>
      </c>
      <c r="F81">
        <v>5.64</v>
      </c>
      <c r="G81">
        <v>6.13</v>
      </c>
      <c r="H81">
        <v>1.379E-2</v>
      </c>
      <c r="I81">
        <v>2.353160774</v>
      </c>
      <c r="J81">
        <v>2.34638201790876</v>
      </c>
      <c r="K81">
        <v>2.3698812</v>
      </c>
      <c r="L81">
        <v>2.1057981767495502</v>
      </c>
      <c r="M81">
        <v>2.39576700095484</v>
      </c>
      <c r="N81">
        <v>2.2986791368198598</v>
      </c>
      <c r="O81" s="12">
        <v>10.615215954054232</v>
      </c>
      <c r="P81" s="12">
        <v>7.9294998757219304</v>
      </c>
    </row>
    <row r="82" spans="1:16" x14ac:dyDescent="0.3">
      <c r="A82">
        <v>1</v>
      </c>
      <c r="B82">
        <v>2</v>
      </c>
      <c r="C82">
        <v>60</v>
      </c>
      <c r="D82">
        <v>28.2</v>
      </c>
      <c r="E82">
        <v>10.71950683</v>
      </c>
      <c r="F82">
        <v>7.9885999999999999</v>
      </c>
      <c r="G82">
        <v>6.74</v>
      </c>
      <c r="H82">
        <v>1.2535019999999999E-2</v>
      </c>
      <c r="I82">
        <v>1.445601218</v>
      </c>
      <c r="J82">
        <v>1.4191181535725701</v>
      </c>
      <c r="K82">
        <v>1.3207932</v>
      </c>
      <c r="L82">
        <v>1.4728538248912899</v>
      </c>
      <c r="M82">
        <v>1.4136027352035201</v>
      </c>
      <c r="N82">
        <v>1.4564714508221599</v>
      </c>
      <c r="O82" s="12">
        <v>-0.63577219612690428</v>
      </c>
      <c r="P82" s="12">
        <v>3.2867961660358702</v>
      </c>
    </row>
    <row r="83" spans="1:16" x14ac:dyDescent="0.3">
      <c r="A83">
        <v>1</v>
      </c>
      <c r="B83">
        <v>4</v>
      </c>
      <c r="C83">
        <v>15</v>
      </c>
      <c r="D83">
        <v>12.5</v>
      </c>
      <c r="E83">
        <v>35.387096</v>
      </c>
      <c r="F83">
        <v>6.5609999999999999</v>
      </c>
      <c r="G83">
        <v>22.25</v>
      </c>
      <c r="H83">
        <v>6.6530799999999996E-3</v>
      </c>
      <c r="I83">
        <v>-2.4485007009999999</v>
      </c>
      <c r="J83">
        <v>-2.4196188922649098</v>
      </c>
      <c r="K83">
        <v>-2.2962655999999999</v>
      </c>
      <c r="L83">
        <v>-2.4010619435478402</v>
      </c>
      <c r="M83">
        <v>-2.4176939894714899</v>
      </c>
      <c r="N83">
        <v>-2.3991557709583202</v>
      </c>
      <c r="O83" s="12">
        <v>-0.80917240664346579</v>
      </c>
      <c r="P83" s="12">
        <v>-3.3464187772232421</v>
      </c>
    </row>
    <row r="84" spans="1:16" x14ac:dyDescent="0.3">
      <c r="A84">
        <v>1</v>
      </c>
      <c r="B84">
        <v>4</v>
      </c>
      <c r="C84">
        <v>10</v>
      </c>
      <c r="D84">
        <v>10.8</v>
      </c>
      <c r="E84">
        <v>48.635388570000003</v>
      </c>
      <c r="F84">
        <v>5.8784999999999998</v>
      </c>
      <c r="G84">
        <v>30.58</v>
      </c>
      <c r="H84">
        <v>5.5425200000000004E-3</v>
      </c>
      <c r="I84">
        <v>-3.1525054809999999</v>
      </c>
      <c r="J84">
        <v>-3.1679871966900799</v>
      </c>
      <c r="K84">
        <v>-3.0947070000000001</v>
      </c>
      <c r="L84">
        <v>-3.1940604152037699</v>
      </c>
      <c r="M84">
        <v>-3.2011882251391599</v>
      </c>
      <c r="N84">
        <v>-3.1692176668939802</v>
      </c>
      <c r="O84" s="12">
        <v>0.44065070249193505</v>
      </c>
      <c r="P84" s="12">
        <v>0.29909817802474592</v>
      </c>
    </row>
    <row r="85" spans="1:16" x14ac:dyDescent="0.3">
      <c r="A85">
        <v>1.6666666670000001</v>
      </c>
      <c r="B85">
        <v>6</v>
      </c>
      <c r="C85">
        <v>30</v>
      </c>
      <c r="D85">
        <v>16.5</v>
      </c>
      <c r="E85">
        <v>13.12105807</v>
      </c>
      <c r="F85">
        <v>1.62</v>
      </c>
      <c r="G85">
        <v>8.25</v>
      </c>
      <c r="H85">
        <v>6.9100200000000002E-3</v>
      </c>
      <c r="I85">
        <v>0.70165761500000001</v>
      </c>
      <c r="J85">
        <v>0.72991516510885301</v>
      </c>
      <c r="K85">
        <v>0.55747729999999995</v>
      </c>
      <c r="L85">
        <v>0.789958822116541</v>
      </c>
      <c r="M85">
        <v>0.73725626651515697</v>
      </c>
      <c r="N85">
        <v>0.73404637211666002</v>
      </c>
      <c r="O85" s="12">
        <v>-0.64691257061972252</v>
      </c>
      <c r="P85" s="12">
        <v>-7.6264208340210793</v>
      </c>
    </row>
    <row r="86" spans="1:16" x14ac:dyDescent="0.3">
      <c r="A86">
        <v>1.6666666670000001</v>
      </c>
      <c r="B86">
        <v>6</v>
      </c>
      <c r="C86">
        <v>15</v>
      </c>
      <c r="D86">
        <v>7.6</v>
      </c>
      <c r="E86">
        <v>18.57623736</v>
      </c>
      <c r="F86">
        <v>0.81</v>
      </c>
      <c r="G86">
        <v>11.68</v>
      </c>
      <c r="H86">
        <v>3.7300200000000001E-3</v>
      </c>
      <c r="I86">
        <v>-0.33959328500000002</v>
      </c>
      <c r="J86">
        <v>-0.35209907698023202</v>
      </c>
      <c r="K86">
        <v>-0.27086502000000001</v>
      </c>
      <c r="L86">
        <v>-0.27698802365193098</v>
      </c>
      <c r="M86">
        <v>-0.324691567884826</v>
      </c>
      <c r="N86">
        <v>-0.32445436448533399</v>
      </c>
      <c r="O86" s="12">
        <v>5.615395132491841</v>
      </c>
      <c r="P86" s="12">
        <v>6.8088562752376802</v>
      </c>
    </row>
    <row r="87" spans="1:16" x14ac:dyDescent="0.3">
      <c r="A87">
        <v>1</v>
      </c>
      <c r="B87">
        <v>1</v>
      </c>
      <c r="C87">
        <v>40</v>
      </c>
      <c r="D87">
        <v>8.1999999999999993</v>
      </c>
      <c r="E87">
        <v>2.2902210439999999</v>
      </c>
      <c r="F87">
        <v>7.9885999999999999</v>
      </c>
      <c r="G87">
        <v>1.44</v>
      </c>
      <c r="H87">
        <v>1.0389860000000001E-2</v>
      </c>
      <c r="I87">
        <v>12.232525040000001</v>
      </c>
      <c r="J87">
        <v>12.262807770039601</v>
      </c>
      <c r="K87">
        <v>12.309042</v>
      </c>
      <c r="L87">
        <v>12.056508392668899</v>
      </c>
      <c r="M87">
        <v>12.288689942606799</v>
      </c>
      <c r="N87">
        <v>12.257530496271</v>
      </c>
      <c r="O87" s="12">
        <v>23.6138401100512</v>
      </c>
      <c r="P87" s="12">
        <v>26.151527081322413</v>
      </c>
    </row>
    <row r="88" spans="1:16" x14ac:dyDescent="0.3">
      <c r="A88">
        <v>0.6</v>
      </c>
      <c r="B88">
        <v>1</v>
      </c>
      <c r="C88">
        <v>60</v>
      </c>
      <c r="D88">
        <v>9.1999999999999993</v>
      </c>
      <c r="E88">
        <v>1.224632086</v>
      </c>
      <c r="F88">
        <v>5.64</v>
      </c>
      <c r="G88">
        <v>0.77</v>
      </c>
      <c r="H88">
        <v>1.379E-2</v>
      </c>
      <c r="I88">
        <v>21.59747144</v>
      </c>
      <c r="J88">
        <v>21.615856669099799</v>
      </c>
      <c r="K88">
        <v>21.296288000000001</v>
      </c>
      <c r="L88">
        <v>22.2471115518441</v>
      </c>
      <c r="M88">
        <v>21.620294916622001</v>
      </c>
      <c r="N88">
        <v>21.578295475626</v>
      </c>
      <c r="O88" s="12">
        <v>37.882052858629592</v>
      </c>
      <c r="P88" s="12">
        <v>36.525699165012313</v>
      </c>
    </row>
    <row r="89" spans="1:16" x14ac:dyDescent="0.3">
      <c r="A89">
        <v>1</v>
      </c>
      <c r="B89">
        <v>1</v>
      </c>
      <c r="C89">
        <v>15</v>
      </c>
      <c r="D89">
        <v>12.5</v>
      </c>
      <c r="E89">
        <v>15.82479124</v>
      </c>
      <c r="F89">
        <v>6.5609999999999999</v>
      </c>
      <c r="G89">
        <v>9.9499999999999993</v>
      </c>
      <c r="H89">
        <v>6.6530699999999996E-3</v>
      </c>
      <c r="I89">
        <v>0.113305343</v>
      </c>
      <c r="J89">
        <v>0.10581432630823601</v>
      </c>
      <c r="K89">
        <v>-7.0201955999999996E-2</v>
      </c>
      <c r="L89">
        <v>0.14699131624</v>
      </c>
      <c r="M89">
        <v>9.14518741970793E-2</v>
      </c>
      <c r="N89">
        <v>0.125357167749333</v>
      </c>
      <c r="O89" s="12">
        <v>-3.7661104824539988</v>
      </c>
      <c r="P89" s="12">
        <v>-13.026065840495512</v>
      </c>
    </row>
    <row r="90" spans="1:16" x14ac:dyDescent="0.3">
      <c r="A90">
        <v>0.6</v>
      </c>
      <c r="B90">
        <v>2</v>
      </c>
      <c r="C90">
        <v>20</v>
      </c>
      <c r="D90">
        <v>11.5</v>
      </c>
      <c r="E90">
        <v>17.383413900000001</v>
      </c>
      <c r="F90">
        <v>1.88</v>
      </c>
      <c r="G90">
        <v>10.93</v>
      </c>
      <c r="H90">
        <v>6.9699999999999996E-3</v>
      </c>
      <c r="I90">
        <v>-3.9018326999999998E-2</v>
      </c>
      <c r="J90">
        <v>-7.6557720890888206E-2</v>
      </c>
      <c r="K90">
        <v>7.2084839999999997E-2</v>
      </c>
      <c r="L90">
        <v>-3.89003148842108E-2</v>
      </c>
      <c r="M90">
        <v>-0.211651356246639</v>
      </c>
      <c r="N90">
        <v>-4.1219815286999799E-2</v>
      </c>
      <c r="O90" s="12">
        <v>2.1333469817905417</v>
      </c>
      <c r="P90" s="12">
        <v>-2.9109045126864999</v>
      </c>
    </row>
    <row r="91" spans="1:16" x14ac:dyDescent="0.3">
      <c r="A91">
        <v>1</v>
      </c>
      <c r="B91">
        <v>6</v>
      </c>
      <c r="C91">
        <v>10</v>
      </c>
      <c r="D91">
        <v>7.2</v>
      </c>
      <c r="E91">
        <v>25.0811013</v>
      </c>
      <c r="F91">
        <v>5.8784999999999998</v>
      </c>
      <c r="G91">
        <v>15.77</v>
      </c>
      <c r="H91">
        <v>5.5424999999999997E-3</v>
      </c>
      <c r="I91">
        <v>-1.145252173</v>
      </c>
      <c r="J91">
        <v>-1.12845963704354</v>
      </c>
      <c r="K91">
        <v>-0.86942965000000005</v>
      </c>
      <c r="L91">
        <v>-1.1600668093283399</v>
      </c>
      <c r="M91">
        <v>-1.08551538750426</v>
      </c>
      <c r="N91">
        <v>-1.1229258175179999</v>
      </c>
      <c r="O91" s="12">
        <v>4.1094611445982299</v>
      </c>
      <c r="P91" s="12">
        <v>5.8806952938536146</v>
      </c>
    </row>
    <row r="92" spans="1:16" x14ac:dyDescent="0.3">
      <c r="A92">
        <v>1.6666666670000001</v>
      </c>
      <c r="B92">
        <v>1</v>
      </c>
      <c r="C92">
        <v>10</v>
      </c>
      <c r="D92">
        <v>1.6</v>
      </c>
      <c r="E92">
        <v>0.76340701499999997</v>
      </c>
      <c r="F92">
        <v>0.54</v>
      </c>
      <c r="G92">
        <v>0.48</v>
      </c>
      <c r="H92">
        <v>2.5500000000000002E-3</v>
      </c>
      <c r="I92">
        <v>19.897201819999999</v>
      </c>
      <c r="J92">
        <v>19.886689001535899</v>
      </c>
      <c r="K92">
        <v>20.085712000000001</v>
      </c>
      <c r="L92">
        <v>19.9574054297474</v>
      </c>
      <c r="M92">
        <v>19.913803108798099</v>
      </c>
      <c r="N92">
        <v>19.966209754553901</v>
      </c>
      <c r="O92" s="12">
        <v>11.019276173857758</v>
      </c>
      <c r="P92" s="12">
        <v>16.353784786962361</v>
      </c>
    </row>
    <row r="93" spans="1:16" x14ac:dyDescent="0.3">
      <c r="A93">
        <v>1</v>
      </c>
      <c r="B93">
        <v>6</v>
      </c>
      <c r="C93">
        <v>60</v>
      </c>
      <c r="D93">
        <v>4.7</v>
      </c>
      <c r="E93">
        <v>0</v>
      </c>
      <c r="F93">
        <v>7.9885999999999999</v>
      </c>
      <c r="G93">
        <v>0</v>
      </c>
      <c r="H93">
        <v>1.2535019999999999E-2</v>
      </c>
      <c r="I93">
        <v>85.296061620000003</v>
      </c>
      <c r="J93">
        <v>85.303069247202103</v>
      </c>
      <c r="K93">
        <v>83.208259999999996</v>
      </c>
      <c r="L93">
        <v>85.055323064526206</v>
      </c>
      <c r="M93">
        <v>85.332167414795407</v>
      </c>
      <c r="N93">
        <v>85.299132938919797</v>
      </c>
      <c r="O93" s="12">
        <v>46.228163904292629</v>
      </c>
      <c r="P93" s="12">
        <v>55.732881996543327</v>
      </c>
    </row>
    <row r="94" spans="1:16" x14ac:dyDescent="0.3">
      <c r="A94">
        <v>1</v>
      </c>
      <c r="B94">
        <v>4</v>
      </c>
      <c r="C94">
        <v>15</v>
      </c>
      <c r="D94">
        <v>2.5</v>
      </c>
      <c r="E94">
        <v>1.1292062089999999</v>
      </c>
      <c r="F94">
        <v>6.5609999999999999</v>
      </c>
      <c r="G94">
        <v>0.71</v>
      </c>
      <c r="H94">
        <v>6.6530799999999996E-3</v>
      </c>
      <c r="I94">
        <v>18.760384179999999</v>
      </c>
      <c r="J94">
        <v>18.7361837209965</v>
      </c>
      <c r="K94">
        <v>18.738593999999999</v>
      </c>
      <c r="L94">
        <v>20.093769219705202</v>
      </c>
      <c r="M94">
        <v>18.800036014731901</v>
      </c>
      <c r="N94">
        <v>18.7668963127139</v>
      </c>
      <c r="O94" s="12">
        <v>14.525113449025321</v>
      </c>
      <c r="P94" s="12">
        <v>19.00389536915285</v>
      </c>
    </row>
    <row r="95" spans="1:16" x14ac:dyDescent="0.3">
      <c r="A95">
        <v>1</v>
      </c>
      <c r="B95">
        <v>1</v>
      </c>
      <c r="C95">
        <v>15</v>
      </c>
      <c r="D95">
        <v>5</v>
      </c>
      <c r="E95">
        <v>2.4969771110000001</v>
      </c>
      <c r="F95">
        <v>6.5609999999999999</v>
      </c>
      <c r="G95">
        <v>1.57</v>
      </c>
      <c r="H95">
        <v>6.6530699999999996E-3</v>
      </c>
      <c r="I95">
        <v>4.6108279230000004</v>
      </c>
      <c r="J95">
        <v>4.6384879632352103</v>
      </c>
      <c r="K95">
        <v>4.7142166999999997</v>
      </c>
      <c r="L95">
        <v>5.8446524211873498</v>
      </c>
      <c r="M95">
        <v>4.5828315241149697</v>
      </c>
      <c r="N95">
        <v>4.60672151201425</v>
      </c>
      <c r="O95" s="12">
        <v>9.6828923232896695</v>
      </c>
      <c r="P95" s="12">
        <v>10.049295526231408</v>
      </c>
    </row>
    <row r="96" spans="1:16" x14ac:dyDescent="0.3">
      <c r="A96">
        <v>1.6666666670000001</v>
      </c>
      <c r="B96">
        <v>6</v>
      </c>
      <c r="C96">
        <v>10</v>
      </c>
      <c r="D96">
        <v>8</v>
      </c>
      <c r="E96">
        <v>27.80073879</v>
      </c>
      <c r="F96">
        <v>0.54</v>
      </c>
      <c r="G96">
        <v>17.48</v>
      </c>
      <c r="H96">
        <v>2.5500000000000002E-3</v>
      </c>
      <c r="I96">
        <v>-1.2937324640000001</v>
      </c>
      <c r="J96">
        <v>-1.2832914444338801</v>
      </c>
      <c r="K96">
        <v>-1.3350214</v>
      </c>
      <c r="L96">
        <v>-1.29899403045531</v>
      </c>
      <c r="M96">
        <v>-1.2455052496144901</v>
      </c>
      <c r="N96">
        <v>-1.3082081758889901</v>
      </c>
      <c r="O96" s="12">
        <v>1.8020612123394599</v>
      </c>
      <c r="P96" s="12">
        <v>1.8304931706758949</v>
      </c>
    </row>
    <row r="97" spans="1:16" x14ac:dyDescent="0.3">
      <c r="A97">
        <v>1.6666666670000001</v>
      </c>
      <c r="B97">
        <v>6</v>
      </c>
      <c r="C97">
        <v>20</v>
      </c>
      <c r="D97">
        <v>11.5</v>
      </c>
      <c r="E97">
        <v>24.254077030000001</v>
      </c>
      <c r="F97">
        <v>1.08</v>
      </c>
      <c r="G97">
        <v>15.25</v>
      </c>
      <c r="H97">
        <v>4.8400200000000004E-3</v>
      </c>
      <c r="I97">
        <v>-1.537356513</v>
      </c>
      <c r="J97">
        <v>-1.5049583612989601</v>
      </c>
      <c r="K97">
        <v>-1.5890508999999999</v>
      </c>
      <c r="L97">
        <v>-1.3495793417615101</v>
      </c>
      <c r="M97">
        <v>-1.42709429898322</v>
      </c>
      <c r="N97">
        <v>-1.49930669319766</v>
      </c>
      <c r="O97" s="12">
        <v>2.8107011800781816</v>
      </c>
      <c r="P97" s="12">
        <v>2.7206748485076044</v>
      </c>
    </row>
    <row r="98" spans="1:16" x14ac:dyDescent="0.3">
      <c r="A98">
        <v>0.6</v>
      </c>
      <c r="B98">
        <v>6</v>
      </c>
      <c r="C98">
        <v>30</v>
      </c>
      <c r="D98">
        <v>16.5</v>
      </c>
      <c r="E98">
        <v>15.66574812</v>
      </c>
      <c r="F98">
        <v>2.82</v>
      </c>
      <c r="G98">
        <v>9.85</v>
      </c>
      <c r="H98">
        <v>9.2599799999999993E-3</v>
      </c>
      <c r="I98">
        <v>0.282318546</v>
      </c>
      <c r="J98">
        <v>0.263840500028235</v>
      </c>
      <c r="K98">
        <v>0.35529392999999998</v>
      </c>
      <c r="L98">
        <v>0.28793879893473601</v>
      </c>
      <c r="M98">
        <v>0.21727008251944399</v>
      </c>
      <c r="N98">
        <v>0.27767520681333202</v>
      </c>
      <c r="O98" s="12">
        <v>0.12949472956196129</v>
      </c>
      <c r="P98" s="12">
        <v>-5.5103490240094075</v>
      </c>
    </row>
    <row r="99" spans="1:16" x14ac:dyDescent="0.3">
      <c r="A99">
        <v>1</v>
      </c>
      <c r="B99">
        <v>2</v>
      </c>
      <c r="C99">
        <v>30</v>
      </c>
      <c r="D99">
        <v>25.7</v>
      </c>
      <c r="E99">
        <v>36.325450459999999</v>
      </c>
      <c r="F99">
        <v>7.6656000000000004</v>
      </c>
      <c r="G99">
        <v>22.84</v>
      </c>
      <c r="H99">
        <v>9.1083599999999994E-3</v>
      </c>
      <c r="I99">
        <v>-2.4797646379999998</v>
      </c>
      <c r="J99">
        <v>-2.5076343123047802</v>
      </c>
      <c r="K99">
        <v>-2.7690467999999999</v>
      </c>
      <c r="L99">
        <v>-2.71243862071695</v>
      </c>
      <c r="M99">
        <v>-2.5715231557784999</v>
      </c>
      <c r="N99">
        <v>-2.6006310193575</v>
      </c>
      <c r="O99" s="12">
        <v>-15.443846676502801</v>
      </c>
      <c r="P99" s="12">
        <v>-2.4502867931213856</v>
      </c>
    </row>
    <row r="100" spans="1:16" x14ac:dyDescent="0.3">
      <c r="A100">
        <v>0.6</v>
      </c>
      <c r="B100">
        <v>1</v>
      </c>
      <c r="C100">
        <v>60</v>
      </c>
      <c r="D100">
        <v>27.6</v>
      </c>
      <c r="E100">
        <v>10.814932710000001</v>
      </c>
      <c r="F100">
        <v>5.64</v>
      </c>
      <c r="G100">
        <v>6.8</v>
      </c>
      <c r="H100">
        <v>1.379E-2</v>
      </c>
      <c r="I100">
        <v>1.4548107210000001</v>
      </c>
      <c r="J100">
        <v>1.4687222289697499</v>
      </c>
      <c r="K100">
        <v>1.3663651000000001</v>
      </c>
      <c r="L100">
        <v>1.4467842423645301</v>
      </c>
      <c r="M100">
        <v>1.4668045498711599</v>
      </c>
      <c r="N100">
        <v>1.4924503212339899</v>
      </c>
      <c r="O100" s="12">
        <v>1.2464518332233094</v>
      </c>
      <c r="P100" s="12">
        <v>8.278973566629972</v>
      </c>
    </row>
    <row r="101" spans="1:16" x14ac:dyDescent="0.3">
      <c r="A101">
        <v>0.6</v>
      </c>
      <c r="B101">
        <v>2</v>
      </c>
      <c r="C101">
        <v>30</v>
      </c>
      <c r="D101">
        <v>6.6</v>
      </c>
      <c r="E101">
        <v>4.3259730840000001</v>
      </c>
      <c r="F101">
        <v>2.82</v>
      </c>
      <c r="G101">
        <v>2.72</v>
      </c>
      <c r="H101">
        <v>9.2599999999999991E-3</v>
      </c>
      <c r="I101">
        <v>9.875438484</v>
      </c>
      <c r="J101">
        <v>9.8645694913020492</v>
      </c>
      <c r="K101">
        <v>9.7094419999999992</v>
      </c>
      <c r="L101">
        <v>9.6406648906246808</v>
      </c>
      <c r="M101">
        <v>9.8010871128023194</v>
      </c>
      <c r="N101">
        <v>9.86683301737121</v>
      </c>
      <c r="O101" s="12">
        <v>19.034386687985663</v>
      </c>
      <c r="P101" s="12">
        <v>20.425482930497324</v>
      </c>
    </row>
    <row r="102" spans="1:16" x14ac:dyDescent="0.3">
      <c r="A102">
        <v>0.6</v>
      </c>
      <c r="B102">
        <v>2</v>
      </c>
      <c r="C102">
        <v>60</v>
      </c>
      <c r="D102">
        <v>27.6</v>
      </c>
      <c r="E102">
        <v>12.198607920000001</v>
      </c>
      <c r="F102">
        <v>5.64</v>
      </c>
      <c r="G102">
        <v>7.67</v>
      </c>
      <c r="H102">
        <v>1.379E-2</v>
      </c>
      <c r="I102">
        <v>1.1942168070000001</v>
      </c>
      <c r="J102">
        <v>1.1782211437016501</v>
      </c>
      <c r="K102">
        <v>1.4021368999999999</v>
      </c>
      <c r="L102">
        <v>1.2490371290016999</v>
      </c>
      <c r="M102">
        <v>1.23299988464034</v>
      </c>
      <c r="N102">
        <v>1.23672459734982</v>
      </c>
      <c r="O102" s="12">
        <v>1.4227100039715737</v>
      </c>
      <c r="P102" s="12">
        <v>6.39670640469906</v>
      </c>
    </row>
    <row r="103" spans="1:16" x14ac:dyDescent="0.3">
      <c r="A103">
        <v>1.6666666670000001</v>
      </c>
      <c r="B103">
        <v>6</v>
      </c>
      <c r="C103">
        <v>15</v>
      </c>
      <c r="D103">
        <v>11.4</v>
      </c>
      <c r="E103">
        <v>33.621717279999999</v>
      </c>
      <c r="F103">
        <v>0.81</v>
      </c>
      <c r="G103">
        <v>21.14</v>
      </c>
      <c r="H103">
        <v>3.7300200000000001E-3</v>
      </c>
      <c r="I103">
        <v>-2.5054085650000002</v>
      </c>
      <c r="J103">
        <v>-2.48628329882014</v>
      </c>
      <c r="K103">
        <v>-2.2306971999999998</v>
      </c>
      <c r="L103">
        <v>-2.4143190590336401</v>
      </c>
      <c r="M103">
        <v>-2.4711412804158699</v>
      </c>
      <c r="N103">
        <v>-2.48282056491799</v>
      </c>
      <c r="O103" s="12">
        <v>0.10781063237947208</v>
      </c>
      <c r="P103" s="12">
        <v>1.000279445330797</v>
      </c>
    </row>
    <row r="104" spans="1:16" x14ac:dyDescent="0.3">
      <c r="A104">
        <v>1</v>
      </c>
      <c r="B104">
        <v>4</v>
      </c>
      <c r="C104">
        <v>20</v>
      </c>
      <c r="D104">
        <v>11.2</v>
      </c>
      <c r="E104">
        <v>16.397346509999998</v>
      </c>
      <c r="F104">
        <v>7.0444000000000004</v>
      </c>
      <c r="G104">
        <v>10.31</v>
      </c>
      <c r="H104">
        <v>7.5770400000000002E-3</v>
      </c>
      <c r="I104">
        <v>0.14643716600000001</v>
      </c>
      <c r="J104">
        <v>0.16650500533852999</v>
      </c>
      <c r="K104">
        <v>0.21993461</v>
      </c>
      <c r="L104">
        <v>0.14973332334263101</v>
      </c>
      <c r="M104">
        <v>0.18525898473331001</v>
      </c>
      <c r="N104">
        <v>0.14737155378399999</v>
      </c>
      <c r="O104" s="12">
        <v>3.1311232315317219</v>
      </c>
      <c r="P104" s="12">
        <v>-3.6142461582258179</v>
      </c>
    </row>
    <row r="105" spans="1:16" x14ac:dyDescent="0.3">
      <c r="A105">
        <v>0.6</v>
      </c>
      <c r="B105">
        <v>6</v>
      </c>
      <c r="C105">
        <v>20</v>
      </c>
      <c r="D105">
        <v>16.100000000000001</v>
      </c>
      <c r="E105">
        <v>33.510387090000002</v>
      </c>
      <c r="F105">
        <v>1.88</v>
      </c>
      <c r="G105">
        <v>21.07</v>
      </c>
      <c r="H105">
        <v>6.9700200000000004E-3</v>
      </c>
      <c r="I105">
        <v>-2.2131582330000001</v>
      </c>
      <c r="J105">
        <v>-2.2180345169624598</v>
      </c>
      <c r="K105">
        <v>-2.2056813000000002</v>
      </c>
      <c r="L105">
        <v>-2.2756589978771902</v>
      </c>
      <c r="M105">
        <v>-2.1811206091768698</v>
      </c>
      <c r="N105">
        <v>-2.2678395358125001</v>
      </c>
      <c r="O105" s="12">
        <v>-5.0293733254162092</v>
      </c>
      <c r="P105" s="12">
        <v>-3.4433600928860209</v>
      </c>
    </row>
    <row r="106" spans="1:16" x14ac:dyDescent="0.3">
      <c r="A106">
        <v>1.6666666670000001</v>
      </c>
      <c r="B106">
        <v>6</v>
      </c>
      <c r="C106">
        <v>20</v>
      </c>
      <c r="D106">
        <v>9.1999999999999993</v>
      </c>
      <c r="E106">
        <v>15.506704989999999</v>
      </c>
      <c r="F106">
        <v>1.08</v>
      </c>
      <c r="G106">
        <v>9.75</v>
      </c>
      <c r="H106">
        <v>4.8400200000000004E-3</v>
      </c>
      <c r="I106">
        <v>0.44417068399999998</v>
      </c>
      <c r="J106">
        <v>0.44864572574664002</v>
      </c>
      <c r="K106">
        <v>4.7993920000000002E-2</v>
      </c>
      <c r="L106">
        <v>0.40725309739017401</v>
      </c>
      <c r="M106">
        <v>0.40088221547092401</v>
      </c>
      <c r="N106">
        <v>0.44673611263357099</v>
      </c>
      <c r="O106" s="12">
        <v>6.2008183339913598</v>
      </c>
      <c r="P106" s="12">
        <v>5.4993330928464896</v>
      </c>
    </row>
    <row r="107" spans="1:16" x14ac:dyDescent="0.3">
      <c r="A107">
        <v>0.6</v>
      </c>
      <c r="B107">
        <v>6</v>
      </c>
      <c r="C107">
        <v>60</v>
      </c>
      <c r="D107">
        <v>23</v>
      </c>
      <c r="E107">
        <v>1.307687942</v>
      </c>
      <c r="F107">
        <v>5.64</v>
      </c>
      <c r="G107">
        <v>1.85</v>
      </c>
      <c r="H107">
        <v>1.378998E-2</v>
      </c>
      <c r="I107">
        <v>3.3712495210000002</v>
      </c>
      <c r="J107">
        <v>3.35523177905901</v>
      </c>
      <c r="K107">
        <v>3.0589824000000001</v>
      </c>
      <c r="L107">
        <v>3.47754695216419</v>
      </c>
      <c r="M107">
        <v>3.3520755048274302</v>
      </c>
      <c r="N107">
        <v>3.36589128914098</v>
      </c>
      <c r="O107" s="12">
        <v>9.0764102886016147</v>
      </c>
      <c r="P107" s="12">
        <v>-0.68978923825328309</v>
      </c>
    </row>
    <row r="108" spans="1:16" x14ac:dyDescent="0.3">
      <c r="A108">
        <v>0.6</v>
      </c>
      <c r="B108">
        <v>6</v>
      </c>
      <c r="C108">
        <v>60</v>
      </c>
      <c r="D108">
        <v>13.8</v>
      </c>
      <c r="E108">
        <v>0</v>
      </c>
      <c r="F108">
        <v>5.64</v>
      </c>
      <c r="G108">
        <v>0</v>
      </c>
      <c r="H108">
        <v>1.378998E-2</v>
      </c>
      <c r="I108">
        <v>9.6479690090000005</v>
      </c>
      <c r="J108">
        <v>9.6233583802642002</v>
      </c>
      <c r="K108">
        <v>10.410508</v>
      </c>
      <c r="L108">
        <v>11.749560326132601</v>
      </c>
      <c r="M108">
        <v>9.7375948144380295</v>
      </c>
      <c r="N108">
        <v>9.4801243627490308</v>
      </c>
      <c r="O108" s="12">
        <v>27.943685211244926</v>
      </c>
      <c r="P108" s="12">
        <v>16.937833249715695</v>
      </c>
    </row>
    <row r="109" spans="1:16" x14ac:dyDescent="0.3">
      <c r="A109">
        <v>1.6666666670000001</v>
      </c>
      <c r="B109">
        <v>1</v>
      </c>
      <c r="C109">
        <v>15</v>
      </c>
      <c r="D109">
        <v>7.6</v>
      </c>
      <c r="E109">
        <v>8.4610944139999997</v>
      </c>
      <c r="F109">
        <v>0.81</v>
      </c>
      <c r="G109">
        <v>5.32</v>
      </c>
      <c r="H109">
        <v>3.7299999999999998E-3</v>
      </c>
      <c r="I109">
        <v>1.5052246789999999</v>
      </c>
      <c r="J109">
        <v>1.50557736872674</v>
      </c>
      <c r="K109">
        <v>1.4907401</v>
      </c>
      <c r="L109">
        <v>1.6710591406584101</v>
      </c>
      <c r="M109">
        <v>1.4698797314677701</v>
      </c>
      <c r="N109">
        <v>1.572004762223</v>
      </c>
      <c r="O109" s="12">
        <v>4.2304163483723736</v>
      </c>
      <c r="P109" s="12">
        <v>-1.1839952157438498</v>
      </c>
    </row>
    <row r="110" spans="1:16" x14ac:dyDescent="0.3">
      <c r="A110">
        <v>1.6666666670000001</v>
      </c>
      <c r="B110">
        <v>2</v>
      </c>
      <c r="C110">
        <v>20</v>
      </c>
      <c r="D110">
        <v>2.2999999999999998</v>
      </c>
      <c r="E110">
        <v>0.90654583</v>
      </c>
      <c r="F110">
        <v>1.08</v>
      </c>
      <c r="G110">
        <v>0.56999999999999995</v>
      </c>
      <c r="H110">
        <v>4.8399999999999997E-3</v>
      </c>
      <c r="I110">
        <v>38.484267629999998</v>
      </c>
      <c r="J110">
        <v>38.503993751966803</v>
      </c>
      <c r="K110">
        <v>38.395102999999999</v>
      </c>
      <c r="L110">
        <v>37.488865199220797</v>
      </c>
      <c r="M110">
        <v>38.487137506043602</v>
      </c>
      <c r="N110">
        <v>38.446934531449998</v>
      </c>
      <c r="O110" s="12">
        <v>18.372426617412323</v>
      </c>
      <c r="P110" s="12">
        <v>27.65348254858587</v>
      </c>
    </row>
    <row r="111" spans="1:16" x14ac:dyDescent="0.3">
      <c r="A111">
        <v>0.6</v>
      </c>
      <c r="B111">
        <v>4</v>
      </c>
      <c r="C111">
        <v>20</v>
      </c>
      <c r="D111">
        <v>11.5</v>
      </c>
      <c r="E111">
        <v>21.07321447</v>
      </c>
      <c r="F111">
        <v>1.88</v>
      </c>
      <c r="G111">
        <v>13.25</v>
      </c>
      <c r="H111">
        <v>6.9699999999999996E-3</v>
      </c>
      <c r="I111">
        <v>-0.78220983799999999</v>
      </c>
      <c r="J111">
        <v>-0.79860530959229103</v>
      </c>
      <c r="K111">
        <v>-0.39613872999999999</v>
      </c>
      <c r="L111">
        <v>-0.73604169289034005</v>
      </c>
      <c r="M111">
        <v>-0.70841753133694796</v>
      </c>
      <c r="N111">
        <v>-0.79758073061899404</v>
      </c>
      <c r="O111" s="12">
        <v>2.6312018812685509</v>
      </c>
      <c r="P111" s="12">
        <v>-1.6780118913620186</v>
      </c>
    </row>
    <row r="112" spans="1:16" x14ac:dyDescent="0.3">
      <c r="A112">
        <v>1.6666666670000001</v>
      </c>
      <c r="B112">
        <v>1</v>
      </c>
      <c r="C112">
        <v>60</v>
      </c>
      <c r="D112">
        <v>13.8</v>
      </c>
      <c r="E112">
        <v>3.3240013770000001</v>
      </c>
      <c r="F112">
        <v>3.24</v>
      </c>
      <c r="G112">
        <v>2.09</v>
      </c>
      <c r="H112">
        <v>1.205E-2</v>
      </c>
      <c r="I112">
        <v>9.2862852159999996</v>
      </c>
      <c r="J112">
        <v>9.2524997115215797</v>
      </c>
      <c r="K112">
        <v>8.8525270000000003</v>
      </c>
      <c r="L112">
        <v>9.1831140874036592</v>
      </c>
      <c r="M112">
        <v>9.2745209061981804</v>
      </c>
      <c r="N112">
        <v>9.29794808796456</v>
      </c>
      <c r="O112" s="12">
        <v>28.819132182610254</v>
      </c>
      <c r="P112" s="12">
        <v>20.400153186009852</v>
      </c>
    </row>
    <row r="113" spans="1:16" x14ac:dyDescent="0.3">
      <c r="A113">
        <v>1</v>
      </c>
      <c r="B113">
        <v>1</v>
      </c>
      <c r="C113">
        <v>40</v>
      </c>
      <c r="D113">
        <v>29.3</v>
      </c>
      <c r="E113">
        <v>36.80257984</v>
      </c>
      <c r="F113">
        <v>7.9885999999999999</v>
      </c>
      <c r="G113">
        <v>23.14</v>
      </c>
      <c r="H113">
        <v>1.0389860000000001E-2</v>
      </c>
      <c r="I113">
        <v>-3.5071893940000001</v>
      </c>
      <c r="J113">
        <v>-3.49273671433955</v>
      </c>
      <c r="K113">
        <v>-3.1420998999999998</v>
      </c>
      <c r="L113">
        <v>-3.1210639046549198</v>
      </c>
      <c r="M113">
        <v>-3.4783022159394501</v>
      </c>
      <c r="N113">
        <v>-3.3980109652640098</v>
      </c>
      <c r="O113" s="12">
        <v>-14.692716015198172</v>
      </c>
      <c r="P113" s="12">
        <v>13.084279924914782</v>
      </c>
    </row>
    <row r="114" spans="1:16" x14ac:dyDescent="0.3">
      <c r="A114">
        <v>1.6666666670000001</v>
      </c>
      <c r="B114">
        <v>1</v>
      </c>
      <c r="C114">
        <v>30</v>
      </c>
      <c r="D114">
        <v>6.6</v>
      </c>
      <c r="E114">
        <v>2.481072798</v>
      </c>
      <c r="F114">
        <v>1.62</v>
      </c>
      <c r="G114">
        <v>1.56</v>
      </c>
      <c r="H114">
        <v>6.9100000000000003E-3</v>
      </c>
      <c r="I114">
        <v>10.32475103</v>
      </c>
      <c r="J114">
        <v>10.294609572157499</v>
      </c>
      <c r="K114">
        <v>10.090012</v>
      </c>
      <c r="L114">
        <v>9.9832965535170306</v>
      </c>
      <c r="M114">
        <v>10.2306016721998</v>
      </c>
      <c r="N114">
        <v>10.325356673833699</v>
      </c>
      <c r="O114" s="12">
        <v>18.409956583270592</v>
      </c>
      <c r="P114" s="12">
        <v>21.790965705023734</v>
      </c>
    </row>
    <row r="115" spans="1:16" x14ac:dyDescent="0.3">
      <c r="A115">
        <v>0.6</v>
      </c>
      <c r="B115">
        <v>2</v>
      </c>
      <c r="C115">
        <v>40</v>
      </c>
      <c r="D115">
        <v>3.9</v>
      </c>
      <c r="E115">
        <v>0</v>
      </c>
      <c r="F115">
        <v>3.76</v>
      </c>
      <c r="G115">
        <v>0</v>
      </c>
      <c r="H115">
        <v>9.2599999999999991E-3</v>
      </c>
      <c r="I115">
        <v>53.688632269999999</v>
      </c>
      <c r="J115">
        <v>53.716027787035699</v>
      </c>
      <c r="K115">
        <v>53.447426</v>
      </c>
      <c r="L115">
        <v>53.669725806421198</v>
      </c>
      <c r="M115">
        <v>53.696993920459597</v>
      </c>
      <c r="N115">
        <v>53.688632270000198</v>
      </c>
      <c r="O115" s="12">
        <v>31.072427861223609</v>
      </c>
      <c r="P115" s="12">
        <v>43.365954492501871</v>
      </c>
    </row>
    <row r="116" spans="1:16" x14ac:dyDescent="0.3">
      <c r="A116">
        <v>1.6666666670000001</v>
      </c>
      <c r="B116">
        <v>1</v>
      </c>
      <c r="C116">
        <v>40</v>
      </c>
      <c r="D116">
        <v>19.5</v>
      </c>
      <c r="E116">
        <v>13.86856077</v>
      </c>
      <c r="F116">
        <v>2.16</v>
      </c>
      <c r="G116">
        <v>8.7200000000000006</v>
      </c>
      <c r="H116">
        <v>8.7799999999999996E-3</v>
      </c>
      <c r="I116">
        <v>0.74610087300000005</v>
      </c>
      <c r="J116">
        <v>0.70210284271472601</v>
      </c>
      <c r="K116">
        <v>0.72391589999999995</v>
      </c>
      <c r="L116">
        <v>0.67859981419982096</v>
      </c>
      <c r="M116">
        <v>0.74881507549973103</v>
      </c>
      <c r="N116">
        <v>0.71940974562766202</v>
      </c>
      <c r="O116" s="12">
        <v>1.9759160495617731</v>
      </c>
      <c r="P116" s="12">
        <v>-1.3385754643562287</v>
      </c>
    </row>
    <row r="117" spans="1:16" x14ac:dyDescent="0.3">
      <c r="A117">
        <v>1.6666666670000001</v>
      </c>
      <c r="B117">
        <v>6</v>
      </c>
      <c r="C117">
        <v>40</v>
      </c>
      <c r="D117">
        <v>3.9</v>
      </c>
      <c r="E117">
        <v>0.92245014299999994</v>
      </c>
      <c r="F117">
        <v>2.16</v>
      </c>
      <c r="G117">
        <v>0.57999999999999996</v>
      </c>
      <c r="H117">
        <v>8.7799799999999997E-3</v>
      </c>
      <c r="I117">
        <v>53.533629699999999</v>
      </c>
      <c r="J117">
        <v>53.526692717934999</v>
      </c>
      <c r="K117">
        <v>53.603713999999997</v>
      </c>
      <c r="L117">
        <v>53.343029235157601</v>
      </c>
      <c r="M117">
        <v>53.481133328745599</v>
      </c>
      <c r="N117">
        <v>53.524888464540297</v>
      </c>
      <c r="O117" s="12">
        <v>32.069101892696317</v>
      </c>
      <c r="P117" s="12">
        <v>46.380236504720855</v>
      </c>
    </row>
    <row r="118" spans="1:16" x14ac:dyDescent="0.3">
      <c r="A118">
        <v>1</v>
      </c>
      <c r="B118">
        <v>1</v>
      </c>
      <c r="C118">
        <v>60</v>
      </c>
      <c r="D118">
        <v>28.2</v>
      </c>
      <c r="E118">
        <v>15.25223598</v>
      </c>
      <c r="F118">
        <v>7.9885999999999999</v>
      </c>
      <c r="G118">
        <v>9.59</v>
      </c>
      <c r="H118">
        <v>1.2535019999999999E-2</v>
      </c>
      <c r="I118">
        <v>0.49923746200000002</v>
      </c>
      <c r="J118">
        <v>0.53452433583130499</v>
      </c>
      <c r="K118">
        <v>0.81614184000000001</v>
      </c>
      <c r="L118">
        <v>0.47706914074897999</v>
      </c>
      <c r="M118">
        <v>0.60048339841265697</v>
      </c>
      <c r="N118">
        <v>0.47885353640950101</v>
      </c>
      <c r="O118" s="12">
        <v>0.12014106603938401</v>
      </c>
      <c r="P118" s="12">
        <v>10.197048130633263</v>
      </c>
    </row>
    <row r="119" spans="1:16" x14ac:dyDescent="0.3">
      <c r="A119">
        <v>1</v>
      </c>
      <c r="B119">
        <v>4</v>
      </c>
      <c r="C119">
        <v>10</v>
      </c>
      <c r="D119">
        <v>12.4</v>
      </c>
      <c r="E119">
        <v>57.525899430000003</v>
      </c>
      <c r="F119">
        <v>5.8784999999999998</v>
      </c>
      <c r="G119">
        <v>36.17</v>
      </c>
      <c r="H119">
        <v>5.5425200000000004E-3</v>
      </c>
      <c r="I119">
        <v>-3.481482872</v>
      </c>
      <c r="J119">
        <v>-3.4680321611627898</v>
      </c>
      <c r="K119">
        <v>-3.0947070000000001</v>
      </c>
      <c r="L119">
        <v>-3.3027980653421301</v>
      </c>
      <c r="M119">
        <v>-3.44728830979474</v>
      </c>
      <c r="N119">
        <v>-3.4618096048960099</v>
      </c>
      <c r="O119" s="12">
        <v>-1.4756837749815892</v>
      </c>
      <c r="P119" s="12">
        <v>-1.4151261469279923</v>
      </c>
    </row>
    <row r="120" spans="1:16" x14ac:dyDescent="0.3">
      <c r="A120">
        <v>1</v>
      </c>
      <c r="B120">
        <v>2</v>
      </c>
      <c r="C120">
        <v>20</v>
      </c>
      <c r="D120">
        <v>11.2</v>
      </c>
      <c r="E120">
        <v>14.99776698</v>
      </c>
      <c r="F120">
        <v>7.0444000000000004</v>
      </c>
      <c r="G120">
        <v>9.43</v>
      </c>
      <c r="H120">
        <v>7.5770400000000002E-3</v>
      </c>
      <c r="I120">
        <v>0.39525215400000002</v>
      </c>
      <c r="J120">
        <v>0.42760003274239899</v>
      </c>
      <c r="K120">
        <v>0.68258790000000003</v>
      </c>
      <c r="L120">
        <v>0.41015375605378701</v>
      </c>
      <c r="M120">
        <v>0.387174128849398</v>
      </c>
      <c r="N120">
        <v>0.39289831122007002</v>
      </c>
      <c r="O120" s="12">
        <v>2.9941088863237142</v>
      </c>
      <c r="P120" s="12">
        <v>-3.0729430950867922</v>
      </c>
    </row>
    <row r="121" spans="1:16" x14ac:dyDescent="0.3">
      <c r="A121">
        <v>1.6666666670000001</v>
      </c>
      <c r="B121">
        <v>1</v>
      </c>
      <c r="C121">
        <v>20</v>
      </c>
      <c r="D121">
        <v>11.5</v>
      </c>
      <c r="E121">
        <v>10.51275077</v>
      </c>
      <c r="F121">
        <v>1.08</v>
      </c>
      <c r="G121">
        <v>6.61</v>
      </c>
      <c r="H121">
        <v>4.8399999999999997E-3</v>
      </c>
      <c r="I121">
        <v>0.96483391799999996</v>
      </c>
      <c r="J121">
        <v>0.98022138058863595</v>
      </c>
      <c r="K121">
        <v>0.97283774999999995</v>
      </c>
      <c r="L121">
        <v>1.0407955140699101</v>
      </c>
      <c r="M121">
        <v>0.914611196213857</v>
      </c>
      <c r="N121">
        <v>0.97836976910700002</v>
      </c>
      <c r="O121" s="12">
        <v>0.85439151825950654</v>
      </c>
      <c r="P121" s="12">
        <v>-7.8700994534809254</v>
      </c>
    </row>
    <row r="122" spans="1:16" x14ac:dyDescent="0.3">
      <c r="A122">
        <v>1.6666666670000001</v>
      </c>
      <c r="B122">
        <v>2</v>
      </c>
      <c r="C122">
        <v>30</v>
      </c>
      <c r="D122">
        <v>9.9</v>
      </c>
      <c r="E122">
        <v>10.22647314</v>
      </c>
      <c r="F122">
        <v>1.62</v>
      </c>
      <c r="G122">
        <v>6.43</v>
      </c>
      <c r="H122">
        <v>6.9100000000000003E-3</v>
      </c>
      <c r="I122">
        <v>3.0236857399999999</v>
      </c>
      <c r="J122">
        <v>2.9730202661218401</v>
      </c>
      <c r="K122">
        <v>2.6460810000000001</v>
      </c>
      <c r="L122">
        <v>2.4156374822648501</v>
      </c>
      <c r="M122">
        <v>3.1059534544056402</v>
      </c>
      <c r="N122">
        <v>2.93138593864566</v>
      </c>
      <c r="O122" s="12">
        <v>12.74703610837803</v>
      </c>
      <c r="P122" s="12">
        <v>9.9578369250664629</v>
      </c>
    </row>
    <row r="123" spans="1:16" x14ac:dyDescent="0.3">
      <c r="A123">
        <v>1.6666666670000001</v>
      </c>
      <c r="B123">
        <v>2</v>
      </c>
      <c r="C123">
        <v>20</v>
      </c>
      <c r="D123">
        <v>17.399999999999999</v>
      </c>
      <c r="E123">
        <v>47.235809039999999</v>
      </c>
      <c r="F123">
        <v>1.08</v>
      </c>
      <c r="G123">
        <v>29.7</v>
      </c>
      <c r="H123">
        <v>4.8399999999999997E-3</v>
      </c>
      <c r="I123">
        <v>-4.4303568630000001</v>
      </c>
      <c r="J123">
        <v>-4.4149683502738304</v>
      </c>
      <c r="K123">
        <v>-4.1366266999999999</v>
      </c>
      <c r="L123">
        <v>-4.1982586769170398</v>
      </c>
      <c r="M123">
        <v>-4.4272644512820696</v>
      </c>
      <c r="N123">
        <v>-4.4835438763799802</v>
      </c>
      <c r="O123" s="12">
        <v>-5.6331769837511363</v>
      </c>
      <c r="P123" s="12">
        <v>-3.0587730102207686</v>
      </c>
    </row>
    <row r="124" spans="1:16" x14ac:dyDescent="0.3">
      <c r="A124">
        <v>1</v>
      </c>
      <c r="B124">
        <v>4</v>
      </c>
      <c r="C124">
        <v>30</v>
      </c>
      <c r="D124">
        <v>14.4</v>
      </c>
      <c r="E124">
        <v>15.570322239999999</v>
      </c>
      <c r="F124">
        <v>7.6656000000000004</v>
      </c>
      <c r="G124">
        <v>9.7899999999999991</v>
      </c>
      <c r="H124">
        <v>9.1083599999999994E-3</v>
      </c>
      <c r="I124">
        <v>0.40308699599999998</v>
      </c>
      <c r="J124">
        <v>0.41052963193714698</v>
      </c>
      <c r="K124">
        <v>0.48935020000000001</v>
      </c>
      <c r="L124">
        <v>0.37643757445263298</v>
      </c>
      <c r="M124">
        <v>0.41215547060215302</v>
      </c>
      <c r="N124">
        <v>0.39553539666390602</v>
      </c>
      <c r="O124" s="12">
        <v>4.6295373133467619</v>
      </c>
      <c r="P124" s="12">
        <v>-1.8076799940002317</v>
      </c>
    </row>
    <row r="125" spans="1:16" x14ac:dyDescent="0.3">
      <c r="A125">
        <v>1</v>
      </c>
      <c r="B125">
        <v>6</v>
      </c>
      <c r="C125">
        <v>40</v>
      </c>
      <c r="D125">
        <v>24.6</v>
      </c>
      <c r="E125">
        <v>9.5584919979999992</v>
      </c>
      <c r="F125">
        <v>7.9885999999999999</v>
      </c>
      <c r="G125">
        <v>6.01</v>
      </c>
      <c r="H125">
        <v>1.0389839999999999E-2</v>
      </c>
      <c r="I125">
        <v>0.95483102600000003</v>
      </c>
      <c r="J125">
        <v>0.98071919699288901</v>
      </c>
      <c r="K125">
        <v>1.0434890999999999</v>
      </c>
      <c r="L125">
        <v>1.43597035986884</v>
      </c>
      <c r="M125">
        <v>0.87845074000896695</v>
      </c>
      <c r="N125">
        <v>1.0556034813120001</v>
      </c>
      <c r="O125" s="12">
        <v>-9.4500042848865888</v>
      </c>
      <c r="P125" s="12">
        <v>-9.6533255349542557</v>
      </c>
    </row>
    <row r="126" spans="1:16" x14ac:dyDescent="0.3">
      <c r="A126">
        <v>0.6</v>
      </c>
      <c r="B126">
        <v>2</v>
      </c>
      <c r="C126">
        <v>15</v>
      </c>
      <c r="D126">
        <v>3.8</v>
      </c>
      <c r="E126">
        <v>3.0377237460000002</v>
      </c>
      <c r="F126">
        <v>1.41</v>
      </c>
      <c r="G126">
        <v>1.91</v>
      </c>
      <c r="H126">
        <v>5.7099999999999998E-3</v>
      </c>
      <c r="I126">
        <v>7.7035733549999996</v>
      </c>
      <c r="J126">
        <v>7.6892413118184804</v>
      </c>
      <c r="K126">
        <v>7.8144439999999999</v>
      </c>
      <c r="L126">
        <v>7.6155142453956604</v>
      </c>
      <c r="M126">
        <v>7.6091241344882103</v>
      </c>
      <c r="N126">
        <v>7.7162812806860002</v>
      </c>
      <c r="O126" s="12">
        <v>11.352501849439353</v>
      </c>
      <c r="P126" s="12">
        <v>14.953280629759449</v>
      </c>
    </row>
    <row r="127" spans="1:16" x14ac:dyDescent="0.3">
      <c r="A127">
        <v>1.6666666670000001</v>
      </c>
      <c r="B127">
        <v>1</v>
      </c>
      <c r="C127">
        <v>15</v>
      </c>
      <c r="D127">
        <v>1.9</v>
      </c>
      <c r="E127">
        <v>0</v>
      </c>
      <c r="F127">
        <v>0.81</v>
      </c>
      <c r="G127">
        <v>0</v>
      </c>
      <c r="H127">
        <v>3.7299999999999998E-3</v>
      </c>
      <c r="I127">
        <v>31.810235769999998</v>
      </c>
      <c r="J127">
        <v>31.831313791085002</v>
      </c>
      <c r="K127">
        <v>31.745272</v>
      </c>
      <c r="L127">
        <v>31.3389066371582</v>
      </c>
      <c r="M127">
        <v>31.837353559514799</v>
      </c>
      <c r="N127">
        <v>31.8102357700004</v>
      </c>
      <c r="O127" s="12">
        <v>14.714470684416172</v>
      </c>
      <c r="P127" s="12">
        <v>23.681554142156891</v>
      </c>
    </row>
    <row r="128" spans="1:16" x14ac:dyDescent="0.3">
      <c r="A128">
        <v>0.6</v>
      </c>
      <c r="B128">
        <v>6</v>
      </c>
      <c r="C128">
        <v>40</v>
      </c>
      <c r="D128">
        <v>27.2</v>
      </c>
      <c r="E128">
        <v>14.39340309</v>
      </c>
      <c r="F128">
        <v>3.76</v>
      </c>
      <c r="G128">
        <v>9.0500000000000007</v>
      </c>
      <c r="H128">
        <v>9.2599799999999993E-3</v>
      </c>
      <c r="I128">
        <v>0.32791892499999997</v>
      </c>
      <c r="J128">
        <v>0.35007024811383303</v>
      </c>
      <c r="K128">
        <v>0.3450994</v>
      </c>
      <c r="L128">
        <v>0.39948377152561598</v>
      </c>
      <c r="M128">
        <v>0.25600963470736499</v>
      </c>
      <c r="N128">
        <v>0.33736469376400102</v>
      </c>
      <c r="O128" s="12">
        <v>-15.132034628831072</v>
      </c>
      <c r="P128" s="12">
        <v>-6.0783562915093299</v>
      </c>
    </row>
    <row r="129" spans="1:16" x14ac:dyDescent="0.3">
      <c r="A129">
        <v>1</v>
      </c>
      <c r="B129">
        <v>1</v>
      </c>
      <c r="C129">
        <v>15</v>
      </c>
      <c r="D129">
        <v>10</v>
      </c>
      <c r="E129">
        <v>11.562435410000001</v>
      </c>
      <c r="F129">
        <v>6.5609999999999999</v>
      </c>
      <c r="G129">
        <v>7.27</v>
      </c>
      <c r="H129">
        <v>6.6530699999999996E-3</v>
      </c>
      <c r="I129">
        <v>0.64345537200000003</v>
      </c>
      <c r="J129">
        <v>0.66560079313892795</v>
      </c>
      <c r="K129">
        <v>0.73882203999999996</v>
      </c>
      <c r="L129">
        <v>0.78853936157901405</v>
      </c>
      <c r="M129">
        <v>0.65270689287985695</v>
      </c>
      <c r="N129">
        <v>0.65424291255599998</v>
      </c>
      <c r="O129" s="12">
        <v>0.74528994110069213</v>
      </c>
      <c r="P129" s="12">
        <v>-6.7145437201006146</v>
      </c>
    </row>
    <row r="130" spans="1:16" x14ac:dyDescent="0.3">
      <c r="A130">
        <v>1.6666666670000001</v>
      </c>
      <c r="B130">
        <v>6</v>
      </c>
      <c r="C130">
        <v>20</v>
      </c>
      <c r="D130">
        <v>6.9</v>
      </c>
      <c r="E130">
        <v>8.2702426609999993</v>
      </c>
      <c r="F130">
        <v>1.08</v>
      </c>
      <c r="G130">
        <v>5.2</v>
      </c>
      <c r="H130">
        <v>4.8400200000000004E-3</v>
      </c>
      <c r="I130">
        <v>3.2929001590000002</v>
      </c>
      <c r="J130">
        <v>3.2522111325612899</v>
      </c>
      <c r="K130">
        <v>3.0878872999999998</v>
      </c>
      <c r="L130">
        <v>3.1742409444951001</v>
      </c>
      <c r="M130">
        <v>3.2387390954339499</v>
      </c>
      <c r="N130">
        <v>3.27499051273321</v>
      </c>
      <c r="O130" s="12">
        <v>9.8289900197802709</v>
      </c>
      <c r="P130" s="12">
        <v>10.414042526716662</v>
      </c>
    </row>
    <row r="131" spans="1:16" x14ac:dyDescent="0.3">
      <c r="A131">
        <v>1.6666666670000001</v>
      </c>
      <c r="B131">
        <v>2</v>
      </c>
      <c r="C131">
        <v>40</v>
      </c>
      <c r="D131">
        <v>3.9</v>
      </c>
      <c r="E131">
        <v>1.0337803329999999</v>
      </c>
      <c r="F131">
        <v>2.16</v>
      </c>
      <c r="G131">
        <v>0.65</v>
      </c>
      <c r="H131">
        <v>8.7799999999999996E-3</v>
      </c>
      <c r="I131">
        <v>53.493957520000002</v>
      </c>
      <c r="J131">
        <v>53.499066212558098</v>
      </c>
      <c r="K131">
        <v>53.583537999999997</v>
      </c>
      <c r="L131">
        <v>53.028742143873799</v>
      </c>
      <c r="M131">
        <v>53.438343658229698</v>
      </c>
      <c r="N131">
        <v>53.440003731150199</v>
      </c>
      <c r="O131" s="12">
        <v>32.253656060853778</v>
      </c>
      <c r="P131" s="12">
        <v>43.941451686564633</v>
      </c>
    </row>
    <row r="132" spans="1:16" x14ac:dyDescent="0.3">
      <c r="A132">
        <v>1</v>
      </c>
      <c r="B132">
        <v>2</v>
      </c>
      <c r="C132">
        <v>15</v>
      </c>
      <c r="D132">
        <v>17.7</v>
      </c>
      <c r="E132">
        <v>52.850031459999997</v>
      </c>
      <c r="F132">
        <v>6.5609999999999999</v>
      </c>
      <c r="G132">
        <v>33.229999999999997</v>
      </c>
      <c r="H132">
        <v>6.6530799999999996E-3</v>
      </c>
      <c r="I132">
        <v>-3.1863215880000002</v>
      </c>
      <c r="J132">
        <v>-3.1811093043385199</v>
      </c>
      <c r="K132">
        <v>-3.2795234</v>
      </c>
      <c r="L132">
        <v>-3.2686529384303702</v>
      </c>
      <c r="M132">
        <v>-3.16667181214379</v>
      </c>
      <c r="N132">
        <v>-3.27764912387901</v>
      </c>
      <c r="O132" s="12">
        <v>-8.7548306096753024</v>
      </c>
      <c r="P132" s="12">
        <v>-6.6565783388122313</v>
      </c>
    </row>
    <row r="133" spans="1:16" x14ac:dyDescent="0.3">
      <c r="A133">
        <v>0.6</v>
      </c>
      <c r="B133">
        <v>1</v>
      </c>
      <c r="C133">
        <v>20</v>
      </c>
      <c r="D133">
        <v>9.1999999999999993</v>
      </c>
      <c r="E133">
        <v>4.7076765910000002</v>
      </c>
      <c r="F133">
        <v>1.88</v>
      </c>
      <c r="G133">
        <v>2.96</v>
      </c>
      <c r="H133">
        <v>6.9699999999999996E-3</v>
      </c>
      <c r="I133">
        <v>2.2306245680000001</v>
      </c>
      <c r="J133">
        <v>2.23062886699736</v>
      </c>
      <c r="K133">
        <v>2.605826</v>
      </c>
      <c r="L133">
        <v>3.4622826896266199</v>
      </c>
      <c r="M133">
        <v>2.1425776472059699</v>
      </c>
      <c r="N133">
        <v>2.4407444787483001</v>
      </c>
      <c r="O133" s="12">
        <v>4.9462720134732336</v>
      </c>
      <c r="P133" s="12">
        <v>-1.1169827692200229</v>
      </c>
    </row>
    <row r="134" spans="1:16" x14ac:dyDescent="0.3">
      <c r="A134">
        <v>0.6</v>
      </c>
      <c r="B134">
        <v>6</v>
      </c>
      <c r="C134">
        <v>30</v>
      </c>
      <c r="D134">
        <v>23.3</v>
      </c>
      <c r="E134">
        <v>21.31177916</v>
      </c>
      <c r="F134">
        <v>2.82</v>
      </c>
      <c r="G134">
        <v>13.4</v>
      </c>
      <c r="H134">
        <v>9.2599799999999993E-3</v>
      </c>
      <c r="I134">
        <v>-0.45776329399999999</v>
      </c>
      <c r="J134">
        <v>-0.48083730706105299</v>
      </c>
      <c r="K134">
        <v>-0.65920966999999997</v>
      </c>
      <c r="L134">
        <v>-0.59572235916163496</v>
      </c>
      <c r="M134">
        <v>-0.43636624447334899</v>
      </c>
      <c r="N134">
        <v>-0.483276771078331</v>
      </c>
      <c r="O134" s="12">
        <v>-13.078597297016671</v>
      </c>
      <c r="P134" s="12">
        <v>-11.866239337997492</v>
      </c>
    </row>
    <row r="135" spans="1:16" x14ac:dyDescent="0.3">
      <c r="A135">
        <v>0.6</v>
      </c>
      <c r="B135">
        <v>1</v>
      </c>
      <c r="C135">
        <v>30</v>
      </c>
      <c r="D135">
        <v>19.8</v>
      </c>
      <c r="E135">
        <v>18.51262011</v>
      </c>
      <c r="F135">
        <v>2.82</v>
      </c>
      <c r="G135">
        <v>11.64</v>
      </c>
      <c r="H135">
        <v>9.2599999999999991E-3</v>
      </c>
      <c r="I135">
        <v>-0.19075191899999999</v>
      </c>
      <c r="J135">
        <v>-0.19066748461189301</v>
      </c>
      <c r="K135">
        <v>-0.33748853000000001</v>
      </c>
      <c r="L135">
        <v>-0.19558781342315601</v>
      </c>
      <c r="M135">
        <v>-0.21102703344576301</v>
      </c>
      <c r="N135">
        <v>-0.185205800238332</v>
      </c>
      <c r="O135" s="12">
        <v>-6.054710964596044</v>
      </c>
      <c r="P135" s="12">
        <v>-9.523329112304225</v>
      </c>
    </row>
    <row r="136" spans="1:16" x14ac:dyDescent="0.3">
      <c r="A136">
        <v>1.6666666670000001</v>
      </c>
      <c r="B136">
        <v>4</v>
      </c>
      <c r="C136">
        <v>30</v>
      </c>
      <c r="D136">
        <v>3.3</v>
      </c>
      <c r="E136">
        <v>1.2087277729999999</v>
      </c>
      <c r="F136">
        <v>1.62</v>
      </c>
      <c r="G136">
        <v>0.76</v>
      </c>
      <c r="H136">
        <v>6.9100000000000003E-3</v>
      </c>
      <c r="I136">
        <v>41.970873349999998</v>
      </c>
      <c r="J136">
        <v>41.960784508183501</v>
      </c>
      <c r="K136">
        <v>41.761997000000001</v>
      </c>
      <c r="L136">
        <v>38.895369609039903</v>
      </c>
      <c r="M136">
        <v>41.925172068400002</v>
      </c>
      <c r="N136">
        <v>41.712532817360298</v>
      </c>
      <c r="O136" s="12">
        <v>24.925754138560929</v>
      </c>
      <c r="P136" s="12">
        <v>34.558811750357648</v>
      </c>
    </row>
    <row r="137" spans="1:16" x14ac:dyDescent="0.3">
      <c r="A137">
        <v>0.6</v>
      </c>
      <c r="B137">
        <v>1</v>
      </c>
      <c r="C137">
        <v>10</v>
      </c>
      <c r="D137">
        <v>11.55</v>
      </c>
      <c r="E137">
        <v>36.945718650000003</v>
      </c>
      <c r="F137">
        <v>0.94</v>
      </c>
      <c r="G137">
        <v>23.23</v>
      </c>
      <c r="H137">
        <v>4.0000000000000001E-3</v>
      </c>
      <c r="I137">
        <v>-1.3892638530000001</v>
      </c>
      <c r="J137">
        <v>-1.3927389746749901</v>
      </c>
      <c r="K137">
        <v>-1.5183051000000001</v>
      </c>
      <c r="L137">
        <v>-1.54854163182313</v>
      </c>
      <c r="M137">
        <v>-1.37771837174536</v>
      </c>
      <c r="N137">
        <v>-1.41465821187549</v>
      </c>
      <c r="O137" s="12">
        <v>-4.1442838779786548</v>
      </c>
      <c r="P137" s="12">
        <v>-3.9605099050991868</v>
      </c>
    </row>
    <row r="138" spans="1:16" x14ac:dyDescent="0.3">
      <c r="A138">
        <v>1</v>
      </c>
      <c r="B138">
        <v>2</v>
      </c>
      <c r="C138">
        <v>40</v>
      </c>
      <c r="D138">
        <v>8.1999999999999993</v>
      </c>
      <c r="E138">
        <v>3.1490539360000001</v>
      </c>
      <c r="F138">
        <v>7.9885999999999999</v>
      </c>
      <c r="G138">
        <v>1.98</v>
      </c>
      <c r="H138">
        <v>1.0389860000000001E-2</v>
      </c>
      <c r="I138">
        <v>12.0351306</v>
      </c>
      <c r="J138">
        <v>12.0377715616243</v>
      </c>
      <c r="K138">
        <v>12.050689999999999</v>
      </c>
      <c r="L138">
        <v>11.722682659529401</v>
      </c>
      <c r="M138">
        <v>12.040916936306401</v>
      </c>
      <c r="N138">
        <v>12.030410384363799</v>
      </c>
      <c r="O138" s="12">
        <v>23.707405654356968</v>
      </c>
      <c r="P138" s="12">
        <v>23.882966878449182</v>
      </c>
    </row>
    <row r="139" spans="1:16" x14ac:dyDescent="0.3">
      <c r="A139">
        <v>1</v>
      </c>
      <c r="B139">
        <v>2</v>
      </c>
      <c r="C139">
        <v>10</v>
      </c>
      <c r="D139">
        <v>9</v>
      </c>
      <c r="E139">
        <v>36.420876329999999</v>
      </c>
      <c r="F139">
        <v>5.8784999999999998</v>
      </c>
      <c r="G139">
        <v>22.9</v>
      </c>
      <c r="H139">
        <v>5.5424999999999997E-3</v>
      </c>
      <c r="I139">
        <v>-2.261940155</v>
      </c>
      <c r="J139">
        <v>-2.26593923236529</v>
      </c>
      <c r="K139">
        <v>-2.1468506000000001</v>
      </c>
      <c r="L139">
        <v>-2.2277340965436698</v>
      </c>
      <c r="M139">
        <v>-2.22610813689945</v>
      </c>
      <c r="N139">
        <v>-2.2905622251510001</v>
      </c>
      <c r="O139" s="12">
        <v>2.3313870658658256</v>
      </c>
      <c r="P139" s="12">
        <v>2.5371036812156489</v>
      </c>
    </row>
    <row r="140" spans="1:16" x14ac:dyDescent="0.3">
      <c r="A140">
        <v>1</v>
      </c>
      <c r="B140">
        <v>1</v>
      </c>
      <c r="C140">
        <v>10</v>
      </c>
      <c r="D140">
        <v>9</v>
      </c>
      <c r="E140">
        <v>25.924029879999999</v>
      </c>
      <c r="F140">
        <v>5.8784999999999998</v>
      </c>
      <c r="G140">
        <v>16.3</v>
      </c>
      <c r="H140">
        <v>5.5425099999999996E-3</v>
      </c>
      <c r="I140">
        <v>-0.82721816699999995</v>
      </c>
      <c r="J140">
        <v>-0.85600574473938396</v>
      </c>
      <c r="K140">
        <v>-1.1118644</v>
      </c>
      <c r="L140">
        <v>-0.96032639980824996</v>
      </c>
      <c r="M140">
        <v>-0.90711170350657899</v>
      </c>
      <c r="N140">
        <v>-0.84174346879500495</v>
      </c>
      <c r="O140" s="12">
        <v>0.71929151287155557</v>
      </c>
      <c r="P140" s="12">
        <v>-1.6402248612618386</v>
      </c>
    </row>
    <row r="141" spans="1:16" x14ac:dyDescent="0.3">
      <c r="A141">
        <v>0.6</v>
      </c>
      <c r="B141">
        <v>4</v>
      </c>
      <c r="C141">
        <v>60</v>
      </c>
      <c r="D141">
        <v>23</v>
      </c>
      <c r="E141">
        <v>4.4691118989999996</v>
      </c>
      <c r="F141">
        <v>5.64</v>
      </c>
      <c r="G141">
        <v>2.81</v>
      </c>
      <c r="H141">
        <v>1.379E-2</v>
      </c>
      <c r="I141">
        <v>3.2378985669999998</v>
      </c>
      <c r="J141">
        <v>3.2411698081848699</v>
      </c>
      <c r="K141">
        <v>3.0654534999999998</v>
      </c>
      <c r="L141">
        <v>3.3931921985410498</v>
      </c>
      <c r="M141">
        <v>3.2781004494941999</v>
      </c>
      <c r="N141">
        <v>3.2468321693440099</v>
      </c>
      <c r="O141" s="12">
        <v>9.6580290162073688</v>
      </c>
      <c r="P141" s="12">
        <v>-1.5743735312794489</v>
      </c>
    </row>
    <row r="142" spans="1:16" x14ac:dyDescent="0.3">
      <c r="A142">
        <v>0.6</v>
      </c>
      <c r="B142">
        <v>2</v>
      </c>
      <c r="C142">
        <v>60</v>
      </c>
      <c r="D142">
        <v>18.399999999999999</v>
      </c>
      <c r="E142">
        <v>7.2205580149999999</v>
      </c>
      <c r="F142">
        <v>5.64</v>
      </c>
      <c r="G142">
        <v>4.54</v>
      </c>
      <c r="H142">
        <v>1.379E-2</v>
      </c>
      <c r="I142">
        <v>4.4669837259999996</v>
      </c>
      <c r="J142">
        <v>4.4752678801550996</v>
      </c>
      <c r="K142">
        <v>4.1614649999999997</v>
      </c>
      <c r="L142">
        <v>3.9341111103980002</v>
      </c>
      <c r="M142">
        <v>4.4661213949550698</v>
      </c>
      <c r="N142">
        <v>4.40106606607345</v>
      </c>
      <c r="O142" s="12">
        <v>19.711693389698244</v>
      </c>
      <c r="P142" s="12">
        <v>8.9681603741639861</v>
      </c>
    </row>
    <row r="143" spans="1:16" x14ac:dyDescent="0.3">
      <c r="A143">
        <v>1.6666666670000001</v>
      </c>
      <c r="B143">
        <v>2</v>
      </c>
      <c r="C143">
        <v>10</v>
      </c>
      <c r="D143">
        <v>4.8</v>
      </c>
      <c r="E143">
        <v>8.4133814759999996</v>
      </c>
      <c r="F143">
        <v>0.54</v>
      </c>
      <c r="G143">
        <v>5.29</v>
      </c>
      <c r="H143">
        <v>2.5500000000000002E-3</v>
      </c>
      <c r="I143">
        <v>1.683168888</v>
      </c>
      <c r="J143">
        <v>1.7567216828847401</v>
      </c>
      <c r="K143">
        <v>1.9709285000000001</v>
      </c>
      <c r="L143">
        <v>2.0612071560888698</v>
      </c>
      <c r="M143">
        <v>1.78556705917682</v>
      </c>
      <c r="N143">
        <v>1.674208847524</v>
      </c>
      <c r="O143" s="12">
        <v>5.5486392667607216</v>
      </c>
      <c r="P143" s="12">
        <v>0.62002736980459039</v>
      </c>
    </row>
    <row r="144" spans="1:16" x14ac:dyDescent="0.3">
      <c r="A144">
        <v>1</v>
      </c>
      <c r="B144">
        <v>1</v>
      </c>
      <c r="C144">
        <v>20</v>
      </c>
      <c r="D144">
        <v>14</v>
      </c>
      <c r="E144">
        <v>16.588198259999999</v>
      </c>
      <c r="F144">
        <v>7.0444000000000004</v>
      </c>
      <c r="G144">
        <v>10.43</v>
      </c>
      <c r="H144">
        <v>7.5770400000000002E-3</v>
      </c>
      <c r="I144">
        <v>7.0904985000000004E-2</v>
      </c>
      <c r="J144">
        <v>7.1774091236415996E-2</v>
      </c>
      <c r="K144">
        <v>0.13018718000000001</v>
      </c>
      <c r="L144">
        <v>7.4320805233683604E-2</v>
      </c>
      <c r="M144">
        <v>9.7141803786589806E-2</v>
      </c>
      <c r="N144">
        <v>7.1939182686666395E-2</v>
      </c>
      <c r="O144" s="12">
        <v>-2.5184782952624705</v>
      </c>
      <c r="P144" s="12">
        <v>-8.7443604237334043</v>
      </c>
    </row>
    <row r="145" spans="1:16" x14ac:dyDescent="0.3">
      <c r="A145">
        <v>1.6666666670000001</v>
      </c>
      <c r="B145">
        <v>4</v>
      </c>
      <c r="C145">
        <v>10</v>
      </c>
      <c r="D145">
        <v>4.8</v>
      </c>
      <c r="E145">
        <v>10.926262899999999</v>
      </c>
      <c r="F145">
        <v>0.54</v>
      </c>
      <c r="G145">
        <v>6.87</v>
      </c>
      <c r="H145">
        <v>2.5500000000000002E-3</v>
      </c>
      <c r="I145">
        <v>1.3179103839999999</v>
      </c>
      <c r="J145">
        <v>1.2754729433873799</v>
      </c>
      <c r="K145">
        <v>1.4086921999999999</v>
      </c>
      <c r="L145">
        <v>1.36662195593853</v>
      </c>
      <c r="M145">
        <v>1.32076673394025</v>
      </c>
      <c r="N145">
        <v>1.3232916261529999</v>
      </c>
      <c r="O145" s="12">
        <v>5.861062214668844</v>
      </c>
      <c r="P145" s="12">
        <v>1.1257578748846568</v>
      </c>
    </row>
    <row r="146" spans="1:16" x14ac:dyDescent="0.3">
      <c r="A146">
        <v>1.6666666670000001</v>
      </c>
      <c r="B146">
        <v>2</v>
      </c>
      <c r="C146">
        <v>60</v>
      </c>
      <c r="D146">
        <v>13.8</v>
      </c>
      <c r="E146">
        <v>4.262355833</v>
      </c>
      <c r="F146">
        <v>3.24</v>
      </c>
      <c r="G146">
        <v>2.68</v>
      </c>
      <c r="H146">
        <v>1.205E-2</v>
      </c>
      <c r="I146">
        <v>9.0532578820000005</v>
      </c>
      <c r="J146">
        <v>9.0492893903084006</v>
      </c>
      <c r="K146">
        <v>9.0142930000000003</v>
      </c>
      <c r="L146">
        <v>8.9370714102183406</v>
      </c>
      <c r="M146">
        <v>9.0574873250568402</v>
      </c>
      <c r="N146">
        <v>9.0606189049665904</v>
      </c>
      <c r="O146" s="12">
        <v>28.925226912845677</v>
      </c>
      <c r="P146" s="12">
        <v>18.19729598856518</v>
      </c>
    </row>
    <row r="147" spans="1:16" x14ac:dyDescent="0.3">
      <c r="A147">
        <v>0.6</v>
      </c>
      <c r="B147">
        <v>2</v>
      </c>
      <c r="C147">
        <v>10</v>
      </c>
      <c r="D147">
        <v>6.4</v>
      </c>
      <c r="E147">
        <v>17.940064849999999</v>
      </c>
      <c r="F147">
        <v>0.94</v>
      </c>
      <c r="G147">
        <v>11.28</v>
      </c>
      <c r="H147">
        <v>4.0000000000000001E-3</v>
      </c>
      <c r="I147">
        <v>-0.114623483</v>
      </c>
      <c r="J147">
        <v>-0.114054891692314</v>
      </c>
      <c r="K147">
        <v>-0.16745508000000001</v>
      </c>
      <c r="L147">
        <v>-0.129253158579368</v>
      </c>
      <c r="M147">
        <v>-5.2495316461417398E-2</v>
      </c>
      <c r="N147">
        <v>-0.119165074592</v>
      </c>
      <c r="O147" s="12">
        <v>3.496398486344054</v>
      </c>
      <c r="P147" s="12">
        <v>2.813794906342693</v>
      </c>
    </row>
    <row r="148" spans="1:16" x14ac:dyDescent="0.3">
      <c r="A148">
        <v>1</v>
      </c>
      <c r="B148">
        <v>4</v>
      </c>
      <c r="C148">
        <v>15</v>
      </c>
      <c r="D148">
        <v>15</v>
      </c>
      <c r="E148">
        <v>42.718984200000001</v>
      </c>
      <c r="F148">
        <v>6.5609999999999999</v>
      </c>
      <c r="G148">
        <v>26.86</v>
      </c>
      <c r="H148">
        <v>6.6530799999999996E-3</v>
      </c>
      <c r="I148">
        <v>-2.717283728</v>
      </c>
      <c r="J148">
        <v>-2.7121309723662899</v>
      </c>
      <c r="K148">
        <v>-2.7243966999999998</v>
      </c>
      <c r="L148">
        <v>-2.7490842503835302</v>
      </c>
      <c r="M148">
        <v>-2.7351079827280298</v>
      </c>
      <c r="N148">
        <v>-2.6621941146419901</v>
      </c>
      <c r="O148" s="12">
        <v>-4.8369462533763325</v>
      </c>
      <c r="P148" s="12">
        <v>-6.9699931981321228</v>
      </c>
    </row>
    <row r="149" spans="1:16" x14ac:dyDescent="0.3">
      <c r="A149">
        <v>0.6</v>
      </c>
      <c r="B149">
        <v>4</v>
      </c>
      <c r="C149">
        <v>30</v>
      </c>
      <c r="D149">
        <v>19.8</v>
      </c>
      <c r="E149">
        <v>24.619876229999999</v>
      </c>
      <c r="F149">
        <v>2.82</v>
      </c>
      <c r="G149">
        <v>15.48</v>
      </c>
      <c r="H149">
        <v>9.2599999999999991E-3</v>
      </c>
      <c r="I149">
        <v>-1.237941196</v>
      </c>
      <c r="J149">
        <v>-1.2702491786518899</v>
      </c>
      <c r="K149">
        <v>-0.95730179999999998</v>
      </c>
      <c r="L149">
        <v>-1.3008419846582999</v>
      </c>
      <c r="M149">
        <v>-1.3063276718340999</v>
      </c>
      <c r="N149">
        <v>-1.23070714863599</v>
      </c>
      <c r="O149" s="12">
        <v>-5.2177184760237409</v>
      </c>
      <c r="P149" s="12">
        <v>-9.5671876059369083</v>
      </c>
    </row>
    <row r="150" spans="1:16" x14ac:dyDescent="0.3">
      <c r="A150">
        <v>0.6</v>
      </c>
      <c r="B150">
        <v>6</v>
      </c>
      <c r="C150">
        <v>20</v>
      </c>
      <c r="D150">
        <v>11.5</v>
      </c>
      <c r="E150">
        <v>18.910227930000001</v>
      </c>
      <c r="F150">
        <v>1.88</v>
      </c>
      <c r="G150">
        <v>11.89</v>
      </c>
      <c r="H150">
        <v>6.9700200000000004E-3</v>
      </c>
      <c r="I150">
        <v>-0.32924901600000001</v>
      </c>
      <c r="J150">
        <v>-0.31620727611139299</v>
      </c>
      <c r="K150">
        <v>-3.1325329999999998E-2</v>
      </c>
      <c r="L150">
        <v>-0.35284225691621202</v>
      </c>
      <c r="M150">
        <v>-0.30935615097123598</v>
      </c>
      <c r="N150">
        <v>-0.32451220214933402</v>
      </c>
      <c r="O150" s="12">
        <v>2.2069233487371891</v>
      </c>
      <c r="P150" s="12">
        <v>0.85897512411654364</v>
      </c>
    </row>
    <row r="151" spans="1:16" x14ac:dyDescent="0.3">
      <c r="A151">
        <v>0.6</v>
      </c>
      <c r="B151">
        <v>2</v>
      </c>
      <c r="C151">
        <v>15</v>
      </c>
      <c r="D151">
        <v>7.6</v>
      </c>
      <c r="E151">
        <v>11.578339720000001</v>
      </c>
      <c r="F151">
        <v>1.41</v>
      </c>
      <c r="G151">
        <v>7.28</v>
      </c>
      <c r="H151">
        <v>5.7099999999999998E-3</v>
      </c>
      <c r="I151">
        <v>1.0838445050000001</v>
      </c>
      <c r="J151">
        <v>1.0732787265383801</v>
      </c>
      <c r="K151">
        <v>1.1313959</v>
      </c>
      <c r="L151">
        <v>1.0931361559382999</v>
      </c>
      <c r="M151">
        <v>0.94658599998548199</v>
      </c>
      <c r="N151">
        <v>1.0631247868825899</v>
      </c>
      <c r="O151" s="12">
        <v>4.8200299385792471</v>
      </c>
      <c r="P151" s="12">
        <v>1.8091012401992774</v>
      </c>
    </row>
    <row r="152" spans="1:16" x14ac:dyDescent="0.3">
      <c r="A152">
        <v>1.6666666670000001</v>
      </c>
      <c r="B152">
        <v>2</v>
      </c>
      <c r="C152">
        <v>60</v>
      </c>
      <c r="D152">
        <v>9.1999999999999993</v>
      </c>
      <c r="E152">
        <v>2.1947951680000002</v>
      </c>
      <c r="F152">
        <v>3.24</v>
      </c>
      <c r="G152">
        <v>1.38</v>
      </c>
      <c r="H152">
        <v>1.205E-2</v>
      </c>
      <c r="I152">
        <v>21.353135529999999</v>
      </c>
      <c r="J152">
        <v>21.3355056263823</v>
      </c>
      <c r="K152">
        <v>21.155809999999999</v>
      </c>
      <c r="L152">
        <v>18.036585333902501</v>
      </c>
      <c r="M152">
        <v>21.116900031125599</v>
      </c>
      <c r="N152">
        <v>21.018143213527999</v>
      </c>
      <c r="O152" s="12">
        <v>38.136123290868355</v>
      </c>
      <c r="P152" s="12">
        <v>34.166548732065984</v>
      </c>
    </row>
    <row r="153" spans="1:16" x14ac:dyDescent="0.3">
      <c r="A153">
        <v>0.6</v>
      </c>
      <c r="B153">
        <v>6</v>
      </c>
      <c r="C153">
        <v>60</v>
      </c>
      <c r="D153">
        <v>31.5</v>
      </c>
      <c r="E153">
        <v>2.481072798</v>
      </c>
      <c r="F153">
        <v>5.64</v>
      </c>
      <c r="G153">
        <v>1.56</v>
      </c>
      <c r="H153">
        <v>1.378998E-2</v>
      </c>
      <c r="I153">
        <v>1.8130356459999999</v>
      </c>
      <c r="J153">
        <v>1.8124220583836601</v>
      </c>
      <c r="K153">
        <v>1.9588671</v>
      </c>
      <c r="L153">
        <v>2.20887580757263</v>
      </c>
      <c r="M153">
        <v>1.8206649731817099</v>
      </c>
      <c r="N153">
        <v>1.8477741455700001</v>
      </c>
      <c r="O153" s="12">
        <v>-8.3607948959561309</v>
      </c>
      <c r="P153" s="12">
        <v>4.2719257906015144</v>
      </c>
    </row>
    <row r="154" spans="1:16" x14ac:dyDescent="0.3">
      <c r="A154">
        <v>1</v>
      </c>
      <c r="B154">
        <v>6</v>
      </c>
      <c r="C154">
        <v>40</v>
      </c>
      <c r="D154">
        <v>20.5</v>
      </c>
      <c r="E154">
        <v>7.2682709540000001</v>
      </c>
      <c r="F154">
        <v>7.9885999999999999</v>
      </c>
      <c r="G154">
        <v>4.57</v>
      </c>
      <c r="H154">
        <v>1.0389839999999999E-2</v>
      </c>
      <c r="I154">
        <v>1.6355019470000001</v>
      </c>
      <c r="J154">
        <v>1.59391206269005</v>
      </c>
      <c r="K154">
        <v>1.8167241000000001</v>
      </c>
      <c r="L154">
        <v>2.38507300570704</v>
      </c>
      <c r="M154">
        <v>1.7406911677855601</v>
      </c>
      <c r="N154">
        <v>1.7126099507169901</v>
      </c>
      <c r="O154" s="12">
        <v>-1.3107825852997284</v>
      </c>
      <c r="P154" s="12">
        <v>-8.0923635162732168</v>
      </c>
    </row>
    <row r="155" spans="1:16" x14ac:dyDescent="0.3">
      <c r="A155">
        <v>1.6666666670000001</v>
      </c>
      <c r="B155">
        <v>4</v>
      </c>
      <c r="C155">
        <v>40</v>
      </c>
      <c r="D155">
        <v>19.5</v>
      </c>
      <c r="E155">
        <v>14.29797722</v>
      </c>
      <c r="F155">
        <v>2.16</v>
      </c>
      <c r="G155">
        <v>8.99</v>
      </c>
      <c r="H155">
        <v>8.7799999999999996E-3</v>
      </c>
      <c r="I155">
        <v>0.65797057599999997</v>
      </c>
      <c r="J155">
        <v>0.63234322620428296</v>
      </c>
      <c r="K155">
        <v>0.42884939999999999</v>
      </c>
      <c r="L155">
        <v>0.59518607615087704</v>
      </c>
      <c r="M155">
        <v>0.55331909727008399</v>
      </c>
      <c r="N155">
        <v>0.64564190224223705</v>
      </c>
      <c r="O155" s="12">
        <v>1.9183246626933848</v>
      </c>
      <c r="P155" s="12">
        <v>-5.7445535633903155</v>
      </c>
    </row>
    <row r="156" spans="1:16" x14ac:dyDescent="0.3">
      <c r="A156">
        <v>1</v>
      </c>
      <c r="B156">
        <v>2</v>
      </c>
      <c r="C156">
        <v>20</v>
      </c>
      <c r="D156">
        <v>16.8</v>
      </c>
      <c r="E156">
        <v>37.565986850000002</v>
      </c>
      <c r="F156">
        <v>7.0444000000000004</v>
      </c>
      <c r="G156">
        <v>23.62</v>
      </c>
      <c r="H156">
        <v>7.5770400000000002E-3</v>
      </c>
      <c r="I156">
        <v>-2.8098391290000002</v>
      </c>
      <c r="J156">
        <v>-2.80503492139648</v>
      </c>
      <c r="K156">
        <v>-2.7653365000000001</v>
      </c>
      <c r="L156">
        <v>-2.77551762963517</v>
      </c>
      <c r="M156">
        <v>-2.7796248148362301</v>
      </c>
      <c r="N156">
        <v>-2.7737728237279899</v>
      </c>
      <c r="O156" s="12">
        <v>-5.0599492738475575</v>
      </c>
      <c r="P156" s="12">
        <v>-4.5037605917209689</v>
      </c>
    </row>
    <row r="157" spans="1:16" x14ac:dyDescent="0.3">
      <c r="A157">
        <v>1.6666666670000001</v>
      </c>
      <c r="B157">
        <v>1</v>
      </c>
      <c r="C157">
        <v>15</v>
      </c>
      <c r="D157">
        <v>5.7</v>
      </c>
      <c r="E157">
        <v>5.0575714730000003</v>
      </c>
      <c r="F157">
        <v>0.81</v>
      </c>
      <c r="G157">
        <v>3.18</v>
      </c>
      <c r="H157">
        <v>3.7299999999999998E-3</v>
      </c>
      <c r="I157">
        <v>3.2277244380000001</v>
      </c>
      <c r="J157">
        <v>3.1934468704569698</v>
      </c>
      <c r="K157">
        <v>2.9708214000000002</v>
      </c>
      <c r="L157">
        <v>3.35814300123686</v>
      </c>
      <c r="M157">
        <v>3.2037137536937301</v>
      </c>
      <c r="N157">
        <v>3.1614398731870601</v>
      </c>
      <c r="O157" s="12">
        <v>7.6332204301836208</v>
      </c>
      <c r="P157" s="12">
        <v>5.6560257764609636</v>
      </c>
    </row>
    <row r="158" spans="1:16" x14ac:dyDescent="0.3">
      <c r="A158">
        <v>1</v>
      </c>
      <c r="B158">
        <v>2</v>
      </c>
      <c r="C158">
        <v>15</v>
      </c>
      <c r="D158">
        <v>15</v>
      </c>
      <c r="E158">
        <v>41.923768559999999</v>
      </c>
      <c r="F158">
        <v>6.5609999999999999</v>
      </c>
      <c r="G158">
        <v>26.36</v>
      </c>
      <c r="H158">
        <v>6.6530799999999996E-3</v>
      </c>
      <c r="I158">
        <v>-2.5977562810000001</v>
      </c>
      <c r="J158">
        <v>-2.6163285091986102</v>
      </c>
      <c r="K158">
        <v>-2.7243966999999998</v>
      </c>
      <c r="L158">
        <v>-2.6553814376492002</v>
      </c>
      <c r="M158">
        <v>-2.64920472134812</v>
      </c>
      <c r="N158">
        <v>-2.6580290704239902</v>
      </c>
      <c r="O158" s="12">
        <v>-4.8787387849517287</v>
      </c>
      <c r="P158" s="12">
        <v>-5.7490297711155094</v>
      </c>
    </row>
    <row r="159" spans="1:16" x14ac:dyDescent="0.3">
      <c r="A159">
        <v>0.6</v>
      </c>
      <c r="B159">
        <v>1</v>
      </c>
      <c r="C159">
        <v>60</v>
      </c>
      <c r="D159">
        <v>32</v>
      </c>
      <c r="E159">
        <v>13.423240010000001</v>
      </c>
      <c r="F159">
        <v>5.64</v>
      </c>
      <c r="G159">
        <v>8.44</v>
      </c>
      <c r="H159">
        <v>1.379E-2</v>
      </c>
      <c r="I159">
        <v>0.69736441599999999</v>
      </c>
      <c r="J159">
        <v>0.70116344977102096</v>
      </c>
      <c r="K159">
        <v>0.67367279999999996</v>
      </c>
      <c r="L159">
        <v>0.64792588240277504</v>
      </c>
      <c r="M159">
        <v>0.66294376893667895</v>
      </c>
      <c r="N159">
        <v>0.69034553571099999</v>
      </c>
      <c r="O159" s="12">
        <v>-7.4646088973634797</v>
      </c>
      <c r="P159" s="12">
        <v>15.355686125173364</v>
      </c>
    </row>
    <row r="160" spans="1:16" x14ac:dyDescent="0.3">
      <c r="A160">
        <v>1</v>
      </c>
      <c r="B160">
        <v>1</v>
      </c>
      <c r="C160">
        <v>20</v>
      </c>
      <c r="D160">
        <v>11.2</v>
      </c>
      <c r="E160">
        <v>10.178760199999999</v>
      </c>
      <c r="F160">
        <v>7.0444000000000004</v>
      </c>
      <c r="G160">
        <v>6.4</v>
      </c>
      <c r="H160">
        <v>7.5770400000000002E-3</v>
      </c>
      <c r="I160">
        <v>1.0822735459999999</v>
      </c>
      <c r="J160">
        <v>1.0946913358705599</v>
      </c>
      <c r="K160">
        <v>1.1623222</v>
      </c>
      <c r="L160">
        <v>1.2203089903981099</v>
      </c>
      <c r="M160">
        <v>1.1879768187211599</v>
      </c>
      <c r="N160">
        <v>1.10042079932799</v>
      </c>
      <c r="O160" s="12">
        <v>2.2765898825948763</v>
      </c>
      <c r="P160" s="12">
        <v>-4.0988175395998994</v>
      </c>
    </row>
    <row r="161" spans="1:16" x14ac:dyDescent="0.3">
      <c r="A161">
        <v>0.6</v>
      </c>
      <c r="B161">
        <v>2</v>
      </c>
      <c r="C161">
        <v>60</v>
      </c>
      <c r="D161">
        <v>4.5999999999999996</v>
      </c>
      <c r="E161">
        <v>0</v>
      </c>
      <c r="F161">
        <v>5.64</v>
      </c>
      <c r="G161">
        <v>0</v>
      </c>
      <c r="H161">
        <v>1.379E-2</v>
      </c>
      <c r="I161">
        <v>86.831721079999994</v>
      </c>
      <c r="J161">
        <v>86.821118153416407</v>
      </c>
      <c r="K161">
        <v>87.234499999999997</v>
      </c>
      <c r="L161">
        <v>86.629896262253297</v>
      </c>
      <c r="M161">
        <v>86.858745348527293</v>
      </c>
      <c r="N161">
        <v>86.831721080000705</v>
      </c>
      <c r="O161" s="12">
        <v>47.184008943740594</v>
      </c>
      <c r="P161" s="12">
        <v>55.952254576237365</v>
      </c>
    </row>
    <row r="162" spans="1:16" x14ac:dyDescent="0.3">
      <c r="A162">
        <v>1</v>
      </c>
      <c r="B162">
        <v>1</v>
      </c>
      <c r="C162">
        <v>60</v>
      </c>
      <c r="D162">
        <v>33.299999999999997</v>
      </c>
      <c r="E162">
        <v>16.397346509999998</v>
      </c>
      <c r="F162">
        <v>7.9885999999999999</v>
      </c>
      <c r="G162">
        <v>10.31</v>
      </c>
      <c r="H162">
        <v>1.2535019999999999E-2</v>
      </c>
      <c r="I162">
        <v>0.14908755900000001</v>
      </c>
      <c r="J162">
        <v>0.13349830139989199</v>
      </c>
      <c r="K162">
        <v>5.4023979999999999E-2</v>
      </c>
      <c r="L162">
        <v>0.152296933022631</v>
      </c>
      <c r="M162">
        <v>9.9760381057307307E-2</v>
      </c>
      <c r="N162">
        <v>0.15590194801400101</v>
      </c>
      <c r="O162" s="12">
        <v>-10.272686825465689</v>
      </c>
      <c r="P162" s="12">
        <v>18.080206098100163</v>
      </c>
    </row>
    <row r="163" spans="1:16" x14ac:dyDescent="0.3">
      <c r="A163">
        <v>1.6666666670000001</v>
      </c>
      <c r="B163">
        <v>2</v>
      </c>
      <c r="C163">
        <v>40</v>
      </c>
      <c r="D163">
        <v>11.7</v>
      </c>
      <c r="E163">
        <v>7.6817830870000003</v>
      </c>
      <c r="F163">
        <v>2.16</v>
      </c>
      <c r="G163">
        <v>4.83</v>
      </c>
      <c r="H163">
        <v>8.7799999999999996E-3</v>
      </c>
      <c r="I163">
        <v>4.7710451850000002</v>
      </c>
      <c r="J163">
        <v>4.7514852234673501</v>
      </c>
      <c r="K163">
        <v>4.4883956999999999</v>
      </c>
      <c r="L163">
        <v>4.51908636920815</v>
      </c>
      <c r="M163">
        <v>4.7273319872305901</v>
      </c>
      <c r="N163">
        <v>4.71446380963806</v>
      </c>
      <c r="O163" s="12">
        <v>17.130245862457731</v>
      </c>
      <c r="P163" s="12">
        <v>11.850733576649557</v>
      </c>
    </row>
    <row r="164" spans="1:16" x14ac:dyDescent="0.3">
      <c r="A164">
        <v>0.6</v>
      </c>
      <c r="B164">
        <v>2</v>
      </c>
      <c r="C164">
        <v>40</v>
      </c>
      <c r="D164">
        <v>19.5</v>
      </c>
      <c r="E164">
        <v>14.854628160000001</v>
      </c>
      <c r="F164">
        <v>3.76</v>
      </c>
      <c r="G164">
        <v>9.34</v>
      </c>
      <c r="H164">
        <v>9.2599999999999991E-3</v>
      </c>
      <c r="I164">
        <v>0.53972812699999995</v>
      </c>
      <c r="J164">
        <v>0.51957523058852495</v>
      </c>
      <c r="K164">
        <v>0.12555880999999999</v>
      </c>
      <c r="L164">
        <v>0.50941136439624202</v>
      </c>
      <c r="M164">
        <v>0.52061661110858803</v>
      </c>
      <c r="N164">
        <v>0.53824669623340304</v>
      </c>
      <c r="O164" s="12">
        <v>1.0711795082746995</v>
      </c>
      <c r="P164" s="12">
        <v>-3.1760650948766056</v>
      </c>
    </row>
    <row r="165" spans="1:16" x14ac:dyDescent="0.3">
      <c r="A165">
        <v>1</v>
      </c>
      <c r="B165">
        <v>2</v>
      </c>
      <c r="C165">
        <v>15</v>
      </c>
      <c r="D165">
        <v>2.5</v>
      </c>
      <c r="E165">
        <v>0.68388545099999998</v>
      </c>
      <c r="F165">
        <v>6.5609999999999999</v>
      </c>
      <c r="G165">
        <v>0.43</v>
      </c>
      <c r="H165">
        <v>6.6530799999999996E-3</v>
      </c>
      <c r="I165">
        <v>18.812000640000001</v>
      </c>
      <c r="J165">
        <v>18.847103508393001</v>
      </c>
      <c r="K165">
        <v>18.738593999999999</v>
      </c>
      <c r="L165">
        <v>20.6372214614738</v>
      </c>
      <c r="M165">
        <v>18.861879023484299</v>
      </c>
      <c r="N165">
        <v>18.984899600044098</v>
      </c>
      <c r="O165" s="12">
        <v>14.538449335603451</v>
      </c>
      <c r="P165" s="12">
        <v>20.274491279340445</v>
      </c>
    </row>
    <row r="166" spans="1:16" x14ac:dyDescent="0.3">
      <c r="A166">
        <v>0.6</v>
      </c>
      <c r="B166">
        <v>2</v>
      </c>
      <c r="C166">
        <v>30</v>
      </c>
      <c r="D166">
        <v>19.8</v>
      </c>
      <c r="E166">
        <v>34.13065529</v>
      </c>
      <c r="F166">
        <v>2.82</v>
      </c>
      <c r="G166">
        <v>21.46</v>
      </c>
      <c r="H166">
        <v>9.2599999999999991E-3</v>
      </c>
      <c r="I166">
        <v>-3.459216316</v>
      </c>
      <c r="J166">
        <v>-3.4442038743636498</v>
      </c>
      <c r="K166">
        <v>-3.0999680000000001</v>
      </c>
      <c r="L166">
        <v>-3.0713151882555101</v>
      </c>
      <c r="M166">
        <v>-3.3278157240536599</v>
      </c>
      <c r="N166">
        <v>-3.3999529717780002</v>
      </c>
      <c r="O166" s="12">
        <v>-3.6357285102329868</v>
      </c>
      <c r="P166" s="12">
        <v>-1.1583355391649661</v>
      </c>
    </row>
    <row r="167" spans="1:16" x14ac:dyDescent="0.3">
      <c r="A167">
        <v>0.6</v>
      </c>
      <c r="B167">
        <v>1</v>
      </c>
      <c r="C167">
        <v>60</v>
      </c>
      <c r="D167">
        <v>18.399999999999999</v>
      </c>
      <c r="E167">
        <v>6.3299164980000002</v>
      </c>
      <c r="F167">
        <v>5.64</v>
      </c>
      <c r="G167">
        <v>3.98</v>
      </c>
      <c r="H167">
        <v>1.379E-2</v>
      </c>
      <c r="I167">
        <v>4.6892055079999997</v>
      </c>
      <c r="J167">
        <v>4.6712962784294199</v>
      </c>
      <c r="K167">
        <v>4.5470003999999999</v>
      </c>
      <c r="L167">
        <v>4.1890469052105104</v>
      </c>
      <c r="M167">
        <v>4.6538881324435097</v>
      </c>
      <c r="N167">
        <v>4.6461110029995103</v>
      </c>
      <c r="O167" s="12">
        <v>19.613116171115148</v>
      </c>
      <c r="P167" s="12">
        <v>11.238015546156745</v>
      </c>
    </row>
    <row r="168" spans="1:16" x14ac:dyDescent="0.3">
      <c r="A168">
        <v>1.6666666670000001</v>
      </c>
      <c r="B168">
        <v>4</v>
      </c>
      <c r="C168">
        <v>20</v>
      </c>
      <c r="D168">
        <v>4.5999999999999996</v>
      </c>
      <c r="E168">
        <v>4.3895903350000003</v>
      </c>
      <c r="F168">
        <v>1.08</v>
      </c>
      <c r="G168">
        <v>2.76</v>
      </c>
      <c r="H168">
        <v>4.8399999999999997E-3</v>
      </c>
      <c r="I168">
        <v>9.017222812</v>
      </c>
      <c r="J168">
        <v>8.9910679502090396</v>
      </c>
      <c r="K168">
        <v>9.0669775000000001</v>
      </c>
      <c r="L168">
        <v>8.51318313945686</v>
      </c>
      <c r="M168">
        <v>9.0339399719434894</v>
      </c>
      <c r="N168">
        <v>8.9480157884461597</v>
      </c>
      <c r="O168" s="12">
        <v>14.069378027518114</v>
      </c>
      <c r="P168" s="12">
        <v>15.221380568126555</v>
      </c>
    </row>
    <row r="169" spans="1:16" x14ac:dyDescent="0.3">
      <c r="A169">
        <v>1.6666666670000001</v>
      </c>
      <c r="B169">
        <v>6</v>
      </c>
      <c r="C169">
        <v>30</v>
      </c>
      <c r="D169">
        <v>9.9</v>
      </c>
      <c r="E169">
        <v>7.3636968300000003</v>
      </c>
      <c r="F169">
        <v>1.62</v>
      </c>
      <c r="G169">
        <v>4.63</v>
      </c>
      <c r="H169">
        <v>6.9100200000000002E-3</v>
      </c>
      <c r="I169">
        <v>3.8244264349999999</v>
      </c>
      <c r="J169">
        <v>3.8842804422060899</v>
      </c>
      <c r="K169">
        <v>3.7954273000000001</v>
      </c>
      <c r="L169">
        <v>3.6809824264248898</v>
      </c>
      <c r="M169">
        <v>3.7871727246803499</v>
      </c>
      <c r="N169">
        <v>3.8275858577347002</v>
      </c>
      <c r="O169" s="12">
        <v>12.129001410873077</v>
      </c>
      <c r="P169" s="12">
        <v>9.9749441426804957</v>
      </c>
    </row>
    <row r="170" spans="1:16" x14ac:dyDescent="0.3">
      <c r="A170">
        <v>0.6</v>
      </c>
      <c r="B170">
        <v>2</v>
      </c>
      <c r="C170">
        <v>30</v>
      </c>
      <c r="D170">
        <v>23.6</v>
      </c>
      <c r="E170">
        <v>38.790618940000002</v>
      </c>
      <c r="F170">
        <v>2.82</v>
      </c>
      <c r="G170">
        <v>24.39</v>
      </c>
      <c r="H170">
        <v>9.2599999999999991E-3</v>
      </c>
      <c r="I170">
        <v>-3.3857788910000002</v>
      </c>
      <c r="J170">
        <v>-3.38252919617294</v>
      </c>
      <c r="K170">
        <v>-3.3200539999999998</v>
      </c>
      <c r="L170">
        <v>-3.2160861536152199</v>
      </c>
      <c r="M170">
        <v>-3.4425126163641799</v>
      </c>
      <c r="N170">
        <v>-3.3846765817079798</v>
      </c>
      <c r="O170" s="12">
        <v>-10.779624694586509</v>
      </c>
      <c r="P170" s="12">
        <v>-2.3607849708046729</v>
      </c>
    </row>
    <row r="171" spans="1:16" x14ac:dyDescent="0.3">
      <c r="A171">
        <v>1</v>
      </c>
      <c r="B171">
        <v>4</v>
      </c>
      <c r="C171">
        <v>10</v>
      </c>
      <c r="D171">
        <v>5.4</v>
      </c>
      <c r="E171">
        <v>12.866589060000001</v>
      </c>
      <c r="F171">
        <v>5.8784999999999998</v>
      </c>
      <c r="G171">
        <v>8.09</v>
      </c>
      <c r="H171">
        <v>5.5425200000000004E-3</v>
      </c>
      <c r="I171">
        <v>0.78671035199999995</v>
      </c>
      <c r="J171">
        <v>0.81299243947246302</v>
      </c>
      <c r="K171">
        <v>1.0201442000000001</v>
      </c>
      <c r="L171">
        <v>0.85208036273946597</v>
      </c>
      <c r="M171">
        <v>0.84340869968986798</v>
      </c>
      <c r="N171">
        <v>0.79848379326700403</v>
      </c>
      <c r="O171" s="12">
        <v>6.0002268126731551</v>
      </c>
      <c r="P171" s="12">
        <v>1.4817086706502316</v>
      </c>
    </row>
    <row r="172" spans="1:16" x14ac:dyDescent="0.3">
      <c r="A172">
        <v>0.6</v>
      </c>
      <c r="B172">
        <v>2</v>
      </c>
      <c r="C172">
        <v>40</v>
      </c>
      <c r="D172">
        <v>15.6</v>
      </c>
      <c r="E172">
        <v>9.4948747470000008</v>
      </c>
      <c r="F172">
        <v>3.76</v>
      </c>
      <c r="G172">
        <v>5.97</v>
      </c>
      <c r="H172">
        <v>9.2599999999999991E-3</v>
      </c>
      <c r="I172">
        <v>2.3291514449999999</v>
      </c>
      <c r="J172">
        <v>2.2751275321920099</v>
      </c>
      <c r="K172">
        <v>2.3228393000000001</v>
      </c>
      <c r="L172">
        <v>2.2245610536410401</v>
      </c>
      <c r="M172">
        <v>2.2780628699053</v>
      </c>
      <c r="N172">
        <v>2.2820858565441</v>
      </c>
      <c r="O172" s="12">
        <v>8.3121374480515815</v>
      </c>
      <c r="P172" s="12">
        <v>0.98204417468440397</v>
      </c>
    </row>
    <row r="173" spans="1:16" x14ac:dyDescent="0.3">
      <c r="A173">
        <v>1.6666666670000001</v>
      </c>
      <c r="B173">
        <v>4</v>
      </c>
      <c r="C173">
        <v>10</v>
      </c>
      <c r="D173">
        <v>3.2</v>
      </c>
      <c r="E173">
        <v>5.2325189139999999</v>
      </c>
      <c r="F173">
        <v>0.54</v>
      </c>
      <c r="G173">
        <v>3.29</v>
      </c>
      <c r="H173">
        <v>2.5500000000000002E-3</v>
      </c>
      <c r="I173">
        <v>4.5211526700000002</v>
      </c>
      <c r="J173">
        <v>4.54008395458618</v>
      </c>
      <c r="K173">
        <v>4.6427100000000001</v>
      </c>
      <c r="L173">
        <v>4.29428311916526</v>
      </c>
      <c r="M173">
        <v>4.5048179641568202</v>
      </c>
      <c r="N173">
        <v>4.6025868585299898</v>
      </c>
      <c r="O173" s="12">
        <v>8.2810699667037362</v>
      </c>
      <c r="P173" s="12">
        <v>5.5610300750282864</v>
      </c>
    </row>
    <row r="174" spans="1:16" x14ac:dyDescent="0.3">
      <c r="A174">
        <v>1.6666666670000001</v>
      </c>
      <c r="B174">
        <v>1</v>
      </c>
      <c r="C174">
        <v>15</v>
      </c>
      <c r="D174">
        <v>13.3</v>
      </c>
      <c r="E174">
        <v>21.02550153</v>
      </c>
      <c r="F174">
        <v>0.81</v>
      </c>
      <c r="G174">
        <v>13.22</v>
      </c>
      <c r="H174">
        <v>3.7299999999999998E-3</v>
      </c>
      <c r="I174">
        <v>-0.32453197299999997</v>
      </c>
      <c r="J174">
        <v>-0.34243570676794599</v>
      </c>
      <c r="K174">
        <v>-0.64844710000000005</v>
      </c>
      <c r="L174">
        <v>-0.486906259891914</v>
      </c>
      <c r="M174">
        <v>-0.26824897989416202</v>
      </c>
      <c r="N174">
        <v>-0.36801859311100199</v>
      </c>
      <c r="O174" s="12">
        <v>-5.6071319937640389</v>
      </c>
      <c r="P174" s="12">
        <v>-14.538388666368505</v>
      </c>
    </row>
    <row r="175" spans="1:16" x14ac:dyDescent="0.3">
      <c r="A175">
        <v>1.6666666670000001</v>
      </c>
      <c r="B175">
        <v>6</v>
      </c>
      <c r="C175">
        <v>20</v>
      </c>
      <c r="D175">
        <v>4.5999999999999996</v>
      </c>
      <c r="E175">
        <v>3.944269577</v>
      </c>
      <c r="F175">
        <v>1.08</v>
      </c>
      <c r="G175">
        <v>2.48</v>
      </c>
      <c r="H175">
        <v>4.8400200000000004E-3</v>
      </c>
      <c r="I175">
        <v>9.1387086899999996</v>
      </c>
      <c r="J175">
        <v>9.1429361328214895</v>
      </c>
      <c r="K175">
        <v>9.0551589999999997</v>
      </c>
      <c r="L175">
        <v>8.8607807343253508</v>
      </c>
      <c r="M175">
        <v>9.2209707458088808</v>
      </c>
      <c r="N175">
        <v>9.1158326322576499</v>
      </c>
      <c r="O175" s="12">
        <v>13.915729911004364</v>
      </c>
      <c r="P175" s="12">
        <v>19.04907246171134</v>
      </c>
    </row>
    <row r="176" spans="1:16" x14ac:dyDescent="0.3">
      <c r="A176">
        <v>1.6666666670000001</v>
      </c>
      <c r="B176">
        <v>6</v>
      </c>
      <c r="C176">
        <v>40</v>
      </c>
      <c r="D176">
        <v>26.7</v>
      </c>
      <c r="E176">
        <v>16.874475889999999</v>
      </c>
      <c r="F176">
        <v>2.16</v>
      </c>
      <c r="G176">
        <v>10.61</v>
      </c>
      <c r="H176">
        <v>8.7799799999999997E-3</v>
      </c>
      <c r="I176">
        <v>3.8808306000000001E-2</v>
      </c>
      <c r="J176">
        <v>5.3752019750862502E-2</v>
      </c>
      <c r="K176">
        <v>-3.3804923000000001E-2</v>
      </c>
      <c r="L176">
        <v>4.7682333469473703E-2</v>
      </c>
      <c r="M176">
        <v>9.9558274452335505E-2</v>
      </c>
      <c r="N176">
        <v>4.1456042334999901E-2</v>
      </c>
      <c r="O176" s="12">
        <v>-12.68618228707021</v>
      </c>
      <c r="P176" s="12">
        <v>-4.6066750406686623</v>
      </c>
    </row>
    <row r="177" spans="1:16" x14ac:dyDescent="0.3">
      <c r="A177">
        <v>1</v>
      </c>
      <c r="B177">
        <v>1</v>
      </c>
      <c r="C177">
        <v>30</v>
      </c>
      <c r="D177">
        <v>10.8</v>
      </c>
      <c r="E177">
        <v>5.3120404780000001</v>
      </c>
      <c r="F177">
        <v>7.6656000000000004</v>
      </c>
      <c r="G177">
        <v>3.34</v>
      </c>
      <c r="H177">
        <v>9.1083599999999994E-3</v>
      </c>
      <c r="I177">
        <v>3.6518295919999999</v>
      </c>
      <c r="J177">
        <v>3.6396616803444801</v>
      </c>
      <c r="K177">
        <v>3.9481544</v>
      </c>
      <c r="L177">
        <v>3.7089114042721798</v>
      </c>
      <c r="M177">
        <v>3.6466303277426202</v>
      </c>
      <c r="N177">
        <v>3.7298053668218198</v>
      </c>
      <c r="O177" s="12">
        <v>10.601990615679995</v>
      </c>
      <c r="P177" s="12">
        <v>6.9696635377360323</v>
      </c>
    </row>
    <row r="178" spans="1:16" x14ac:dyDescent="0.3">
      <c r="A178">
        <v>1</v>
      </c>
      <c r="B178">
        <v>4</v>
      </c>
      <c r="C178">
        <v>10</v>
      </c>
      <c r="D178">
        <v>7.2</v>
      </c>
      <c r="E178">
        <v>24.349502909999998</v>
      </c>
      <c r="F178">
        <v>5.8784999999999998</v>
      </c>
      <c r="G178">
        <v>15.31</v>
      </c>
      <c r="H178">
        <v>5.5425200000000004E-3</v>
      </c>
      <c r="I178">
        <v>-1.0213734779999999</v>
      </c>
      <c r="J178">
        <v>-1.0510383978352</v>
      </c>
      <c r="K178">
        <v>-0.68680006000000005</v>
      </c>
      <c r="L178">
        <v>-1.1031400256305099</v>
      </c>
      <c r="M178">
        <v>-1.0417783380972001</v>
      </c>
      <c r="N178">
        <v>-1.0624760555269901</v>
      </c>
      <c r="O178" s="12">
        <v>4.0777066139280134</v>
      </c>
      <c r="P178" s="12">
        <v>1.0964215209124399</v>
      </c>
    </row>
    <row r="179" spans="1:16" x14ac:dyDescent="0.3">
      <c r="A179">
        <v>1.6666666670000001</v>
      </c>
      <c r="B179">
        <v>6</v>
      </c>
      <c r="C179">
        <v>40</v>
      </c>
      <c r="D179">
        <v>7.8</v>
      </c>
      <c r="E179">
        <v>3.5784703819999999</v>
      </c>
      <c r="F179">
        <v>2.16</v>
      </c>
      <c r="G179">
        <v>2.25</v>
      </c>
      <c r="H179">
        <v>8.7799799999999997E-3</v>
      </c>
      <c r="I179">
        <v>12.838997750000001</v>
      </c>
      <c r="J179">
        <v>12.825744417087501</v>
      </c>
      <c r="K179">
        <v>12.560758999999999</v>
      </c>
      <c r="L179">
        <v>12.439992775217201</v>
      </c>
      <c r="M179">
        <v>12.771279108498399</v>
      </c>
      <c r="N179">
        <v>12.8312028156653</v>
      </c>
      <c r="O179" s="12">
        <v>24.402151631626133</v>
      </c>
      <c r="P179" s="12">
        <v>27.693292225019917</v>
      </c>
    </row>
    <row r="180" spans="1:16" x14ac:dyDescent="0.3">
      <c r="A180">
        <v>1</v>
      </c>
      <c r="B180">
        <v>1</v>
      </c>
      <c r="C180">
        <v>20</v>
      </c>
      <c r="D180">
        <v>20.100000000000001</v>
      </c>
      <c r="E180">
        <v>33.717143149999998</v>
      </c>
      <c r="F180">
        <v>7.0444000000000004</v>
      </c>
      <c r="G180">
        <v>21.2</v>
      </c>
      <c r="H180">
        <v>7.5770400000000002E-3</v>
      </c>
      <c r="I180">
        <v>-1.480576669</v>
      </c>
      <c r="J180">
        <v>-1.4999183387433901</v>
      </c>
      <c r="K180">
        <v>-2.0861979000000002</v>
      </c>
      <c r="L180">
        <v>-1.62571336861252</v>
      </c>
      <c r="M180">
        <v>-1.55522345094727</v>
      </c>
      <c r="N180">
        <v>-1.509267585243</v>
      </c>
      <c r="O180" s="12">
        <v>-12.466125731264848</v>
      </c>
      <c r="P180" s="12">
        <v>-10.522824860761396</v>
      </c>
    </row>
    <row r="181" spans="1:16" x14ac:dyDescent="0.3">
      <c r="A181">
        <v>1.6666666670000001</v>
      </c>
      <c r="B181">
        <v>1</v>
      </c>
      <c r="C181">
        <v>40</v>
      </c>
      <c r="D181">
        <v>26.8</v>
      </c>
      <c r="E181">
        <v>23.80875627</v>
      </c>
      <c r="F181">
        <v>2.16</v>
      </c>
      <c r="G181">
        <v>14.97</v>
      </c>
      <c r="H181">
        <v>8.7799999999999996E-3</v>
      </c>
      <c r="I181">
        <v>-1.0497330140000001</v>
      </c>
      <c r="J181">
        <v>-1.0344893074178201</v>
      </c>
      <c r="K181">
        <v>-0.99930180000000002</v>
      </c>
      <c r="L181">
        <v>-0.94650828636246098</v>
      </c>
      <c r="M181">
        <v>-1.09743537310987</v>
      </c>
      <c r="N181">
        <v>-1.016604803406</v>
      </c>
      <c r="O181" s="12">
        <v>-11.592192894049317</v>
      </c>
      <c r="P181" s="12">
        <v>1.3815062112080163</v>
      </c>
    </row>
    <row r="182" spans="1:16" x14ac:dyDescent="0.3">
      <c r="A182">
        <v>0.6</v>
      </c>
      <c r="B182">
        <v>2</v>
      </c>
      <c r="C182">
        <v>40</v>
      </c>
      <c r="D182">
        <v>27.5</v>
      </c>
      <c r="E182">
        <v>24.92205817</v>
      </c>
      <c r="F182">
        <v>3.76</v>
      </c>
      <c r="G182">
        <v>15.67</v>
      </c>
      <c r="H182">
        <v>9.2599999999999991E-3</v>
      </c>
      <c r="I182">
        <v>-1.1957343030000001</v>
      </c>
      <c r="J182">
        <v>-1.2017119473642299</v>
      </c>
      <c r="K182">
        <v>-1.3636432000000001</v>
      </c>
      <c r="L182">
        <v>-1.2937413137343701</v>
      </c>
      <c r="M182">
        <v>-1.20288744176138</v>
      </c>
      <c r="N182">
        <v>-1.2419824094254901</v>
      </c>
      <c r="O182" s="12">
        <v>-13.928112877661491</v>
      </c>
      <c r="P182" s="12">
        <v>-0.18010452990375825</v>
      </c>
    </row>
    <row r="183" spans="1:16" x14ac:dyDescent="0.3">
      <c r="A183">
        <v>1.6666666670000001</v>
      </c>
      <c r="B183">
        <v>6</v>
      </c>
      <c r="C183">
        <v>40</v>
      </c>
      <c r="D183">
        <v>15.6</v>
      </c>
      <c r="E183">
        <v>8.9223194859999992</v>
      </c>
      <c r="F183">
        <v>2.16</v>
      </c>
      <c r="G183">
        <v>5.61</v>
      </c>
      <c r="H183">
        <v>8.7799799999999997E-3</v>
      </c>
      <c r="I183">
        <v>2.449204715</v>
      </c>
      <c r="J183">
        <v>2.4774761591682402</v>
      </c>
      <c r="K183">
        <v>2.4714564999999999</v>
      </c>
      <c r="L183">
        <v>2.5386439457071299</v>
      </c>
      <c r="M183">
        <v>2.4788316370564898</v>
      </c>
      <c r="N183">
        <v>2.4743290757696599</v>
      </c>
      <c r="O183" s="12">
        <v>9.0732627839206508</v>
      </c>
      <c r="P183" s="12">
        <v>2.6123956124785224</v>
      </c>
    </row>
    <row r="184" spans="1:16" x14ac:dyDescent="0.3">
      <c r="A184">
        <v>1.6666666670000001</v>
      </c>
      <c r="B184">
        <v>6</v>
      </c>
      <c r="C184">
        <v>15</v>
      </c>
      <c r="D184">
        <v>13.3</v>
      </c>
      <c r="E184">
        <v>42.273663450000001</v>
      </c>
      <c r="F184">
        <v>0.81</v>
      </c>
      <c r="G184">
        <v>26.58</v>
      </c>
      <c r="H184">
        <v>3.7300200000000001E-3</v>
      </c>
      <c r="I184">
        <v>-3.287049406</v>
      </c>
      <c r="J184">
        <v>-3.2554121569071</v>
      </c>
      <c r="K184">
        <v>-3.0609731999999998</v>
      </c>
      <c r="L184">
        <v>-3.0510669266199799</v>
      </c>
      <c r="M184">
        <v>-3.2024566429523298</v>
      </c>
      <c r="N184">
        <v>-3.34497015783999</v>
      </c>
      <c r="O184" s="12">
        <v>-2.4680671772864864</v>
      </c>
      <c r="P184" s="12">
        <v>-0.47878604263811297</v>
      </c>
    </row>
    <row r="185" spans="1:16" x14ac:dyDescent="0.3">
      <c r="A185">
        <v>1</v>
      </c>
      <c r="B185">
        <v>1</v>
      </c>
      <c r="C185">
        <v>30</v>
      </c>
      <c r="D185">
        <v>7.2</v>
      </c>
      <c r="E185">
        <v>2.2106994800000002</v>
      </c>
      <c r="F185">
        <v>7.6656000000000004</v>
      </c>
      <c r="G185">
        <v>1.39</v>
      </c>
      <c r="H185">
        <v>9.1083599999999994E-3</v>
      </c>
      <c r="I185">
        <v>8.9358933599999997</v>
      </c>
      <c r="J185">
        <v>8.8767490177450306</v>
      </c>
      <c r="K185">
        <v>8.9348559999999999</v>
      </c>
      <c r="L185">
        <v>9.4743257026551007</v>
      </c>
      <c r="M185">
        <v>8.9097498102079697</v>
      </c>
      <c r="N185">
        <v>8.8442910278645002</v>
      </c>
      <c r="O185" s="12">
        <v>17.576821660730989</v>
      </c>
      <c r="P185" s="12">
        <v>20.556052298580333</v>
      </c>
    </row>
    <row r="186" spans="1:16" x14ac:dyDescent="0.3">
      <c r="A186">
        <v>1.6666666670000001</v>
      </c>
      <c r="B186">
        <v>6</v>
      </c>
      <c r="C186">
        <v>15</v>
      </c>
      <c r="D186">
        <v>5.7</v>
      </c>
      <c r="E186">
        <v>8.9859367369999994</v>
      </c>
      <c r="F186">
        <v>0.81</v>
      </c>
      <c r="G186">
        <v>5.65</v>
      </c>
      <c r="H186">
        <v>3.7300200000000001E-3</v>
      </c>
      <c r="I186">
        <v>2.5661440670000002</v>
      </c>
      <c r="J186">
        <v>2.57612425376057</v>
      </c>
      <c r="K186">
        <v>2.3800515999999998</v>
      </c>
      <c r="L186">
        <v>2.50425746102795</v>
      </c>
      <c r="M186">
        <v>2.5022104485011498</v>
      </c>
      <c r="N186">
        <v>2.56594458338934</v>
      </c>
      <c r="O186" s="12">
        <v>8.0434285485344432</v>
      </c>
      <c r="P186" s="12">
        <v>8.6571472263112881</v>
      </c>
    </row>
    <row r="187" spans="1:16" x14ac:dyDescent="0.3">
      <c r="A187">
        <v>0.6</v>
      </c>
      <c r="B187">
        <v>4</v>
      </c>
      <c r="C187">
        <v>40</v>
      </c>
      <c r="D187">
        <v>15.6</v>
      </c>
      <c r="E187">
        <v>9.2563100550000001</v>
      </c>
      <c r="F187">
        <v>3.76</v>
      </c>
      <c r="G187">
        <v>5.82</v>
      </c>
      <c r="H187">
        <v>9.2599999999999991E-3</v>
      </c>
      <c r="I187">
        <v>2.380080779</v>
      </c>
      <c r="J187">
        <v>2.4010488826079501</v>
      </c>
      <c r="K187">
        <v>2.5452713999999999</v>
      </c>
      <c r="L187">
        <v>2.41534341814272</v>
      </c>
      <c r="M187">
        <v>2.3076016850090801</v>
      </c>
      <c r="N187">
        <v>2.3930916333537402</v>
      </c>
      <c r="O187" s="12">
        <v>8.1910505625414043</v>
      </c>
      <c r="P187" s="12">
        <v>-0.9213349829555284</v>
      </c>
    </row>
    <row r="188" spans="1:16" x14ac:dyDescent="0.3">
      <c r="A188">
        <v>1</v>
      </c>
      <c r="B188">
        <v>1</v>
      </c>
      <c r="C188">
        <v>30</v>
      </c>
      <c r="D188">
        <v>14.4</v>
      </c>
      <c r="E188">
        <v>9.8924825670000001</v>
      </c>
      <c r="F188">
        <v>7.6656000000000004</v>
      </c>
      <c r="G188">
        <v>6.22</v>
      </c>
      <c r="H188">
        <v>9.1083599999999994E-3</v>
      </c>
      <c r="I188">
        <v>1.5173811290000001</v>
      </c>
      <c r="J188">
        <v>1.49753303449996</v>
      </c>
      <c r="K188">
        <v>1.2936623</v>
      </c>
      <c r="L188">
        <v>1.53943972505535</v>
      </c>
      <c r="M188">
        <v>1.4867659203681001</v>
      </c>
      <c r="N188">
        <v>1.51445494539366</v>
      </c>
      <c r="O188" s="12">
        <v>3.8602024290152013</v>
      </c>
      <c r="P188" s="12">
        <v>-1.8628749416962693</v>
      </c>
    </row>
    <row r="189" spans="1:16" x14ac:dyDescent="0.3">
      <c r="A189">
        <v>1.6666666670000001</v>
      </c>
      <c r="B189">
        <v>2</v>
      </c>
      <c r="C189">
        <v>40</v>
      </c>
      <c r="D189">
        <v>19.5</v>
      </c>
      <c r="E189">
        <v>20.182572950000001</v>
      </c>
      <c r="F189">
        <v>2.16</v>
      </c>
      <c r="G189">
        <v>12.69</v>
      </c>
      <c r="H189">
        <v>8.7799999999999996E-3</v>
      </c>
      <c r="I189">
        <v>-0.82047012500000005</v>
      </c>
      <c r="J189">
        <v>-0.782598419990158</v>
      </c>
      <c r="K189">
        <v>-0.93365880000000001</v>
      </c>
      <c r="L189">
        <v>-0.73435040499847803</v>
      </c>
      <c r="M189">
        <v>-0.73795349063995197</v>
      </c>
      <c r="N189">
        <v>-0.78543576556333194</v>
      </c>
      <c r="O189" s="12">
        <v>2.9289837482640211</v>
      </c>
      <c r="P189" s="12">
        <v>0.71772367783772129</v>
      </c>
    </row>
    <row r="190" spans="1:16" x14ac:dyDescent="0.3">
      <c r="A190">
        <v>1</v>
      </c>
      <c r="B190">
        <v>4</v>
      </c>
      <c r="C190">
        <v>60</v>
      </c>
      <c r="D190">
        <v>9.4</v>
      </c>
      <c r="E190">
        <v>0</v>
      </c>
      <c r="F190">
        <v>7.9885999999999999</v>
      </c>
      <c r="G190">
        <v>0</v>
      </c>
      <c r="H190">
        <v>1.2535040000000001E-2</v>
      </c>
      <c r="I190">
        <v>21.324015410000001</v>
      </c>
      <c r="J190">
        <v>21.3291351031197</v>
      </c>
      <c r="K190">
        <v>21.582084999999999</v>
      </c>
      <c r="L190">
        <v>21.364551292661201</v>
      </c>
      <c r="M190">
        <v>21.3197435860301</v>
      </c>
      <c r="N190">
        <v>21.229684592538099</v>
      </c>
      <c r="O190" s="12">
        <v>36.567704080440109</v>
      </c>
      <c r="P190" s="12">
        <v>27.506656395372104</v>
      </c>
    </row>
    <row r="191" spans="1:16" x14ac:dyDescent="0.3">
      <c r="A191">
        <v>1</v>
      </c>
      <c r="B191">
        <v>1</v>
      </c>
      <c r="C191">
        <v>20</v>
      </c>
      <c r="D191">
        <v>5.6</v>
      </c>
      <c r="E191">
        <v>2.1788908550000001</v>
      </c>
      <c r="F191">
        <v>7.0444000000000004</v>
      </c>
      <c r="G191">
        <v>1.37</v>
      </c>
      <c r="H191">
        <v>7.5770400000000002E-3</v>
      </c>
      <c r="I191">
        <v>6.5683087569999996</v>
      </c>
      <c r="J191">
        <v>6.5741870929742996</v>
      </c>
      <c r="K191">
        <v>6.9459552999999996</v>
      </c>
      <c r="L191">
        <v>7.4928114107494999</v>
      </c>
      <c r="M191">
        <v>6.5472340641047202</v>
      </c>
      <c r="N191">
        <v>6.7264733025019101</v>
      </c>
      <c r="O191" s="12">
        <v>12.625994905111218</v>
      </c>
      <c r="P191" s="12">
        <v>15.177289917480692</v>
      </c>
    </row>
    <row r="192" spans="1:16" x14ac:dyDescent="0.3">
      <c r="A192">
        <v>1</v>
      </c>
      <c r="B192">
        <v>1</v>
      </c>
      <c r="C192">
        <v>60</v>
      </c>
      <c r="D192">
        <v>14.1</v>
      </c>
      <c r="E192">
        <v>4.3100687710000001</v>
      </c>
      <c r="F192">
        <v>7.9885999999999999</v>
      </c>
      <c r="G192">
        <v>2.71</v>
      </c>
      <c r="H192">
        <v>1.2535019999999999E-2</v>
      </c>
      <c r="I192">
        <v>8.8799946369999994</v>
      </c>
      <c r="J192">
        <v>8.8738324293679103</v>
      </c>
      <c r="K192">
        <v>8.9888940000000002</v>
      </c>
      <c r="L192">
        <v>8.6767289585548397</v>
      </c>
      <c r="M192">
        <v>8.8862803608778194</v>
      </c>
      <c r="N192">
        <v>8.79406348407921</v>
      </c>
      <c r="O192" s="12">
        <v>27.628046493481314</v>
      </c>
      <c r="P192" s="12">
        <v>18.361457243719045</v>
      </c>
    </row>
    <row r="193" spans="1:16" x14ac:dyDescent="0.3">
      <c r="A193">
        <v>1</v>
      </c>
      <c r="B193">
        <v>6</v>
      </c>
      <c r="C193">
        <v>10</v>
      </c>
      <c r="D193">
        <v>1.8</v>
      </c>
      <c r="E193">
        <v>1.1769191480000001</v>
      </c>
      <c r="F193">
        <v>5.8784999999999998</v>
      </c>
      <c r="G193">
        <v>0.74</v>
      </c>
      <c r="H193">
        <v>5.5424999999999997E-3</v>
      </c>
      <c r="I193">
        <v>16.077974959999999</v>
      </c>
      <c r="J193">
        <v>16.0907198902521</v>
      </c>
      <c r="K193">
        <v>16.222109</v>
      </c>
      <c r="L193">
        <v>16.685793721084099</v>
      </c>
      <c r="M193">
        <v>16.127723521493198</v>
      </c>
      <c r="N193">
        <v>16.216402576419799</v>
      </c>
      <c r="O193" s="12">
        <v>11.538391796934123</v>
      </c>
      <c r="P193" s="12">
        <v>16.982902274598651</v>
      </c>
    </row>
    <row r="194" spans="1:16" x14ac:dyDescent="0.3">
      <c r="A194">
        <v>1.6666666670000001</v>
      </c>
      <c r="B194">
        <v>4</v>
      </c>
      <c r="C194">
        <v>40</v>
      </c>
      <c r="D194">
        <v>11.7</v>
      </c>
      <c r="E194">
        <v>8.0157736560000004</v>
      </c>
      <c r="F194">
        <v>2.16</v>
      </c>
      <c r="G194">
        <v>5.04</v>
      </c>
      <c r="H194">
        <v>8.7799999999999996E-3</v>
      </c>
      <c r="I194">
        <v>4.6649301660000004</v>
      </c>
      <c r="J194">
        <v>4.6211237246835202</v>
      </c>
      <c r="K194">
        <v>4.4883956999999999</v>
      </c>
      <c r="L194">
        <v>4.19255676500386</v>
      </c>
      <c r="M194">
        <v>4.6924283829790703</v>
      </c>
      <c r="N194">
        <v>4.6386458156383901</v>
      </c>
      <c r="O194" s="12">
        <v>17.099369115672612</v>
      </c>
      <c r="P194" s="12">
        <v>10.454376062011303</v>
      </c>
    </row>
    <row r="195" spans="1:16" x14ac:dyDescent="0.3">
      <c r="A195">
        <v>1</v>
      </c>
      <c r="B195">
        <v>1</v>
      </c>
      <c r="C195">
        <v>15</v>
      </c>
      <c r="D195">
        <v>15</v>
      </c>
      <c r="E195">
        <v>23.53838296</v>
      </c>
      <c r="F195">
        <v>6.5609999999999999</v>
      </c>
      <c r="G195">
        <v>14.8</v>
      </c>
      <c r="H195">
        <v>6.6530699999999996E-3</v>
      </c>
      <c r="I195">
        <v>-0.460503106</v>
      </c>
      <c r="J195">
        <v>-0.46129255301710798</v>
      </c>
      <c r="K195">
        <v>-0.64844710000000005</v>
      </c>
      <c r="L195">
        <v>-0.62739316617155905</v>
      </c>
      <c r="M195">
        <v>-0.46560454915149802</v>
      </c>
      <c r="N195">
        <v>-0.52754705658000201</v>
      </c>
      <c r="O195" s="12">
        <v>-7.7337442347077721</v>
      </c>
      <c r="P195" s="12">
        <v>-15.127892804283711</v>
      </c>
    </row>
    <row r="196" spans="1:16" x14ac:dyDescent="0.3">
      <c r="A196">
        <v>1</v>
      </c>
      <c r="B196">
        <v>1</v>
      </c>
      <c r="C196">
        <v>10</v>
      </c>
      <c r="D196">
        <v>12.5</v>
      </c>
      <c r="E196">
        <v>40.078868280000002</v>
      </c>
      <c r="F196">
        <v>5.8784999999999998</v>
      </c>
      <c r="G196">
        <v>25.2</v>
      </c>
      <c r="H196">
        <v>5.5425099999999996E-3</v>
      </c>
      <c r="I196">
        <v>-1.490625318</v>
      </c>
      <c r="J196">
        <v>-1.49822876668616</v>
      </c>
      <c r="K196">
        <v>-1.7484815</v>
      </c>
      <c r="L196">
        <v>-1.7379721239127199</v>
      </c>
      <c r="M196">
        <v>-1.5116952428014501</v>
      </c>
      <c r="N196">
        <v>-1.4962288863739901</v>
      </c>
      <c r="O196" s="12">
        <v>-4.3066640954386104</v>
      </c>
      <c r="P196" s="12">
        <v>-6.4182282180349084</v>
      </c>
    </row>
    <row r="197" spans="1:16" x14ac:dyDescent="0.3">
      <c r="A197">
        <v>0.6</v>
      </c>
      <c r="B197">
        <v>1</v>
      </c>
      <c r="C197">
        <v>40</v>
      </c>
      <c r="D197">
        <v>3.9</v>
      </c>
      <c r="E197">
        <v>0</v>
      </c>
      <c r="F197">
        <v>3.76</v>
      </c>
      <c r="G197">
        <v>0</v>
      </c>
      <c r="H197">
        <v>9.2599999999999991E-3</v>
      </c>
      <c r="I197">
        <v>53.688632269999999</v>
      </c>
      <c r="J197">
        <v>53.680230673333298</v>
      </c>
      <c r="K197">
        <v>53.390101999999999</v>
      </c>
      <c r="L197">
        <v>53.720700815537</v>
      </c>
      <c r="M197">
        <v>53.537201650354397</v>
      </c>
      <c r="N197">
        <v>53.688632270000198</v>
      </c>
      <c r="O197" s="12">
        <v>31.114177525084209</v>
      </c>
      <c r="P197" s="12">
        <v>46.437594936660091</v>
      </c>
    </row>
    <row r="198" spans="1:16" x14ac:dyDescent="0.3">
      <c r="A198">
        <v>1.6666666670000001</v>
      </c>
      <c r="B198">
        <v>2</v>
      </c>
      <c r="C198">
        <v>10</v>
      </c>
      <c r="D198">
        <v>8</v>
      </c>
      <c r="E198">
        <v>21.470822290000001</v>
      </c>
      <c r="F198">
        <v>0.54</v>
      </c>
      <c r="G198">
        <v>13.5</v>
      </c>
      <c r="H198">
        <v>2.5500000000000002E-3</v>
      </c>
      <c r="I198">
        <v>-0.44986030399999999</v>
      </c>
      <c r="J198">
        <v>-0.47807991235034197</v>
      </c>
      <c r="K198">
        <v>-0.59785085999999998</v>
      </c>
      <c r="L198">
        <v>-0.60123679823613996</v>
      </c>
      <c r="M198">
        <v>-0.55331272741145199</v>
      </c>
      <c r="N198">
        <v>-0.44916090454399898</v>
      </c>
      <c r="O198" s="12">
        <v>0.97173666689866689</v>
      </c>
      <c r="P198" s="12">
        <v>-5.4409745469104518</v>
      </c>
    </row>
    <row r="199" spans="1:16" x14ac:dyDescent="0.3">
      <c r="A199">
        <v>1</v>
      </c>
      <c r="B199">
        <v>6</v>
      </c>
      <c r="C199">
        <v>20</v>
      </c>
      <c r="D199">
        <v>16.8</v>
      </c>
      <c r="E199">
        <v>26.178498879999999</v>
      </c>
      <c r="F199">
        <v>7.0444000000000004</v>
      </c>
      <c r="G199">
        <v>16.46</v>
      </c>
      <c r="H199">
        <v>7.5770400000000002E-3</v>
      </c>
      <c r="I199">
        <v>-0.98298052999999996</v>
      </c>
      <c r="J199">
        <v>-0.98765097409472502</v>
      </c>
      <c r="K199">
        <v>-1.0445331</v>
      </c>
      <c r="L199">
        <v>-1.17281207478495</v>
      </c>
      <c r="M199">
        <v>-0.99143988642717795</v>
      </c>
      <c r="N199">
        <v>-1.0398783923174999</v>
      </c>
      <c r="O199" s="12">
        <v>-7.0211273552364446</v>
      </c>
      <c r="P199" s="12">
        <v>-9.7547913043452112</v>
      </c>
    </row>
    <row r="200" spans="1:16" x14ac:dyDescent="0.3">
      <c r="A200">
        <v>1</v>
      </c>
      <c r="B200">
        <v>1</v>
      </c>
      <c r="C200">
        <v>10</v>
      </c>
      <c r="D200">
        <v>10.8</v>
      </c>
      <c r="E200">
        <v>33.717143149999998</v>
      </c>
      <c r="F200">
        <v>5.8784999999999998</v>
      </c>
      <c r="G200">
        <v>21.2</v>
      </c>
      <c r="H200">
        <v>5.5425099999999996E-3</v>
      </c>
      <c r="I200">
        <v>-1.282081147</v>
      </c>
      <c r="J200">
        <v>-1.2718760949030301</v>
      </c>
      <c r="K200">
        <v>-1.5708801999999999</v>
      </c>
      <c r="L200">
        <v>-1.35597977290115</v>
      </c>
      <c r="M200">
        <v>-1.2514150205447501</v>
      </c>
      <c r="N200">
        <v>-1.3224651925839901</v>
      </c>
      <c r="O200" s="12">
        <v>-1.7845829146483689</v>
      </c>
      <c r="P200" s="12">
        <v>-3.9552859276090366</v>
      </c>
    </row>
    <row r="201" spans="1:16" x14ac:dyDescent="0.3">
      <c r="A201">
        <v>1.6666666670000001</v>
      </c>
      <c r="B201">
        <v>6</v>
      </c>
      <c r="C201">
        <v>60</v>
      </c>
      <c r="D201">
        <v>18.399999999999999</v>
      </c>
      <c r="E201">
        <v>0.72099551399999995</v>
      </c>
      <c r="F201">
        <v>3.24</v>
      </c>
      <c r="G201">
        <v>1.02</v>
      </c>
      <c r="H201">
        <v>1.204998E-2</v>
      </c>
      <c r="I201">
        <v>5.3785252520000002</v>
      </c>
      <c r="J201">
        <v>5.3649102683928298</v>
      </c>
      <c r="K201">
        <v>5.3481290000000001</v>
      </c>
      <c r="L201">
        <v>6.0459067559157997</v>
      </c>
      <c r="M201">
        <v>5.3672402534275303</v>
      </c>
      <c r="N201">
        <v>5.3709048181430301</v>
      </c>
      <c r="O201" s="12">
        <v>18.663591978953953</v>
      </c>
      <c r="P201" s="12">
        <v>0.60042305009155683</v>
      </c>
    </row>
    <row r="202" spans="1:16" x14ac:dyDescent="0.3">
      <c r="A202">
        <v>1</v>
      </c>
      <c r="B202">
        <v>2</v>
      </c>
      <c r="C202">
        <v>60</v>
      </c>
      <c r="D202">
        <v>14.1</v>
      </c>
      <c r="E202">
        <v>4.5645377759999999</v>
      </c>
      <c r="F202">
        <v>7.9885999999999999</v>
      </c>
      <c r="G202">
        <v>2.87</v>
      </c>
      <c r="H202">
        <v>1.2535019999999999E-2</v>
      </c>
      <c r="I202">
        <v>8.8073771480000005</v>
      </c>
      <c r="J202">
        <v>8.7697850054341995</v>
      </c>
      <c r="K202">
        <v>8.9368580000000009</v>
      </c>
      <c r="L202">
        <v>8.1220136914453303</v>
      </c>
      <c r="M202">
        <v>8.8098063190846005</v>
      </c>
      <c r="N202">
        <v>8.7140301306935495</v>
      </c>
      <c r="O202" s="12">
        <v>27.626390224627137</v>
      </c>
      <c r="P202" s="12">
        <v>15.524010557948841</v>
      </c>
    </row>
    <row r="203" spans="1:16" x14ac:dyDescent="0.3">
      <c r="A203">
        <v>1</v>
      </c>
      <c r="B203">
        <v>6</v>
      </c>
      <c r="C203">
        <v>10</v>
      </c>
      <c r="D203">
        <v>10.8</v>
      </c>
      <c r="E203">
        <v>48.55586701</v>
      </c>
      <c r="F203">
        <v>5.8784999999999998</v>
      </c>
      <c r="G203">
        <v>30.53</v>
      </c>
      <c r="H203">
        <v>5.5424999999999997E-3</v>
      </c>
      <c r="I203">
        <v>-3.1407387039999999</v>
      </c>
      <c r="J203">
        <v>-3.12887521630527</v>
      </c>
      <c r="K203">
        <v>-3.0947070000000001</v>
      </c>
      <c r="L203">
        <v>-3.0848553542962902</v>
      </c>
      <c r="M203">
        <v>-3.1091976907590002</v>
      </c>
      <c r="N203">
        <v>-3.024180642923</v>
      </c>
      <c r="O203" s="12">
        <v>0.3446075371207864</v>
      </c>
      <c r="P203" s="12">
        <v>4.4945334791026657</v>
      </c>
    </row>
    <row r="204" spans="1:16" x14ac:dyDescent="0.3">
      <c r="A204">
        <v>1.6666666670000001</v>
      </c>
      <c r="B204">
        <v>2</v>
      </c>
      <c r="C204">
        <v>20</v>
      </c>
      <c r="D204">
        <v>6.9</v>
      </c>
      <c r="E204">
        <v>8.1907210970000008</v>
      </c>
      <c r="F204">
        <v>1.08</v>
      </c>
      <c r="G204">
        <v>5.15</v>
      </c>
      <c r="H204">
        <v>4.8399999999999997E-3</v>
      </c>
      <c r="I204">
        <v>3.3119444279999999</v>
      </c>
      <c r="J204">
        <v>3.34017066795198</v>
      </c>
      <c r="K204">
        <v>3.2155355999999999</v>
      </c>
      <c r="L204">
        <v>3.1686942066073498</v>
      </c>
      <c r="M204">
        <v>3.3134107096085601</v>
      </c>
      <c r="N204">
        <v>3.2901249691431298</v>
      </c>
      <c r="O204" s="12">
        <v>9.9834448369424909</v>
      </c>
      <c r="P204" s="12">
        <v>7.798829308610145</v>
      </c>
    </row>
    <row r="205" spans="1:16" x14ac:dyDescent="0.3">
      <c r="A205">
        <v>1</v>
      </c>
      <c r="B205">
        <v>6</v>
      </c>
      <c r="C205">
        <v>40</v>
      </c>
      <c r="D205">
        <v>12.3</v>
      </c>
      <c r="E205">
        <v>3.3399056900000001</v>
      </c>
      <c r="F205">
        <v>7.9885999999999999</v>
      </c>
      <c r="G205">
        <v>2.1</v>
      </c>
      <c r="H205">
        <v>1.0389839999999999E-2</v>
      </c>
      <c r="I205">
        <v>5.3256888480000004</v>
      </c>
      <c r="J205">
        <v>5.3561341917441396</v>
      </c>
      <c r="K205">
        <v>6.0239563</v>
      </c>
      <c r="L205">
        <v>6.8364522967175096</v>
      </c>
      <c r="M205">
        <v>5.3372881902298097</v>
      </c>
      <c r="N205">
        <v>5.4228950210200102</v>
      </c>
      <c r="O205" s="12">
        <v>15.070400138371159</v>
      </c>
      <c r="P205" s="12">
        <v>9.2585677454801569</v>
      </c>
    </row>
    <row r="206" spans="1:16" x14ac:dyDescent="0.3">
      <c r="A206">
        <v>0.6</v>
      </c>
      <c r="B206">
        <v>6</v>
      </c>
      <c r="C206">
        <v>60</v>
      </c>
      <c r="D206">
        <v>18.399999999999999</v>
      </c>
      <c r="E206">
        <v>0.56548667799999996</v>
      </c>
      <c r="F206">
        <v>5.64</v>
      </c>
      <c r="G206">
        <v>0.8</v>
      </c>
      <c r="H206">
        <v>1.378998E-2</v>
      </c>
      <c r="I206">
        <v>5.3971741460000002</v>
      </c>
      <c r="J206">
        <v>5.4081559551294003</v>
      </c>
      <c r="K206">
        <v>5.3385800000000003</v>
      </c>
      <c r="L206">
        <v>6.59780977090315</v>
      </c>
      <c r="M206">
        <v>5.3662374981547902</v>
      </c>
      <c r="N206">
        <v>5.4398305663410298</v>
      </c>
      <c r="O206" s="12">
        <v>18.496126432276171</v>
      </c>
      <c r="P206" s="12">
        <v>0.73814962902115155</v>
      </c>
    </row>
    <row r="207" spans="1:16" x14ac:dyDescent="0.3">
      <c r="A207">
        <v>0.6</v>
      </c>
      <c r="B207">
        <v>6</v>
      </c>
      <c r="C207">
        <v>40</v>
      </c>
      <c r="D207">
        <v>15.6</v>
      </c>
      <c r="E207">
        <v>8.2543383479999992</v>
      </c>
      <c r="F207">
        <v>3.76</v>
      </c>
      <c r="G207">
        <v>5.19</v>
      </c>
      <c r="H207">
        <v>9.2599799999999993E-3</v>
      </c>
      <c r="I207">
        <v>2.579832626</v>
      </c>
      <c r="J207">
        <v>2.6068602712442601</v>
      </c>
      <c r="K207">
        <v>2.7072186</v>
      </c>
      <c r="L207">
        <v>2.7632189954573398</v>
      </c>
      <c r="M207">
        <v>2.63088200320309</v>
      </c>
      <c r="N207">
        <v>2.5606479991827298</v>
      </c>
      <c r="O207" s="12">
        <v>7.9496688396614559</v>
      </c>
      <c r="P207" s="12">
        <v>2.4322126647799891</v>
      </c>
    </row>
    <row r="208" spans="1:16" x14ac:dyDescent="0.3">
      <c r="A208">
        <v>1.6666666670000001</v>
      </c>
      <c r="B208">
        <v>1</v>
      </c>
      <c r="C208">
        <v>15</v>
      </c>
      <c r="D208">
        <v>3.8</v>
      </c>
      <c r="E208">
        <v>2.815063367</v>
      </c>
      <c r="F208">
        <v>0.81</v>
      </c>
      <c r="G208">
        <v>1.77</v>
      </c>
      <c r="H208">
        <v>3.7299999999999998E-3</v>
      </c>
      <c r="I208">
        <v>7.7387361449999998</v>
      </c>
      <c r="J208">
        <v>7.7429735561020703</v>
      </c>
      <c r="K208">
        <v>7.6733545999999997</v>
      </c>
      <c r="L208">
        <v>7.36590371484467</v>
      </c>
      <c r="M208">
        <v>7.7410005718282102</v>
      </c>
      <c r="N208">
        <v>7.6653085187007397</v>
      </c>
      <c r="O208" s="12">
        <v>11.218950626662425</v>
      </c>
      <c r="P208" s="12">
        <v>14.471714099674511</v>
      </c>
    </row>
    <row r="209" spans="1:16" x14ac:dyDescent="0.3">
      <c r="A209">
        <v>1.6666666670000001</v>
      </c>
      <c r="B209">
        <v>1</v>
      </c>
      <c r="C209">
        <v>30</v>
      </c>
      <c r="D209">
        <v>23.1</v>
      </c>
      <c r="E209">
        <v>33.271822399999998</v>
      </c>
      <c r="F209">
        <v>1.62</v>
      </c>
      <c r="G209">
        <v>20.92</v>
      </c>
      <c r="H209">
        <v>6.9100000000000003E-3</v>
      </c>
      <c r="I209">
        <v>-2.372395493</v>
      </c>
      <c r="J209">
        <v>-2.3970636734552002</v>
      </c>
      <c r="K209">
        <v>-2.0303472999999999</v>
      </c>
      <c r="L209">
        <v>-2.3195740366814599</v>
      </c>
      <c r="M209">
        <v>-2.3923056763107602</v>
      </c>
      <c r="N209">
        <v>-2.4195389872139899</v>
      </c>
      <c r="O209" s="12">
        <v>-10.946310230946398</v>
      </c>
      <c r="P209" s="12">
        <v>-2.5330558818007169</v>
      </c>
    </row>
    <row r="210" spans="1:16" x14ac:dyDescent="0.3">
      <c r="A210">
        <v>1.6666666670000001</v>
      </c>
      <c r="B210">
        <v>2</v>
      </c>
      <c r="C210">
        <v>20</v>
      </c>
      <c r="D210">
        <v>4.5999999999999996</v>
      </c>
      <c r="E210">
        <v>3.5466617560000002</v>
      </c>
      <c r="F210">
        <v>1.08</v>
      </c>
      <c r="G210">
        <v>2.23</v>
      </c>
      <c r="H210">
        <v>4.8399999999999997E-3</v>
      </c>
      <c r="I210">
        <v>9.2362070680000006</v>
      </c>
      <c r="J210">
        <v>9.2824913065063104</v>
      </c>
      <c r="K210">
        <v>9.1571470000000001</v>
      </c>
      <c r="L210">
        <v>9.0058248457722705</v>
      </c>
      <c r="M210">
        <v>9.2863665502257895</v>
      </c>
      <c r="N210">
        <v>9.2296277749373399</v>
      </c>
      <c r="O210" s="12">
        <v>14.020067984290389</v>
      </c>
      <c r="P210" s="12">
        <v>16.136161295065833</v>
      </c>
    </row>
    <row r="211" spans="1:16" x14ac:dyDescent="0.3">
      <c r="A211">
        <v>0.6</v>
      </c>
      <c r="B211">
        <v>1</v>
      </c>
      <c r="C211">
        <v>40</v>
      </c>
      <c r="D211">
        <v>15.6</v>
      </c>
      <c r="E211">
        <v>6.8229501949999998</v>
      </c>
      <c r="F211">
        <v>3.76</v>
      </c>
      <c r="G211">
        <v>4.29</v>
      </c>
      <c r="H211">
        <v>9.2599999999999991E-3</v>
      </c>
      <c r="I211">
        <v>2.8255375049999998</v>
      </c>
      <c r="J211">
        <v>2.87049891276118</v>
      </c>
      <c r="K211">
        <v>3.2077293</v>
      </c>
      <c r="L211">
        <v>3.25454747201896</v>
      </c>
      <c r="M211">
        <v>2.9147867578911502</v>
      </c>
      <c r="N211">
        <v>2.8300498655994502</v>
      </c>
      <c r="O211" s="12">
        <v>7.9329064644235405</v>
      </c>
      <c r="P211" s="12">
        <v>1.6800978382467378</v>
      </c>
    </row>
    <row r="212" spans="1:16" x14ac:dyDescent="0.3">
      <c r="A212">
        <v>0.6</v>
      </c>
      <c r="B212">
        <v>2</v>
      </c>
      <c r="C212">
        <v>40</v>
      </c>
      <c r="D212">
        <v>7.8</v>
      </c>
      <c r="E212">
        <v>2.6719245520000001</v>
      </c>
      <c r="F212">
        <v>3.76</v>
      </c>
      <c r="G212">
        <v>1.68</v>
      </c>
      <c r="H212">
        <v>9.2599999999999991E-3</v>
      </c>
      <c r="I212">
        <v>13.097039710000001</v>
      </c>
      <c r="J212">
        <v>13.0765161719302</v>
      </c>
      <c r="K212">
        <v>12.837711000000001</v>
      </c>
      <c r="L212">
        <v>12.915642471755</v>
      </c>
      <c r="M212">
        <v>13.136319323344001</v>
      </c>
      <c r="N212">
        <v>13.1099606280742</v>
      </c>
      <c r="O212" s="12">
        <v>23.40798343737087</v>
      </c>
      <c r="P212" s="12">
        <v>24.714942949754885</v>
      </c>
    </row>
    <row r="213" spans="1:16" x14ac:dyDescent="0.3">
      <c r="A213">
        <v>1</v>
      </c>
      <c r="B213">
        <v>4</v>
      </c>
      <c r="C213">
        <v>10</v>
      </c>
      <c r="D213">
        <v>3.6</v>
      </c>
      <c r="E213">
        <v>4.3418773970000002</v>
      </c>
      <c r="F213">
        <v>5.8784999999999998</v>
      </c>
      <c r="G213">
        <v>2.73</v>
      </c>
      <c r="H213">
        <v>5.5425200000000004E-3</v>
      </c>
      <c r="I213">
        <v>3.7801619870000001</v>
      </c>
      <c r="J213">
        <v>3.7962883364519602</v>
      </c>
      <c r="K213">
        <v>4.0976499999999998</v>
      </c>
      <c r="L213">
        <v>4.1796228333304697</v>
      </c>
      <c r="M213">
        <v>3.7683864805763401</v>
      </c>
      <c r="N213">
        <v>3.8319592262689799</v>
      </c>
      <c r="O213" s="12">
        <v>8.3888327289784712</v>
      </c>
      <c r="P213" s="12">
        <v>4.3802672446588282</v>
      </c>
    </row>
    <row r="214" spans="1:16" x14ac:dyDescent="0.3">
      <c r="A214">
        <v>1.6666666670000001</v>
      </c>
      <c r="B214">
        <v>1</v>
      </c>
      <c r="C214">
        <v>20</v>
      </c>
      <c r="D214">
        <v>2.2999999999999998</v>
      </c>
      <c r="E214">
        <v>0</v>
      </c>
      <c r="F214">
        <v>1.08</v>
      </c>
      <c r="G214">
        <v>0</v>
      </c>
      <c r="H214">
        <v>4.8399999999999997E-3</v>
      </c>
      <c r="I214">
        <v>38.591876030000002</v>
      </c>
      <c r="J214">
        <v>38.567358537675098</v>
      </c>
      <c r="K214">
        <v>38.487575999999997</v>
      </c>
      <c r="L214">
        <v>37.9119374827577</v>
      </c>
      <c r="M214">
        <v>38.552116829835697</v>
      </c>
      <c r="N214">
        <v>38.6056903385998</v>
      </c>
      <c r="O214" s="12">
        <v>18.271343561611783</v>
      </c>
      <c r="P214" s="12">
        <v>29.859772300080024</v>
      </c>
    </row>
    <row r="215" spans="1:16" x14ac:dyDescent="0.3">
      <c r="A215">
        <v>1</v>
      </c>
      <c r="B215">
        <v>2</v>
      </c>
      <c r="C215">
        <v>20</v>
      </c>
      <c r="D215">
        <v>20</v>
      </c>
      <c r="E215">
        <v>48.142354869999998</v>
      </c>
      <c r="F215">
        <v>7.0444000000000004</v>
      </c>
      <c r="G215">
        <v>30.27</v>
      </c>
      <c r="H215">
        <v>7.5770400000000002E-3</v>
      </c>
      <c r="I215">
        <v>-3.5923508649999998</v>
      </c>
      <c r="J215">
        <v>-3.5931094590138501</v>
      </c>
      <c r="K215">
        <v>-3.3991631999999998</v>
      </c>
      <c r="L215">
        <v>-3.6558581823589602</v>
      </c>
      <c r="M215">
        <v>-3.58661365993223</v>
      </c>
      <c r="N215">
        <v>-3.5465009418540099</v>
      </c>
      <c r="O215" s="12">
        <v>-10.027762474273812</v>
      </c>
      <c r="P215" s="12">
        <v>-4.6862978745075665</v>
      </c>
    </row>
    <row r="216" spans="1:16" x14ac:dyDescent="0.3">
      <c r="A216">
        <v>1</v>
      </c>
      <c r="B216">
        <v>4</v>
      </c>
      <c r="C216">
        <v>30</v>
      </c>
      <c r="D216">
        <v>10.8</v>
      </c>
      <c r="E216">
        <v>9.4153531830000006</v>
      </c>
      <c r="F216">
        <v>7.6656000000000004</v>
      </c>
      <c r="G216">
        <v>5.92</v>
      </c>
      <c r="H216">
        <v>9.1083599999999994E-3</v>
      </c>
      <c r="I216">
        <v>2.8237950359999999</v>
      </c>
      <c r="J216">
        <v>2.7994818391704199</v>
      </c>
      <c r="K216">
        <v>2.6566901000000001</v>
      </c>
      <c r="L216">
        <v>2.5726923604125802</v>
      </c>
      <c r="M216">
        <v>2.7018876275493402</v>
      </c>
      <c r="N216">
        <v>2.8429708135212501</v>
      </c>
      <c r="O216" s="12">
        <v>11.12324761847826</v>
      </c>
      <c r="P216" s="12">
        <v>5.8772674283623374</v>
      </c>
    </row>
    <row r="217" spans="1:16" x14ac:dyDescent="0.3">
      <c r="A217">
        <v>0.6</v>
      </c>
      <c r="B217">
        <v>4</v>
      </c>
      <c r="C217">
        <v>40</v>
      </c>
      <c r="D217">
        <v>7.8</v>
      </c>
      <c r="E217">
        <v>2.783254742</v>
      </c>
      <c r="F217">
        <v>3.76</v>
      </c>
      <c r="G217">
        <v>1.75</v>
      </c>
      <c r="H217">
        <v>9.2599999999999991E-3</v>
      </c>
      <c r="I217">
        <v>13.06938208</v>
      </c>
      <c r="J217">
        <v>13.0582232204086</v>
      </c>
      <c r="K217">
        <v>12.837711000000001</v>
      </c>
      <c r="L217">
        <v>12.8672087739792</v>
      </c>
      <c r="M217">
        <v>13.088657348770999</v>
      </c>
      <c r="N217">
        <v>13.0755278016339</v>
      </c>
      <c r="O217" s="12">
        <v>23.342024970014215</v>
      </c>
      <c r="P217" s="12">
        <v>23.125092393758365</v>
      </c>
    </row>
    <row r="218" spans="1:16" x14ac:dyDescent="0.3">
      <c r="A218">
        <v>1.6666666670000001</v>
      </c>
      <c r="B218">
        <v>1</v>
      </c>
      <c r="C218">
        <v>40</v>
      </c>
      <c r="D218">
        <v>23.4</v>
      </c>
      <c r="E218">
        <v>19.75315651</v>
      </c>
      <c r="F218">
        <v>2.16</v>
      </c>
      <c r="G218">
        <v>12.42</v>
      </c>
      <c r="H218">
        <v>8.7799999999999996E-3</v>
      </c>
      <c r="I218">
        <v>-0.48299666499999999</v>
      </c>
      <c r="J218">
        <v>-0.48380495096060699</v>
      </c>
      <c r="K218">
        <v>-0.51992375000000002</v>
      </c>
      <c r="L218">
        <v>-0.51020382073155002</v>
      </c>
      <c r="M218">
        <v>-0.49633349557462397</v>
      </c>
      <c r="N218">
        <v>-0.46769566736499701</v>
      </c>
      <c r="O218" s="12">
        <v>-5.1823492623546041</v>
      </c>
      <c r="P218" s="12">
        <v>-1.134055336929368</v>
      </c>
    </row>
    <row r="219" spans="1:16" x14ac:dyDescent="0.3">
      <c r="A219">
        <v>1</v>
      </c>
      <c r="B219">
        <v>6</v>
      </c>
      <c r="C219">
        <v>20</v>
      </c>
      <c r="D219">
        <v>5.6</v>
      </c>
      <c r="E219">
        <v>3.8965566379999999</v>
      </c>
      <c r="F219">
        <v>7.0444000000000004</v>
      </c>
      <c r="G219">
        <v>2.4500000000000002</v>
      </c>
      <c r="H219">
        <v>7.5770400000000002E-3</v>
      </c>
      <c r="I219">
        <v>6.3319379570000001</v>
      </c>
      <c r="J219">
        <v>6.3355776346850696</v>
      </c>
      <c r="K219">
        <v>6.2408413999999999</v>
      </c>
      <c r="L219">
        <v>6.5978119162273403</v>
      </c>
      <c r="M219">
        <v>6.3851719983262898</v>
      </c>
      <c r="N219">
        <v>6.33675171113389</v>
      </c>
      <c r="O219" s="12">
        <v>12.687877001983395</v>
      </c>
      <c r="P219" s="12">
        <v>16.251669739693369</v>
      </c>
    </row>
    <row r="220" spans="1:16" x14ac:dyDescent="0.3">
      <c r="A220">
        <v>0.6</v>
      </c>
      <c r="B220">
        <v>6</v>
      </c>
      <c r="C220">
        <v>30</v>
      </c>
      <c r="D220">
        <v>9.9</v>
      </c>
      <c r="E220">
        <v>6.5525768769999999</v>
      </c>
      <c r="F220">
        <v>2.82</v>
      </c>
      <c r="G220">
        <v>4.12</v>
      </c>
      <c r="H220">
        <v>9.2599799999999993E-3</v>
      </c>
      <c r="I220">
        <v>4.0039173610000001</v>
      </c>
      <c r="J220">
        <v>4.0353731614542996</v>
      </c>
      <c r="K220">
        <v>4.1147739999999997</v>
      </c>
      <c r="L220">
        <v>3.9032002655163902</v>
      </c>
      <c r="M220">
        <v>4.0682740265168897</v>
      </c>
      <c r="N220">
        <v>3.9855760287051698</v>
      </c>
      <c r="O220" s="12">
        <v>12.376677064476517</v>
      </c>
      <c r="P220" s="12">
        <v>9.2378614740843474</v>
      </c>
    </row>
    <row r="221" spans="1:16" x14ac:dyDescent="0.3">
      <c r="A221">
        <v>1</v>
      </c>
      <c r="B221">
        <v>2</v>
      </c>
      <c r="C221">
        <v>15</v>
      </c>
      <c r="D221">
        <v>7.5</v>
      </c>
      <c r="E221">
        <v>17.908256219999998</v>
      </c>
      <c r="F221">
        <v>6.5609999999999999</v>
      </c>
      <c r="G221">
        <v>11.26</v>
      </c>
      <c r="H221">
        <v>6.6530799999999996E-3</v>
      </c>
      <c r="I221">
        <v>-0.18448609799999999</v>
      </c>
      <c r="J221">
        <v>-0.16461261369520899</v>
      </c>
      <c r="K221">
        <v>2.4383058999999999E-2</v>
      </c>
      <c r="L221">
        <v>-0.15681006204799999</v>
      </c>
      <c r="M221">
        <v>-1.9548477253559599E-2</v>
      </c>
      <c r="N221">
        <v>-0.17992480121999799</v>
      </c>
      <c r="O221" s="12">
        <v>6.886341430364709</v>
      </c>
      <c r="P221" s="12">
        <v>7.0925869378777193</v>
      </c>
    </row>
    <row r="222" spans="1:16" x14ac:dyDescent="0.3">
      <c r="A222">
        <v>1</v>
      </c>
      <c r="B222">
        <v>1</v>
      </c>
      <c r="C222">
        <v>15</v>
      </c>
      <c r="D222">
        <v>17.7</v>
      </c>
      <c r="E222">
        <v>32.142616189999998</v>
      </c>
      <c r="F222">
        <v>6.5609999999999999</v>
      </c>
      <c r="G222">
        <v>20.21</v>
      </c>
      <c r="H222">
        <v>6.6530699999999996E-3</v>
      </c>
      <c r="I222">
        <v>-0.94173589899999999</v>
      </c>
      <c r="J222">
        <v>-0.95048554925049</v>
      </c>
      <c r="K222">
        <v>-1.2829759000000001</v>
      </c>
      <c r="L222">
        <v>-1.3141037113979801</v>
      </c>
      <c r="M222">
        <v>-0.84982131373969005</v>
      </c>
      <c r="N222">
        <v>-1.0337665594409899</v>
      </c>
      <c r="O222" s="12">
        <v>-11.975688288766463</v>
      </c>
      <c r="P222" s="12">
        <v>-15.870288971033297</v>
      </c>
    </row>
    <row r="223" spans="1:16" x14ac:dyDescent="0.3">
      <c r="A223">
        <v>0.6</v>
      </c>
      <c r="B223">
        <v>6</v>
      </c>
      <c r="C223">
        <v>40</v>
      </c>
      <c r="D223">
        <v>3.9</v>
      </c>
      <c r="E223">
        <v>0</v>
      </c>
      <c r="F223">
        <v>3.76</v>
      </c>
      <c r="G223">
        <v>0</v>
      </c>
      <c r="H223">
        <v>9.2599799999999993E-3</v>
      </c>
      <c r="I223">
        <v>53.688632269999999</v>
      </c>
      <c r="J223">
        <v>53.675668384164197</v>
      </c>
      <c r="K223">
        <v>53.392605000000003</v>
      </c>
      <c r="L223">
        <v>53.617086706315902</v>
      </c>
      <c r="M223">
        <v>53.764680550385499</v>
      </c>
      <c r="N223">
        <v>53.665614932820198</v>
      </c>
      <c r="O223" s="12">
        <v>30.905414553430703</v>
      </c>
      <c r="P223" s="12">
        <v>45.910516163087358</v>
      </c>
    </row>
    <row r="224" spans="1:16" x14ac:dyDescent="0.3">
      <c r="A224">
        <v>1</v>
      </c>
      <c r="B224">
        <v>2</v>
      </c>
      <c r="C224">
        <v>20</v>
      </c>
      <c r="D224">
        <v>2.8</v>
      </c>
      <c r="E224">
        <v>0.90654583</v>
      </c>
      <c r="F224">
        <v>7.0444000000000004</v>
      </c>
      <c r="G224">
        <v>0.56999999999999995</v>
      </c>
      <c r="H224">
        <v>7.5770400000000002E-3</v>
      </c>
      <c r="I224">
        <v>26.62891419</v>
      </c>
      <c r="J224">
        <v>26.605073939567699</v>
      </c>
      <c r="K224">
        <v>26.479689</v>
      </c>
      <c r="L224">
        <v>27.0163304394104</v>
      </c>
      <c r="M224">
        <v>26.567031670640301</v>
      </c>
      <c r="N224">
        <v>26.628094218519799</v>
      </c>
      <c r="O224" s="12">
        <v>18.188698830258481</v>
      </c>
      <c r="P224" s="12">
        <v>27.370314268315859</v>
      </c>
    </row>
    <row r="225" spans="1:16" x14ac:dyDescent="0.3">
      <c r="A225">
        <v>0.6</v>
      </c>
      <c r="B225">
        <v>4</v>
      </c>
      <c r="C225">
        <v>15</v>
      </c>
      <c r="D225">
        <v>5.7</v>
      </c>
      <c r="E225">
        <v>6.4412466879999997</v>
      </c>
      <c r="F225">
        <v>1.41</v>
      </c>
      <c r="G225">
        <v>4.05</v>
      </c>
      <c r="H225">
        <v>5.7099999999999998E-3</v>
      </c>
      <c r="I225">
        <v>3.0369226220000001</v>
      </c>
      <c r="J225">
        <v>3.0895049427406498</v>
      </c>
      <c r="K225">
        <v>3.0206531999999999</v>
      </c>
      <c r="L225">
        <v>3.0786941367793399</v>
      </c>
      <c r="M225">
        <v>3.1133002104285299</v>
      </c>
      <c r="N225">
        <v>3.0469060277796798</v>
      </c>
      <c r="O225" s="12">
        <v>7.8661984400644647</v>
      </c>
      <c r="P225" s="12">
        <v>5.4936636646082153</v>
      </c>
    </row>
    <row r="226" spans="1:16" x14ac:dyDescent="0.3">
      <c r="A226">
        <v>1</v>
      </c>
      <c r="B226">
        <v>4</v>
      </c>
      <c r="C226">
        <v>40</v>
      </c>
      <c r="D226">
        <v>12.3</v>
      </c>
      <c r="E226">
        <v>6.4412466879999997</v>
      </c>
      <c r="F226">
        <v>7.9885999999999999</v>
      </c>
      <c r="G226">
        <v>4.05</v>
      </c>
      <c r="H226">
        <v>1.0389880000000001E-2</v>
      </c>
      <c r="I226">
        <v>4.7559940449999996</v>
      </c>
      <c r="J226">
        <v>4.7641154003460402</v>
      </c>
      <c r="K226">
        <v>4.7893943999999999</v>
      </c>
      <c r="L226">
        <v>4.76374010964145</v>
      </c>
      <c r="M226">
        <v>4.7531652317050401</v>
      </c>
      <c r="N226">
        <v>4.7511474023298099</v>
      </c>
      <c r="O226" s="12">
        <v>15.642567022365217</v>
      </c>
      <c r="P226" s="12">
        <v>7.8621731819060656</v>
      </c>
    </row>
    <row r="227" spans="1:16" x14ac:dyDescent="0.3">
      <c r="A227">
        <v>0.6</v>
      </c>
      <c r="B227">
        <v>2</v>
      </c>
      <c r="C227">
        <v>20</v>
      </c>
      <c r="D227">
        <v>6.9</v>
      </c>
      <c r="E227">
        <v>7.1092278259999997</v>
      </c>
      <c r="F227">
        <v>1.88</v>
      </c>
      <c r="G227">
        <v>4.47</v>
      </c>
      <c r="H227">
        <v>6.9699999999999996E-3</v>
      </c>
      <c r="I227">
        <v>3.552678711</v>
      </c>
      <c r="J227">
        <v>3.5542316784403098</v>
      </c>
      <c r="K227">
        <v>3.4923839999999999</v>
      </c>
      <c r="L227">
        <v>3.4287575978696299</v>
      </c>
      <c r="M227">
        <v>3.5739537182143701</v>
      </c>
      <c r="N227">
        <v>3.5404196816845901</v>
      </c>
      <c r="O227" s="12">
        <v>10.051231371210651</v>
      </c>
      <c r="P227" s="12">
        <v>9.1024791892359502</v>
      </c>
    </row>
    <row r="228" spans="1:16" x14ac:dyDescent="0.3">
      <c r="A228">
        <v>1.6666666670000001</v>
      </c>
      <c r="B228">
        <v>1</v>
      </c>
      <c r="C228">
        <v>40</v>
      </c>
      <c r="D228">
        <v>15.6</v>
      </c>
      <c r="E228">
        <v>8.1271038450000006</v>
      </c>
      <c r="F228">
        <v>2.16</v>
      </c>
      <c r="G228">
        <v>5.1100000000000003</v>
      </c>
      <c r="H228">
        <v>8.7799999999999996E-3</v>
      </c>
      <c r="I228">
        <v>2.6035622109999998</v>
      </c>
      <c r="J228">
        <v>2.60920873712181</v>
      </c>
      <c r="K228">
        <v>2.5202122</v>
      </c>
      <c r="L228">
        <v>2.6830221079866798</v>
      </c>
      <c r="M228">
        <v>2.6166426035455799</v>
      </c>
      <c r="N228">
        <v>2.6226677495359301</v>
      </c>
      <c r="O228" s="12">
        <v>9.1567338961200164</v>
      </c>
      <c r="P228" s="12">
        <v>2.4355571885102556</v>
      </c>
    </row>
    <row r="229" spans="1:16" x14ac:dyDescent="0.3">
      <c r="A229">
        <v>0.6</v>
      </c>
      <c r="B229">
        <v>1</v>
      </c>
      <c r="C229">
        <v>30</v>
      </c>
      <c r="D229">
        <v>6.6</v>
      </c>
      <c r="E229">
        <v>1.5427183419999999</v>
      </c>
      <c r="F229">
        <v>2.82</v>
      </c>
      <c r="G229">
        <v>0.97</v>
      </c>
      <c r="H229">
        <v>9.2599999999999991E-3</v>
      </c>
      <c r="I229">
        <v>10.459839819999999</v>
      </c>
      <c r="J229">
        <v>10.4601585324388</v>
      </c>
      <c r="K229">
        <v>10.506501999999999</v>
      </c>
      <c r="L229">
        <v>12.312365672259499</v>
      </c>
      <c r="M229">
        <v>10.499900418969601</v>
      </c>
      <c r="N229">
        <v>10.3264064809019</v>
      </c>
      <c r="O229" s="12">
        <v>18.637614843993077</v>
      </c>
      <c r="P229" s="12">
        <v>20.899683596253595</v>
      </c>
    </row>
    <row r="230" spans="1:16" x14ac:dyDescent="0.3">
      <c r="A230">
        <v>1.6666666670000001</v>
      </c>
      <c r="B230">
        <v>4</v>
      </c>
      <c r="C230">
        <v>20</v>
      </c>
      <c r="D230">
        <v>11.5</v>
      </c>
      <c r="E230">
        <v>28.357389739999999</v>
      </c>
      <c r="F230">
        <v>1.08</v>
      </c>
      <c r="G230">
        <v>17.829999999999998</v>
      </c>
      <c r="H230">
        <v>4.8399999999999997E-3</v>
      </c>
      <c r="I230">
        <v>-2.6680416039999999</v>
      </c>
      <c r="J230">
        <v>-2.6318605909455002</v>
      </c>
      <c r="K230">
        <v>-2.0706015</v>
      </c>
      <c r="L230">
        <v>-2.3393735399832698</v>
      </c>
      <c r="M230">
        <v>-2.5391484465521601</v>
      </c>
      <c r="N230">
        <v>-2.6430277118263299</v>
      </c>
      <c r="O230" s="12">
        <v>3.5406918506167102</v>
      </c>
      <c r="P230" s="12">
        <v>1.487406308835368</v>
      </c>
    </row>
    <row r="231" spans="1:16" x14ac:dyDescent="0.3">
      <c r="A231">
        <v>1.6666666670000001</v>
      </c>
      <c r="B231">
        <v>4</v>
      </c>
      <c r="C231">
        <v>10</v>
      </c>
      <c r="D231">
        <v>8</v>
      </c>
      <c r="E231">
        <v>27.307705089999999</v>
      </c>
      <c r="F231">
        <v>0.54</v>
      </c>
      <c r="G231">
        <v>17.170000000000002</v>
      </c>
      <c r="H231">
        <v>2.5500000000000002E-3</v>
      </c>
      <c r="I231">
        <v>-1.22021727</v>
      </c>
      <c r="J231">
        <v>-1.1895999137478599</v>
      </c>
      <c r="K231">
        <v>-1.0612682</v>
      </c>
      <c r="L231">
        <v>-1.21686653453917</v>
      </c>
      <c r="M231">
        <v>-1.25130989986562</v>
      </c>
      <c r="N231">
        <v>-1.2190466932099999</v>
      </c>
      <c r="O231" s="12">
        <v>1.8078795867925876</v>
      </c>
      <c r="P231" s="12">
        <v>-2.7638193627804371</v>
      </c>
    </row>
    <row r="232" spans="1:16" x14ac:dyDescent="0.3">
      <c r="A232">
        <v>1</v>
      </c>
      <c r="B232">
        <v>6</v>
      </c>
      <c r="C232">
        <v>15</v>
      </c>
      <c r="D232">
        <v>5</v>
      </c>
      <c r="E232">
        <v>5.8527871139999998</v>
      </c>
      <c r="F232">
        <v>6.5609999999999999</v>
      </c>
      <c r="G232">
        <v>3.68</v>
      </c>
      <c r="H232">
        <v>6.6531000000000003E-3</v>
      </c>
      <c r="I232">
        <v>4.163004259</v>
      </c>
      <c r="J232">
        <v>4.1805946826158804</v>
      </c>
      <c r="K232">
        <v>4.0682606999999997</v>
      </c>
      <c r="L232">
        <v>4.0341220806172897</v>
      </c>
      <c r="M232">
        <v>4.1078153473813597</v>
      </c>
      <c r="N232">
        <v>4.1487356345666599</v>
      </c>
      <c r="O232" s="12">
        <v>10.002897629090693</v>
      </c>
      <c r="P232" s="12">
        <v>12.618260468875402</v>
      </c>
    </row>
    <row r="233" spans="1:16" x14ac:dyDescent="0.3">
      <c r="A233">
        <v>0.6</v>
      </c>
      <c r="B233">
        <v>4</v>
      </c>
      <c r="C233">
        <v>60</v>
      </c>
      <c r="D233">
        <v>27.6</v>
      </c>
      <c r="E233">
        <v>6.0754474930000004</v>
      </c>
      <c r="F233">
        <v>5.64</v>
      </c>
      <c r="G233">
        <v>3.82</v>
      </c>
      <c r="H233">
        <v>1.379E-2</v>
      </c>
      <c r="I233">
        <v>2.1099253020000002</v>
      </c>
      <c r="J233">
        <v>2.0899651772408201</v>
      </c>
      <c r="K233">
        <v>2.1165422999999999</v>
      </c>
      <c r="L233">
        <v>2.2733435949599801</v>
      </c>
      <c r="M233">
        <v>2.09832813801397</v>
      </c>
      <c r="N233">
        <v>2.0793272821409898</v>
      </c>
      <c r="O233" s="12">
        <v>0.37446335982417622</v>
      </c>
      <c r="P233" s="12">
        <v>-0.68524459483303701</v>
      </c>
    </row>
    <row r="234" spans="1:16" x14ac:dyDescent="0.3">
      <c r="A234">
        <v>0.6</v>
      </c>
      <c r="B234">
        <v>2</v>
      </c>
      <c r="C234">
        <v>10</v>
      </c>
      <c r="D234">
        <v>9.6</v>
      </c>
      <c r="E234">
        <v>34.973583869999999</v>
      </c>
      <c r="F234">
        <v>0.94</v>
      </c>
      <c r="G234">
        <v>21.99</v>
      </c>
      <c r="H234">
        <v>4.0000000000000001E-3</v>
      </c>
      <c r="I234">
        <v>-1.744470103</v>
      </c>
      <c r="J234">
        <v>-1.7303229458916201</v>
      </c>
      <c r="K234">
        <v>-1.8166612</v>
      </c>
      <c r="L234">
        <v>-1.80095008906982</v>
      </c>
      <c r="M234">
        <v>-1.6302366951184299</v>
      </c>
      <c r="N234">
        <v>-1.7610745982731799</v>
      </c>
      <c r="O234" s="12">
        <v>-0.45404481608969949</v>
      </c>
      <c r="P234" s="12">
        <v>-0.23562676580020536</v>
      </c>
    </row>
    <row r="235" spans="1:16" x14ac:dyDescent="0.3">
      <c r="A235">
        <v>0.6</v>
      </c>
      <c r="B235">
        <v>2</v>
      </c>
      <c r="C235">
        <v>15</v>
      </c>
      <c r="D235">
        <v>1.9</v>
      </c>
      <c r="E235">
        <v>0</v>
      </c>
      <c r="F235">
        <v>1.41</v>
      </c>
      <c r="G235">
        <v>0</v>
      </c>
      <c r="H235">
        <v>5.7099999999999998E-3</v>
      </c>
      <c r="I235">
        <v>31.810235769999998</v>
      </c>
      <c r="J235">
        <v>31.821118716560601</v>
      </c>
      <c r="K235">
        <v>31.797861000000001</v>
      </c>
      <c r="L235">
        <v>31.3541977386319</v>
      </c>
      <c r="M235">
        <v>31.8324866915118</v>
      </c>
      <c r="N235">
        <v>31.8102357700004</v>
      </c>
      <c r="O235" s="12">
        <v>14.812940186621567</v>
      </c>
      <c r="P235" s="12">
        <v>23.955310273734341</v>
      </c>
    </row>
    <row r="236" spans="1:16" x14ac:dyDescent="0.3">
      <c r="A236">
        <v>0.6</v>
      </c>
      <c r="B236">
        <v>1</v>
      </c>
      <c r="C236">
        <v>15</v>
      </c>
      <c r="D236">
        <v>1.9</v>
      </c>
      <c r="E236">
        <v>0</v>
      </c>
      <c r="F236">
        <v>1.41</v>
      </c>
      <c r="G236">
        <v>0</v>
      </c>
      <c r="H236">
        <v>5.7099999999999998E-3</v>
      </c>
      <c r="I236">
        <v>31.810235769999998</v>
      </c>
      <c r="J236">
        <v>31.814207369228299</v>
      </c>
      <c r="K236">
        <v>31.860043999999998</v>
      </c>
      <c r="L236">
        <v>31.631473365684499</v>
      </c>
      <c r="M236">
        <v>31.8298946950908</v>
      </c>
      <c r="N236">
        <v>31.8102357700004</v>
      </c>
      <c r="O236" s="12">
        <v>14.854689850482163</v>
      </c>
      <c r="P236" s="12">
        <v>27.026950717892568</v>
      </c>
    </row>
    <row r="237" spans="1:16" x14ac:dyDescent="0.3">
      <c r="A237">
        <v>1.6666666670000001</v>
      </c>
      <c r="B237">
        <v>1</v>
      </c>
      <c r="C237">
        <v>10</v>
      </c>
      <c r="D237">
        <v>4.8</v>
      </c>
      <c r="E237">
        <v>5.8845957389999999</v>
      </c>
      <c r="F237">
        <v>0.54</v>
      </c>
      <c r="G237">
        <v>3.7</v>
      </c>
      <c r="H237">
        <v>2.5500000000000002E-3</v>
      </c>
      <c r="I237">
        <v>1.9549169710000001</v>
      </c>
      <c r="J237">
        <v>1.91238913396262</v>
      </c>
      <c r="K237">
        <v>2.2088432</v>
      </c>
      <c r="L237">
        <v>2.2111360277347298</v>
      </c>
      <c r="M237">
        <v>1.99851844353589</v>
      </c>
      <c r="N237">
        <v>2.0050745570123301</v>
      </c>
      <c r="O237" s="12">
        <v>5.1919608177745546</v>
      </c>
      <c r="P237" s="12">
        <v>1.4232919465942913</v>
      </c>
    </row>
    <row r="238" spans="1:16" x14ac:dyDescent="0.3">
      <c r="A238">
        <v>0.6</v>
      </c>
      <c r="B238">
        <v>1</v>
      </c>
      <c r="C238">
        <v>60</v>
      </c>
      <c r="D238">
        <v>13.8</v>
      </c>
      <c r="E238">
        <v>3.5625660689999998</v>
      </c>
      <c r="F238">
        <v>5.64</v>
      </c>
      <c r="G238">
        <v>2.2400000000000002</v>
      </c>
      <c r="H238">
        <v>1.379E-2</v>
      </c>
      <c r="I238">
        <v>9.2325058559999995</v>
      </c>
      <c r="J238">
        <v>9.2340875551323194</v>
      </c>
      <c r="K238">
        <v>9.0353870000000001</v>
      </c>
      <c r="L238">
        <v>9.1963077835207496</v>
      </c>
      <c r="M238">
        <v>9.1857464140809792</v>
      </c>
      <c r="N238">
        <v>9.2131743890725506</v>
      </c>
      <c r="O238" s="12">
        <v>28.713755712830775</v>
      </c>
      <c r="P238" s="12">
        <v>20.824860143001004</v>
      </c>
    </row>
    <row r="239" spans="1:16" x14ac:dyDescent="0.3">
      <c r="A239">
        <v>1</v>
      </c>
      <c r="B239">
        <v>6</v>
      </c>
      <c r="C239">
        <v>20</v>
      </c>
      <c r="D239">
        <v>11.2</v>
      </c>
      <c r="E239">
        <v>16.031547310000001</v>
      </c>
      <c r="F239">
        <v>7.0444000000000004</v>
      </c>
      <c r="G239">
        <v>10.08</v>
      </c>
      <c r="H239">
        <v>7.5770400000000002E-3</v>
      </c>
      <c r="I239">
        <v>0.21360970700000001</v>
      </c>
      <c r="J239">
        <v>0.172770844876832</v>
      </c>
      <c r="K239">
        <v>0.21993461</v>
      </c>
      <c r="L239">
        <v>0.20522631466736899</v>
      </c>
      <c r="M239">
        <v>0.30584998094893401</v>
      </c>
      <c r="N239">
        <v>0.21052352956866699</v>
      </c>
      <c r="O239" s="12">
        <v>2.9899896476517744</v>
      </c>
      <c r="P239" s="12">
        <v>0.32462064722958672</v>
      </c>
    </row>
    <row r="240" spans="1:16" x14ac:dyDescent="0.3">
      <c r="A240">
        <v>1</v>
      </c>
      <c r="B240">
        <v>1</v>
      </c>
      <c r="C240">
        <v>30</v>
      </c>
      <c r="D240">
        <v>18</v>
      </c>
      <c r="E240">
        <v>15.96793006</v>
      </c>
      <c r="F240">
        <v>7.6656000000000004</v>
      </c>
      <c r="G240">
        <v>10.039999999999999</v>
      </c>
      <c r="H240">
        <v>9.1083599999999994E-3</v>
      </c>
      <c r="I240">
        <v>0.196119512</v>
      </c>
      <c r="J240">
        <v>0.19843693255765499</v>
      </c>
      <c r="K240">
        <v>0.27912651999999999</v>
      </c>
      <c r="L240">
        <v>0.191458222873683</v>
      </c>
      <c r="M240">
        <v>0.158969627739598</v>
      </c>
      <c r="N240">
        <v>0.20079125865399999</v>
      </c>
      <c r="O240" s="12">
        <v>-2.6460370620459548</v>
      </c>
      <c r="P240" s="12">
        <v>-6.1031520926512073</v>
      </c>
    </row>
    <row r="241" spans="1:16" x14ac:dyDescent="0.3">
      <c r="A241">
        <v>1.6666666670000001</v>
      </c>
      <c r="B241">
        <v>6</v>
      </c>
      <c r="C241">
        <v>15</v>
      </c>
      <c r="D241">
        <v>9.5</v>
      </c>
      <c r="E241">
        <v>26.30573339</v>
      </c>
      <c r="F241">
        <v>0.81</v>
      </c>
      <c r="G241">
        <v>16.54</v>
      </c>
      <c r="H241">
        <v>3.7300200000000001E-3</v>
      </c>
      <c r="I241">
        <v>-1.715025579</v>
      </c>
      <c r="J241">
        <v>-1.7545757283774399</v>
      </c>
      <c r="K241">
        <v>-1.4500257000000001</v>
      </c>
      <c r="L241">
        <v>-1.62084839405982</v>
      </c>
      <c r="M241">
        <v>-1.7750625525416901</v>
      </c>
      <c r="N241">
        <v>-1.7059319544163201</v>
      </c>
      <c r="O241" s="12">
        <v>2.8941787664199774</v>
      </c>
      <c r="P241" s="12">
        <v>3.8069652942950043</v>
      </c>
    </row>
    <row r="242" spans="1:16" x14ac:dyDescent="0.3">
      <c r="A242">
        <v>0.6</v>
      </c>
      <c r="B242">
        <v>2</v>
      </c>
      <c r="C242">
        <v>30</v>
      </c>
      <c r="D242">
        <v>16.5</v>
      </c>
      <c r="E242">
        <v>26.21030751</v>
      </c>
      <c r="F242">
        <v>2.82</v>
      </c>
      <c r="G242">
        <v>16.48</v>
      </c>
      <c r="H242">
        <v>9.2599999999999991E-3</v>
      </c>
      <c r="I242">
        <v>-2.245414212</v>
      </c>
      <c r="J242">
        <v>-2.2178492833092198</v>
      </c>
      <c r="K242">
        <v>-1.965317</v>
      </c>
      <c r="L242">
        <v>-1.9318852170641601</v>
      </c>
      <c r="M242">
        <v>-2.19066606024729</v>
      </c>
      <c r="N242">
        <v>-2.1689318788610001</v>
      </c>
      <c r="O242" s="12">
        <v>1.9578780921948855</v>
      </c>
      <c r="P242" s="12">
        <v>0.1543707670074923</v>
      </c>
    </row>
    <row r="243" spans="1:16" x14ac:dyDescent="0.3">
      <c r="A243">
        <v>0.6</v>
      </c>
      <c r="B243">
        <v>6</v>
      </c>
      <c r="C243">
        <v>15</v>
      </c>
      <c r="D243">
        <v>5.7</v>
      </c>
      <c r="E243">
        <v>6.3935337490000004</v>
      </c>
      <c r="F243">
        <v>1.41</v>
      </c>
      <c r="G243">
        <v>4.0199999999999996</v>
      </c>
      <c r="H243">
        <v>5.7100199999999997E-3</v>
      </c>
      <c r="I243">
        <v>3.044266403</v>
      </c>
      <c r="J243">
        <v>3.0417954413429098</v>
      </c>
      <c r="K243">
        <v>3.0206531999999999</v>
      </c>
      <c r="L243">
        <v>3.0811300581649799</v>
      </c>
      <c r="M243">
        <v>3.1468034733919601</v>
      </c>
      <c r="N243">
        <v>3.0522894271246801</v>
      </c>
      <c r="O243" s="12">
        <v>7.7751962530414547</v>
      </c>
      <c r="P243" s="12">
        <v>9.6891156252193866</v>
      </c>
    </row>
    <row r="244" spans="1:16" x14ac:dyDescent="0.3">
      <c r="A244">
        <v>1.6666666670000001</v>
      </c>
      <c r="B244">
        <v>4</v>
      </c>
      <c r="C244">
        <v>20</v>
      </c>
      <c r="D244">
        <v>6.9</v>
      </c>
      <c r="E244">
        <v>9.0972669269999997</v>
      </c>
      <c r="F244">
        <v>1.08</v>
      </c>
      <c r="G244">
        <v>5.72</v>
      </c>
      <c r="H244">
        <v>4.8399999999999997E-3</v>
      </c>
      <c r="I244">
        <v>3.0839320849999998</v>
      </c>
      <c r="J244">
        <v>3.0394678565930699</v>
      </c>
      <c r="K244">
        <v>2.9033617999999999</v>
      </c>
      <c r="L244">
        <v>2.8881827000088598</v>
      </c>
      <c r="M244">
        <v>3.1471386515105899</v>
      </c>
      <c r="N244">
        <v>3.0443149072276698</v>
      </c>
      <c r="O244" s="12">
        <v>10.042778228882431</v>
      </c>
      <c r="P244" s="12">
        <v>6.9064286914771955</v>
      </c>
    </row>
    <row r="245" spans="1:16" x14ac:dyDescent="0.3">
      <c r="A245">
        <v>1</v>
      </c>
      <c r="B245">
        <v>2</v>
      </c>
      <c r="C245">
        <v>15</v>
      </c>
      <c r="D245">
        <v>12.5</v>
      </c>
      <c r="E245">
        <v>34.607784670000001</v>
      </c>
      <c r="F245">
        <v>6.5609999999999999</v>
      </c>
      <c r="G245">
        <v>21.76</v>
      </c>
      <c r="H245">
        <v>6.6530799999999996E-3</v>
      </c>
      <c r="I245">
        <v>-2.3090140290000001</v>
      </c>
      <c r="J245">
        <v>-2.2962641477155099</v>
      </c>
      <c r="K245">
        <v>-2.2268043</v>
      </c>
      <c r="L245">
        <v>-2.3141659157363099</v>
      </c>
      <c r="M245">
        <v>-2.3104460229665</v>
      </c>
      <c r="N245">
        <v>-2.3218932947093198</v>
      </c>
      <c r="O245" s="12">
        <v>-0.84845910147408787</v>
      </c>
      <c r="P245" s="12">
        <v>-2.1650408835470429</v>
      </c>
    </row>
    <row r="246" spans="1:16" x14ac:dyDescent="0.3">
      <c r="A246">
        <v>1</v>
      </c>
      <c r="B246">
        <v>4</v>
      </c>
      <c r="C246">
        <v>15</v>
      </c>
      <c r="D246">
        <v>10</v>
      </c>
      <c r="E246">
        <v>25.924029879999999</v>
      </c>
      <c r="F246">
        <v>6.5609999999999999</v>
      </c>
      <c r="G246">
        <v>16.3</v>
      </c>
      <c r="H246">
        <v>6.6530799999999996E-3</v>
      </c>
      <c r="I246">
        <v>-1.507605109</v>
      </c>
      <c r="J246">
        <v>-1.4752789788604099</v>
      </c>
      <c r="K246">
        <v>-1.2971964</v>
      </c>
      <c r="L246">
        <v>-1.3996600187585</v>
      </c>
      <c r="M246">
        <v>-1.51083079330591</v>
      </c>
      <c r="N246">
        <v>-1.48792763173899</v>
      </c>
      <c r="O246" s="12">
        <v>2.8828192564182631</v>
      </c>
      <c r="P246" s="12">
        <v>-2.8287553285416323E-2</v>
      </c>
    </row>
    <row r="247" spans="1:16" x14ac:dyDescent="0.3">
      <c r="A247">
        <v>1.6666666670000001</v>
      </c>
      <c r="B247">
        <v>2</v>
      </c>
      <c r="C247">
        <v>10</v>
      </c>
      <c r="D247">
        <v>6.4</v>
      </c>
      <c r="E247">
        <v>17.399318210000001</v>
      </c>
      <c r="F247">
        <v>0.54</v>
      </c>
      <c r="G247">
        <v>10.94</v>
      </c>
      <c r="H247">
        <v>2.5500000000000002E-3</v>
      </c>
      <c r="I247">
        <v>-3.3833936000000002E-2</v>
      </c>
      <c r="J247">
        <v>-1.5922211923071E-2</v>
      </c>
      <c r="K247">
        <v>-0.16580613999999999</v>
      </c>
      <c r="L247">
        <v>-3.5762903532631701E-2</v>
      </c>
      <c r="M247">
        <v>9.0790628443340095E-3</v>
      </c>
      <c r="N247">
        <v>-3.4575805498000003E-2</v>
      </c>
      <c r="O247" s="12">
        <v>3.6473398119616287</v>
      </c>
      <c r="P247" s="12">
        <v>-0.56280849947863354</v>
      </c>
    </row>
    <row r="248" spans="1:16" x14ac:dyDescent="0.3">
      <c r="A248">
        <v>0.6</v>
      </c>
      <c r="B248">
        <v>2</v>
      </c>
      <c r="C248">
        <v>15</v>
      </c>
      <c r="D248">
        <v>13.3</v>
      </c>
      <c r="E248">
        <v>35.180339930000002</v>
      </c>
      <c r="F248">
        <v>1.41</v>
      </c>
      <c r="G248">
        <v>22.12</v>
      </c>
      <c r="H248">
        <v>5.7099999999999998E-3</v>
      </c>
      <c r="I248">
        <v>-2.0769105539999999</v>
      </c>
      <c r="J248">
        <v>-2.1322074192410998</v>
      </c>
      <c r="K248">
        <v>-2.3854565999999999</v>
      </c>
      <c r="L248">
        <v>-2.27453685719499</v>
      </c>
      <c r="M248">
        <v>-2.19326255035174</v>
      </c>
      <c r="N248">
        <v>-2.1158291929333402</v>
      </c>
      <c r="O248" s="12">
        <v>-3.2784673948188532</v>
      </c>
      <c r="P248" s="12">
        <v>-4.1161167632100497</v>
      </c>
    </row>
    <row r="249" spans="1:16" x14ac:dyDescent="0.3">
      <c r="A249">
        <v>1</v>
      </c>
      <c r="B249">
        <v>4</v>
      </c>
      <c r="C249">
        <v>30</v>
      </c>
      <c r="D249">
        <v>21.6</v>
      </c>
      <c r="E249">
        <v>23.824660590000001</v>
      </c>
      <c r="F249">
        <v>7.6656000000000004</v>
      </c>
      <c r="G249">
        <v>14.98</v>
      </c>
      <c r="H249">
        <v>9.1083599999999994E-3</v>
      </c>
      <c r="I249">
        <v>-0.93476288900000004</v>
      </c>
      <c r="J249">
        <v>-0.91188050914315799</v>
      </c>
      <c r="K249">
        <v>-0.89549809999999996</v>
      </c>
      <c r="L249">
        <v>-0.93503473957771299</v>
      </c>
      <c r="M249">
        <v>-0.87551390307238597</v>
      </c>
      <c r="N249">
        <v>-0.94336779896800504</v>
      </c>
      <c r="O249" s="12">
        <v>-8.9968717793288562</v>
      </c>
      <c r="P249" s="12">
        <v>-10.534773586605461</v>
      </c>
    </row>
    <row r="250" spans="1:16" x14ac:dyDescent="0.3">
      <c r="A250">
        <v>1</v>
      </c>
      <c r="B250">
        <v>6</v>
      </c>
      <c r="C250">
        <v>15</v>
      </c>
      <c r="D250">
        <v>15</v>
      </c>
      <c r="E250">
        <v>38.361202489999997</v>
      </c>
      <c r="F250">
        <v>6.5609999999999999</v>
      </c>
      <c r="G250">
        <v>24.12</v>
      </c>
      <c r="H250">
        <v>6.6531000000000003E-3</v>
      </c>
      <c r="I250">
        <v>-2.089842338</v>
      </c>
      <c r="J250">
        <v>-2.1066732814938902</v>
      </c>
      <c r="K250">
        <v>-2.4445320000000001</v>
      </c>
      <c r="L250">
        <v>-2.2433068925103901</v>
      </c>
      <c r="M250">
        <v>-2.1459840440800702</v>
      </c>
      <c r="N250">
        <v>-2.0911385961843298</v>
      </c>
      <c r="O250" s="12">
        <v>-5.6070303181334973</v>
      </c>
      <c r="P250" s="12">
        <v>-5.3901034521194227</v>
      </c>
    </row>
    <row r="251" spans="1:16" x14ac:dyDescent="0.3">
      <c r="A251">
        <v>1.6666666670000001</v>
      </c>
      <c r="B251">
        <v>2</v>
      </c>
      <c r="C251">
        <v>15</v>
      </c>
      <c r="D251">
        <v>7.6</v>
      </c>
      <c r="E251">
        <v>17.319796650000001</v>
      </c>
      <c r="F251">
        <v>0.81</v>
      </c>
      <c r="G251">
        <v>10.89</v>
      </c>
      <c r="H251">
        <v>3.7299999999999998E-3</v>
      </c>
      <c r="I251">
        <v>-3.5360415999999999E-2</v>
      </c>
      <c r="J251">
        <v>-5.0759342523114197E-2</v>
      </c>
      <c r="K251">
        <v>0.10004211</v>
      </c>
      <c r="L251">
        <v>-3.5329749155789299E-2</v>
      </c>
      <c r="M251">
        <v>-1.22265439736279E-2</v>
      </c>
      <c r="N251">
        <v>-3.3882828896E-2</v>
      </c>
      <c r="O251" s="12">
        <v>5.5844179980841737</v>
      </c>
      <c r="P251" s="12">
        <v>3.2537566008694645</v>
      </c>
    </row>
    <row r="252" spans="1:16" x14ac:dyDescent="0.3">
      <c r="A252">
        <v>1.6666666670000001</v>
      </c>
      <c r="B252">
        <v>1</v>
      </c>
      <c r="C252">
        <v>40</v>
      </c>
      <c r="D252">
        <v>11.7</v>
      </c>
      <c r="E252">
        <v>4.5645377759999999</v>
      </c>
      <c r="F252">
        <v>2.16</v>
      </c>
      <c r="G252">
        <v>2.87</v>
      </c>
      <c r="H252">
        <v>8.7799999999999996E-3</v>
      </c>
      <c r="I252">
        <v>5.5437030040000002</v>
      </c>
      <c r="J252">
        <v>5.6018023589814296</v>
      </c>
      <c r="K252">
        <v>5.5506634999999998</v>
      </c>
      <c r="L252">
        <v>6.1661645480667699</v>
      </c>
      <c r="M252">
        <v>5.4875251373476699</v>
      </c>
      <c r="N252">
        <v>5.6142359519143401</v>
      </c>
      <c r="O252" s="12">
        <v>16.680851437529064</v>
      </c>
      <c r="P252" s="12">
        <v>12.098658734365625</v>
      </c>
    </row>
    <row r="253" spans="1:16" x14ac:dyDescent="0.3">
      <c r="A253">
        <v>1.6666666670000001</v>
      </c>
      <c r="B253">
        <v>1</v>
      </c>
      <c r="C253">
        <v>30</v>
      </c>
      <c r="D253">
        <v>9.9</v>
      </c>
      <c r="E253">
        <v>5.8368828009999998</v>
      </c>
      <c r="F253">
        <v>1.62</v>
      </c>
      <c r="G253">
        <v>3.67</v>
      </c>
      <c r="H253">
        <v>6.9100000000000003E-3</v>
      </c>
      <c r="I253">
        <v>4.1449157789999997</v>
      </c>
      <c r="J253">
        <v>4.1286782036743599</v>
      </c>
      <c r="K253">
        <v>3.883543</v>
      </c>
      <c r="L253">
        <v>3.5041837581514002</v>
      </c>
      <c r="M253">
        <v>4.1461600591673502</v>
      </c>
      <c r="N253">
        <v>4.0084056515311604</v>
      </c>
      <c r="O253" s="12">
        <v>12.097174707944587</v>
      </c>
      <c r="P253" s="12">
        <v>9.1252142641745841</v>
      </c>
    </row>
    <row r="254" spans="1:16" x14ac:dyDescent="0.3">
      <c r="A254">
        <v>1</v>
      </c>
      <c r="B254">
        <v>6</v>
      </c>
      <c r="C254">
        <v>20</v>
      </c>
      <c r="D254">
        <v>8.4</v>
      </c>
      <c r="E254">
        <v>9.3676402440000004</v>
      </c>
      <c r="F254">
        <v>7.0444000000000004</v>
      </c>
      <c r="G254">
        <v>5.89</v>
      </c>
      <c r="H254">
        <v>7.5770400000000002E-3</v>
      </c>
      <c r="I254">
        <v>2.0836467700000001</v>
      </c>
      <c r="J254">
        <v>2.1097727360243299</v>
      </c>
      <c r="K254">
        <v>1.9722668000000001</v>
      </c>
      <c r="L254">
        <v>2.1975974837291301</v>
      </c>
      <c r="M254">
        <v>2.1183250024284601</v>
      </c>
      <c r="N254">
        <v>2.07681584713248</v>
      </c>
      <c r="O254" s="12">
        <v>7.7449644303451395</v>
      </c>
      <c r="P254" s="12">
        <v>6.8549391120008139</v>
      </c>
    </row>
    <row r="255" spans="1:16" x14ac:dyDescent="0.3">
      <c r="A255">
        <v>0.6</v>
      </c>
      <c r="B255">
        <v>1</v>
      </c>
      <c r="C255">
        <v>10</v>
      </c>
      <c r="D255">
        <v>8</v>
      </c>
      <c r="E255">
        <v>23.458861389999999</v>
      </c>
      <c r="F255">
        <v>0.94</v>
      </c>
      <c r="G255">
        <v>14.75</v>
      </c>
      <c r="H255">
        <v>4.0000000000000001E-3</v>
      </c>
      <c r="I255">
        <v>-0.69154026300000004</v>
      </c>
      <c r="J255">
        <v>-0.67523926021102598</v>
      </c>
      <c r="K255">
        <v>-0.59785085999999998</v>
      </c>
      <c r="L255">
        <v>-0.73521268130273598</v>
      </c>
      <c r="M255">
        <v>-0.64473973657598005</v>
      </c>
      <c r="N255">
        <v>-0.655256920769</v>
      </c>
      <c r="O255" s="12">
        <v>1.0905761883052145</v>
      </c>
      <c r="P255" s="12">
        <v>2.0927641936861363</v>
      </c>
    </row>
    <row r="256" spans="1:16" x14ac:dyDescent="0.3">
      <c r="A256">
        <v>1.6666666670000001</v>
      </c>
      <c r="B256">
        <v>1</v>
      </c>
      <c r="C256">
        <v>30</v>
      </c>
      <c r="D256">
        <v>16.5</v>
      </c>
      <c r="E256">
        <v>19.276027119999998</v>
      </c>
      <c r="F256">
        <v>1.62</v>
      </c>
      <c r="G256">
        <v>12.12</v>
      </c>
      <c r="H256">
        <v>6.9100000000000003E-3</v>
      </c>
      <c r="I256">
        <v>-0.43982358500000002</v>
      </c>
      <c r="J256">
        <v>-0.48625201089520598</v>
      </c>
      <c r="K256">
        <v>-0.34350704999999998</v>
      </c>
      <c r="L256">
        <v>-0.46378356991472403</v>
      </c>
      <c r="M256">
        <v>-0.39988349518080202</v>
      </c>
      <c r="N256">
        <v>-0.45707546870266402</v>
      </c>
      <c r="O256" s="12">
        <v>0.53158008672116974</v>
      </c>
      <c r="P256" s="12">
        <v>-2.0568528631936509</v>
      </c>
    </row>
    <row r="257" spans="1:16" x14ac:dyDescent="0.3">
      <c r="A257">
        <v>1</v>
      </c>
      <c r="B257">
        <v>1</v>
      </c>
      <c r="C257">
        <v>40</v>
      </c>
      <c r="D257">
        <v>20.5</v>
      </c>
      <c r="E257">
        <v>19.085175370000002</v>
      </c>
      <c r="F257">
        <v>7.9885999999999999</v>
      </c>
      <c r="G257">
        <v>12</v>
      </c>
      <c r="H257">
        <v>1.0389860000000001E-2</v>
      </c>
      <c r="I257">
        <v>-0.46995494300000001</v>
      </c>
      <c r="J257">
        <v>-0.47232453857005602</v>
      </c>
      <c r="K257">
        <v>-0.47542392999999999</v>
      </c>
      <c r="L257">
        <v>-0.46053306530119997</v>
      </c>
      <c r="M257">
        <v>-0.47677703325971998</v>
      </c>
      <c r="N257">
        <v>-0.46295845604299801</v>
      </c>
      <c r="O257" s="12">
        <v>0.7598174163834619</v>
      </c>
      <c r="P257" s="12">
        <v>2.4226446126600791</v>
      </c>
    </row>
    <row r="258" spans="1:16" x14ac:dyDescent="0.3">
      <c r="A258">
        <v>0.6</v>
      </c>
      <c r="B258">
        <v>4</v>
      </c>
      <c r="C258">
        <v>30</v>
      </c>
      <c r="D258">
        <v>9.9</v>
      </c>
      <c r="E258">
        <v>9.6062049369999993</v>
      </c>
      <c r="F258">
        <v>2.82</v>
      </c>
      <c r="G258">
        <v>6.04</v>
      </c>
      <c r="H258">
        <v>9.2599999999999991E-3</v>
      </c>
      <c r="I258">
        <v>3.2192976660000001</v>
      </c>
      <c r="J258">
        <v>3.1995974162469198</v>
      </c>
      <c r="K258">
        <v>2.8036813999999999</v>
      </c>
      <c r="L258">
        <v>2.6808241506538399</v>
      </c>
      <c r="M258">
        <v>3.2460264428581298</v>
      </c>
      <c r="N258">
        <v>3.1166881060362299</v>
      </c>
      <c r="O258" s="12">
        <v>12.941311784625283</v>
      </c>
      <c r="P258" s="12">
        <v>7.7141110848590699</v>
      </c>
    </row>
    <row r="259" spans="1:16" x14ac:dyDescent="0.3">
      <c r="A259">
        <v>1.6666666670000001</v>
      </c>
      <c r="B259">
        <v>1</v>
      </c>
      <c r="C259">
        <v>20</v>
      </c>
      <c r="D259">
        <v>6.9</v>
      </c>
      <c r="E259">
        <v>4.2464515199999999</v>
      </c>
      <c r="F259">
        <v>1.08</v>
      </c>
      <c r="G259">
        <v>2.67</v>
      </c>
      <c r="H259">
        <v>4.8399999999999997E-3</v>
      </c>
      <c r="I259">
        <v>4.0256389969999997</v>
      </c>
      <c r="J259">
        <v>4.0807610664114797</v>
      </c>
      <c r="K259">
        <v>4.2891570000000003</v>
      </c>
      <c r="L259">
        <v>4.93497976217171</v>
      </c>
      <c r="M259">
        <v>4.0806017583866501</v>
      </c>
      <c r="N259">
        <v>4.0749571701447804</v>
      </c>
      <c r="O259" s="12">
        <v>9.4037468782823463</v>
      </c>
      <c r="P259" s="12">
        <v>7.3008397958564828</v>
      </c>
    </row>
    <row r="260" spans="1:16" x14ac:dyDescent="0.3">
      <c r="A260">
        <v>1</v>
      </c>
      <c r="B260">
        <v>2</v>
      </c>
      <c r="C260">
        <v>30</v>
      </c>
      <c r="D260">
        <v>18</v>
      </c>
      <c r="E260">
        <v>19.482783189999999</v>
      </c>
      <c r="F260">
        <v>7.6656000000000004</v>
      </c>
      <c r="G260">
        <v>12.25</v>
      </c>
      <c r="H260">
        <v>9.1083599999999994E-3</v>
      </c>
      <c r="I260">
        <v>-0.41852302299999999</v>
      </c>
      <c r="J260">
        <v>-0.43645167578427202</v>
      </c>
      <c r="K260">
        <v>-0.73534626000000003</v>
      </c>
      <c r="L260">
        <v>-0.46617596492751401</v>
      </c>
      <c r="M260">
        <v>-0.530694924848919</v>
      </c>
      <c r="N260">
        <v>-0.45014199495166501</v>
      </c>
      <c r="O260" s="12">
        <v>-2.13399670762655</v>
      </c>
      <c r="P260" s="12">
        <v>-6.3413324965512672</v>
      </c>
    </row>
    <row r="261" spans="1:16" x14ac:dyDescent="0.3">
      <c r="A261">
        <v>1.6666666670000001</v>
      </c>
      <c r="B261">
        <v>4</v>
      </c>
      <c r="C261">
        <v>15</v>
      </c>
      <c r="D261">
        <v>7.6</v>
      </c>
      <c r="E261">
        <v>20.96188428</v>
      </c>
      <c r="F261">
        <v>0.81</v>
      </c>
      <c r="G261">
        <v>13.18</v>
      </c>
      <c r="H261">
        <v>3.7299999999999998E-3</v>
      </c>
      <c r="I261">
        <v>-0.97586096700000002</v>
      </c>
      <c r="J261">
        <v>-0.91491615325578302</v>
      </c>
      <c r="K261">
        <v>-0.59785085999999998</v>
      </c>
      <c r="L261">
        <v>-0.79806944530824497</v>
      </c>
      <c r="M261">
        <v>-0.81235150018034596</v>
      </c>
      <c r="N261">
        <v>-0.934127463198001</v>
      </c>
      <c r="O261" s="12">
        <v>6.0747553857522982</v>
      </c>
      <c r="P261" s="12">
        <v>4.4515399233378181</v>
      </c>
    </row>
    <row r="262" spans="1:16" x14ac:dyDescent="0.3">
      <c r="A262">
        <v>1</v>
      </c>
      <c r="B262">
        <v>1</v>
      </c>
      <c r="C262">
        <v>30</v>
      </c>
      <c r="D262">
        <v>21.6</v>
      </c>
      <c r="E262">
        <v>23.315722579999999</v>
      </c>
      <c r="F262">
        <v>7.6656000000000004</v>
      </c>
      <c r="G262">
        <v>14.66</v>
      </c>
      <c r="H262">
        <v>9.1083599999999994E-3</v>
      </c>
      <c r="I262">
        <v>-0.85257913900000004</v>
      </c>
      <c r="J262">
        <v>-0.82180078351491603</v>
      </c>
      <c r="K262">
        <v>-0.82293400000000005</v>
      </c>
      <c r="L262">
        <v>-0.81951910218815005</v>
      </c>
      <c r="M262">
        <v>-0.78126814578352999</v>
      </c>
      <c r="N262">
        <v>-0.85956096900900203</v>
      </c>
      <c r="O262" s="12">
        <v>-8.9518095777598994</v>
      </c>
      <c r="P262" s="12">
        <v>-6.1539006560396317</v>
      </c>
    </row>
    <row r="263" spans="1:16" x14ac:dyDescent="0.3">
      <c r="A263">
        <v>1.6666666670000001</v>
      </c>
      <c r="B263">
        <v>1</v>
      </c>
      <c r="C263">
        <v>10</v>
      </c>
      <c r="D263">
        <v>6.4</v>
      </c>
      <c r="E263">
        <v>10.52865508</v>
      </c>
      <c r="F263">
        <v>0.54</v>
      </c>
      <c r="G263">
        <v>6.62</v>
      </c>
      <c r="H263">
        <v>2.5500000000000002E-3</v>
      </c>
      <c r="I263">
        <v>0.77738944300000001</v>
      </c>
      <c r="J263">
        <v>0.78234787551545604</v>
      </c>
      <c r="K263">
        <v>0.80194350000000003</v>
      </c>
      <c r="L263">
        <v>1.0139263919172099</v>
      </c>
      <c r="M263">
        <v>0.75240921388405102</v>
      </c>
      <c r="N263">
        <v>0.77598002547699996</v>
      </c>
      <c r="O263" s="12">
        <v>2.6065678114366504</v>
      </c>
      <c r="P263" s="12">
        <v>-3.2519474646302755</v>
      </c>
    </row>
    <row r="264" spans="1:16" x14ac:dyDescent="0.3">
      <c r="A264">
        <v>0.6</v>
      </c>
      <c r="B264">
        <v>4</v>
      </c>
      <c r="C264">
        <v>30</v>
      </c>
      <c r="D264">
        <v>3.3</v>
      </c>
      <c r="E264">
        <v>0</v>
      </c>
      <c r="F264">
        <v>2.82</v>
      </c>
      <c r="G264">
        <v>0</v>
      </c>
      <c r="H264">
        <v>9.2599999999999991E-3</v>
      </c>
      <c r="I264">
        <v>42.17996368</v>
      </c>
      <c r="J264">
        <v>42.181162676855699</v>
      </c>
      <c r="K264">
        <v>41.983784</v>
      </c>
      <c r="L264">
        <v>42.034785454989397</v>
      </c>
      <c r="M264">
        <v>42.113084650848201</v>
      </c>
      <c r="N264">
        <v>42.179963679999901</v>
      </c>
      <c r="O264" s="12">
        <v>25.110813167217117</v>
      </c>
      <c r="P264" s="12">
        <v>33.398444294899491</v>
      </c>
    </row>
    <row r="265" spans="1:16" x14ac:dyDescent="0.3">
      <c r="A265">
        <v>1.6666666670000001</v>
      </c>
      <c r="B265">
        <v>2</v>
      </c>
      <c r="C265">
        <v>40</v>
      </c>
      <c r="D265">
        <v>23.4</v>
      </c>
      <c r="E265">
        <v>25.351474620000001</v>
      </c>
      <c r="F265">
        <v>2.16</v>
      </c>
      <c r="G265">
        <v>15.94</v>
      </c>
      <c r="H265">
        <v>8.7799999999999996E-3</v>
      </c>
      <c r="I265">
        <v>-1.760697875</v>
      </c>
      <c r="J265">
        <v>-1.7330971935164099</v>
      </c>
      <c r="K265">
        <v>-1.6159384000000001</v>
      </c>
      <c r="L265">
        <v>-1.5633872662738699</v>
      </c>
      <c r="M265">
        <v>-1.73967542207801</v>
      </c>
      <c r="N265">
        <v>-1.73129169315333</v>
      </c>
      <c r="O265" s="12">
        <v>-4.3420442360739457</v>
      </c>
      <c r="P265" s="12">
        <v>7.5118597866303816E-2</v>
      </c>
    </row>
    <row r="266" spans="1:16" x14ac:dyDescent="0.3">
      <c r="A266">
        <v>1.6666666670000001</v>
      </c>
      <c r="B266">
        <v>4</v>
      </c>
      <c r="C266">
        <v>15</v>
      </c>
      <c r="D266">
        <v>11.4</v>
      </c>
      <c r="E266">
        <v>35.243957180000002</v>
      </c>
      <c r="F266">
        <v>0.81</v>
      </c>
      <c r="G266">
        <v>22.16</v>
      </c>
      <c r="H266">
        <v>3.7299999999999998E-3</v>
      </c>
      <c r="I266">
        <v>-2.8403377810000001</v>
      </c>
      <c r="J266">
        <v>-2.8397725507623099</v>
      </c>
      <c r="K266">
        <v>-2.6687370000000001</v>
      </c>
      <c r="L266">
        <v>-2.7234020052449099</v>
      </c>
      <c r="M266">
        <v>-2.8688210787906501</v>
      </c>
      <c r="N266">
        <v>-2.8045583428533298</v>
      </c>
      <c r="O266" s="12">
        <v>0.44689069983288299</v>
      </c>
      <c r="P266" s="12">
        <v>-2.1634533709313795</v>
      </c>
    </row>
    <row r="267" spans="1:16" x14ac:dyDescent="0.3">
      <c r="A267">
        <v>0.6</v>
      </c>
      <c r="B267">
        <v>1</v>
      </c>
      <c r="C267">
        <v>20</v>
      </c>
      <c r="D267">
        <v>13.8</v>
      </c>
      <c r="E267">
        <v>9.4312574960000006</v>
      </c>
      <c r="F267">
        <v>1.88</v>
      </c>
      <c r="G267">
        <v>5.93</v>
      </c>
      <c r="H267">
        <v>6.9699999999999996E-3</v>
      </c>
      <c r="I267">
        <v>0.74847490299999997</v>
      </c>
      <c r="J267">
        <v>0.784693080285505</v>
      </c>
      <c r="K267">
        <v>1.257042</v>
      </c>
      <c r="L267">
        <v>1.1644650680856701</v>
      </c>
      <c r="M267">
        <v>0.68642438282671003</v>
      </c>
      <c r="N267">
        <v>0.83620649142699599</v>
      </c>
      <c r="O267" s="12">
        <v>-3.8461495541206938</v>
      </c>
      <c r="P267" s="12">
        <v>-14.770152063961064</v>
      </c>
    </row>
    <row r="268" spans="1:16" x14ac:dyDescent="0.3">
      <c r="A268">
        <v>0.6</v>
      </c>
      <c r="B268">
        <v>4</v>
      </c>
      <c r="C268">
        <v>15</v>
      </c>
      <c r="D268">
        <v>11.4</v>
      </c>
      <c r="E268">
        <v>31.124740169999999</v>
      </c>
      <c r="F268">
        <v>1.41</v>
      </c>
      <c r="G268">
        <v>19.57</v>
      </c>
      <c r="H268">
        <v>5.7099999999999998E-3</v>
      </c>
      <c r="I268">
        <v>-2.0207167140000002</v>
      </c>
      <c r="J268">
        <v>-2.0508196243258099</v>
      </c>
      <c r="K268">
        <v>-2.0652121999999999</v>
      </c>
      <c r="L268">
        <v>-2.0872907174955202</v>
      </c>
      <c r="M268">
        <v>-2.1473267965797498</v>
      </c>
      <c r="N268">
        <v>-2.0735337695529799</v>
      </c>
      <c r="O268" s="12">
        <v>-6.1901964438177082E-2</v>
      </c>
      <c r="P268" s="12">
        <v>-1.5915254357948125</v>
      </c>
    </row>
    <row r="269" spans="1:16" x14ac:dyDescent="0.3">
      <c r="A269">
        <v>0.6</v>
      </c>
      <c r="B269">
        <v>1</v>
      </c>
      <c r="C269">
        <v>15</v>
      </c>
      <c r="D269">
        <v>9.5</v>
      </c>
      <c r="E269">
        <v>7.8408262149999999</v>
      </c>
      <c r="F269">
        <v>1.41</v>
      </c>
      <c r="G269">
        <v>4.93</v>
      </c>
      <c r="H269">
        <v>5.7099999999999998E-3</v>
      </c>
      <c r="I269">
        <v>1.006996979</v>
      </c>
      <c r="J269">
        <v>1.0127483453865</v>
      </c>
      <c r="K269">
        <v>1.3308165999999999</v>
      </c>
      <c r="L269">
        <v>1.3608758696063401</v>
      </c>
      <c r="M269">
        <v>1.15950609368931</v>
      </c>
      <c r="N269">
        <v>1.105653242022</v>
      </c>
      <c r="O269" s="12">
        <v>0.33385462433427371</v>
      </c>
      <c r="P269" s="12">
        <v>-7.3093800181157516</v>
      </c>
    </row>
    <row r="270" spans="1:16" x14ac:dyDescent="0.3">
      <c r="A270">
        <v>1.6666666670000001</v>
      </c>
      <c r="B270">
        <v>4</v>
      </c>
      <c r="C270">
        <v>30</v>
      </c>
      <c r="D270">
        <v>6.6</v>
      </c>
      <c r="E270">
        <v>4.0078868280000002</v>
      </c>
      <c r="F270">
        <v>1.62</v>
      </c>
      <c r="G270">
        <v>2.52</v>
      </c>
      <c r="H270">
        <v>6.9100000000000003E-3</v>
      </c>
      <c r="I270">
        <v>9.9702820929999998</v>
      </c>
      <c r="J270">
        <v>9.9190269796247303</v>
      </c>
      <c r="K270">
        <v>9.8056789999999996</v>
      </c>
      <c r="L270">
        <v>9.7725144272952402</v>
      </c>
      <c r="M270">
        <v>9.9090908784317104</v>
      </c>
      <c r="N270">
        <v>9.9550560653863194</v>
      </c>
      <c r="O270" s="12">
        <v>18.525267961727316</v>
      </c>
      <c r="P270" s="12">
        <v>18.446191628988363</v>
      </c>
    </row>
    <row r="271" spans="1:16" x14ac:dyDescent="0.3">
      <c r="A271">
        <v>1.6666666670000001</v>
      </c>
      <c r="B271">
        <v>4</v>
      </c>
      <c r="C271">
        <v>60</v>
      </c>
      <c r="D271">
        <v>27.6</v>
      </c>
      <c r="E271">
        <v>4.7553895300000004</v>
      </c>
      <c r="F271">
        <v>3.24</v>
      </c>
      <c r="G271">
        <v>2.99</v>
      </c>
      <c r="H271">
        <v>1.205E-2</v>
      </c>
      <c r="I271">
        <v>2.2269295659999999</v>
      </c>
      <c r="J271">
        <v>2.2248982222668099</v>
      </c>
      <c r="K271">
        <v>1.9891304999999999</v>
      </c>
      <c r="L271">
        <v>2.3519449040063098</v>
      </c>
      <c r="M271">
        <v>2.1915108233632701</v>
      </c>
      <c r="N271">
        <v>2.27115379430301</v>
      </c>
      <c r="O271" s="12">
        <v>0.30944290086576309</v>
      </c>
      <c r="P271" s="12">
        <v>-2.0921422715290703</v>
      </c>
    </row>
    <row r="272" spans="1:16" x14ac:dyDescent="0.3">
      <c r="A272">
        <v>1.6666666670000001</v>
      </c>
      <c r="B272">
        <v>1</v>
      </c>
      <c r="C272">
        <v>15</v>
      </c>
      <c r="D272">
        <v>9.5</v>
      </c>
      <c r="E272">
        <v>13.32781413</v>
      </c>
      <c r="F272">
        <v>0.81</v>
      </c>
      <c r="G272">
        <v>8.3800000000000008</v>
      </c>
      <c r="H272">
        <v>3.7299999999999998E-3</v>
      </c>
      <c r="I272">
        <v>0.50555047600000003</v>
      </c>
      <c r="J272">
        <v>0.53517283955315798</v>
      </c>
      <c r="K272">
        <v>0.51544089999999998</v>
      </c>
      <c r="L272">
        <v>0.63015140463284003</v>
      </c>
      <c r="M272">
        <v>0.46127520182954801</v>
      </c>
      <c r="N272">
        <v>0.50928245141399797</v>
      </c>
      <c r="O272" s="12">
        <v>1.0581492872572082</v>
      </c>
      <c r="P272" s="12">
        <v>-5.8948037150546364</v>
      </c>
    </row>
    <row r="273" spans="1:16" x14ac:dyDescent="0.3">
      <c r="A273">
        <v>1</v>
      </c>
      <c r="B273">
        <v>1</v>
      </c>
      <c r="C273">
        <v>40</v>
      </c>
      <c r="D273">
        <v>12.3</v>
      </c>
      <c r="E273">
        <v>5.2802318530000001</v>
      </c>
      <c r="F273">
        <v>7.9885999999999999</v>
      </c>
      <c r="G273">
        <v>3.32</v>
      </c>
      <c r="H273">
        <v>1.0389860000000001E-2</v>
      </c>
      <c r="I273">
        <v>5.0115716990000001</v>
      </c>
      <c r="J273">
        <v>5.0375862839461796</v>
      </c>
      <c r="K273">
        <v>5.0346494000000002</v>
      </c>
      <c r="L273">
        <v>4.70846860334452</v>
      </c>
      <c r="M273">
        <v>4.9792371675294698</v>
      </c>
      <c r="N273">
        <v>5.0310282037112897</v>
      </c>
      <c r="O273" s="12">
        <v>15.584875246928942</v>
      </c>
      <c r="P273" s="12">
        <v>11.573476954396774</v>
      </c>
    </row>
    <row r="274" spans="1:16" x14ac:dyDescent="0.3">
      <c r="A274">
        <v>0.6</v>
      </c>
      <c r="B274">
        <v>6</v>
      </c>
      <c r="C274">
        <v>10</v>
      </c>
      <c r="D274">
        <v>11.45</v>
      </c>
      <c r="E274">
        <v>40.492380410000003</v>
      </c>
      <c r="F274">
        <v>0.94</v>
      </c>
      <c r="G274">
        <v>25.46</v>
      </c>
      <c r="H274">
        <v>4.00002E-3</v>
      </c>
      <c r="I274">
        <v>-1.7764017999999999</v>
      </c>
      <c r="J274">
        <v>-1.78965288723237</v>
      </c>
      <c r="K274">
        <v>-2.1781220000000001</v>
      </c>
      <c r="L274">
        <v>-1.9478718113619</v>
      </c>
      <c r="M274">
        <v>-1.82451294539577</v>
      </c>
      <c r="N274">
        <v>-1.7785921472614901</v>
      </c>
      <c r="O274" s="12">
        <v>-3.5868972600131555</v>
      </c>
      <c r="P274" s="12">
        <v>-1.8792395543108382</v>
      </c>
    </row>
    <row r="275" spans="1:16" x14ac:dyDescent="0.3">
      <c r="A275">
        <v>1</v>
      </c>
      <c r="B275">
        <v>1</v>
      </c>
      <c r="C275">
        <v>20</v>
      </c>
      <c r="D275">
        <v>2.8</v>
      </c>
      <c r="E275">
        <v>0</v>
      </c>
      <c r="F275">
        <v>7.0444000000000004</v>
      </c>
      <c r="G275">
        <v>0</v>
      </c>
      <c r="H275">
        <v>7.5770400000000002E-3</v>
      </c>
      <c r="I275">
        <v>26.70337305</v>
      </c>
      <c r="J275">
        <v>26.732048970334201</v>
      </c>
      <c r="K275">
        <v>26.965174000000001</v>
      </c>
      <c r="L275">
        <v>27.534879812379</v>
      </c>
      <c r="M275">
        <v>26.7711317459245</v>
      </c>
      <c r="N275">
        <v>26.639387825020101</v>
      </c>
      <c r="O275" s="12">
        <v>18.087615774457944</v>
      </c>
      <c r="P275" s="12">
        <v>29.576604019810013</v>
      </c>
    </row>
    <row r="276" spans="1:16" x14ac:dyDescent="0.3">
      <c r="A276">
        <v>1.6666666670000001</v>
      </c>
      <c r="B276">
        <v>1</v>
      </c>
      <c r="C276">
        <v>20</v>
      </c>
      <c r="D276">
        <v>17.3</v>
      </c>
      <c r="E276">
        <v>25.22424011</v>
      </c>
      <c r="F276">
        <v>1.08</v>
      </c>
      <c r="G276">
        <v>15.86</v>
      </c>
      <c r="H276">
        <v>4.8399999999999997E-3</v>
      </c>
      <c r="I276">
        <v>-0.79041952299999996</v>
      </c>
      <c r="J276">
        <v>-0.80369214747959095</v>
      </c>
      <c r="K276">
        <v>-1.1370312</v>
      </c>
      <c r="L276">
        <v>-1.00192756960123</v>
      </c>
      <c r="M276">
        <v>-0.80588645599002495</v>
      </c>
      <c r="N276">
        <v>-0.87566372494900602</v>
      </c>
      <c r="O276" s="12">
        <v>-8.8521873959791915</v>
      </c>
      <c r="P276" s="12">
        <v>-14.002022147938881</v>
      </c>
    </row>
    <row r="277" spans="1:16" x14ac:dyDescent="0.3">
      <c r="A277">
        <v>1.6666666670000001</v>
      </c>
      <c r="B277">
        <v>2</v>
      </c>
      <c r="C277">
        <v>30</v>
      </c>
      <c r="D277">
        <v>6.6</v>
      </c>
      <c r="E277">
        <v>4.3577817100000003</v>
      </c>
      <c r="F277">
        <v>1.62</v>
      </c>
      <c r="G277">
        <v>2.74</v>
      </c>
      <c r="H277">
        <v>6.9100000000000003E-3</v>
      </c>
      <c r="I277">
        <v>9.8655559250000007</v>
      </c>
      <c r="J277">
        <v>9.8990109957728301</v>
      </c>
      <c r="K277">
        <v>9.8056789999999996</v>
      </c>
      <c r="L277">
        <v>9.58455168844581</v>
      </c>
      <c r="M277">
        <v>9.8415171510164097</v>
      </c>
      <c r="N277">
        <v>9.8514913592928597</v>
      </c>
      <c r="O277" s="12">
        <v>18.663895707602041</v>
      </c>
      <c r="P277" s="12">
        <v>20.462919085977877</v>
      </c>
    </row>
    <row r="278" spans="1:16" x14ac:dyDescent="0.3">
      <c r="A278">
        <v>1.6666666670000001</v>
      </c>
      <c r="B278">
        <v>2</v>
      </c>
      <c r="C278">
        <v>40</v>
      </c>
      <c r="D278">
        <v>7.8</v>
      </c>
      <c r="E278">
        <v>3.435331567</v>
      </c>
      <c r="F278">
        <v>2.16</v>
      </c>
      <c r="G278">
        <v>2.16</v>
      </c>
      <c r="H278">
        <v>8.7799999999999996E-3</v>
      </c>
      <c r="I278">
        <v>12.884717520000001</v>
      </c>
      <c r="J278">
        <v>12.914395688642299</v>
      </c>
      <c r="K278">
        <v>12.780975</v>
      </c>
      <c r="L278">
        <v>12.5608526677408</v>
      </c>
      <c r="M278">
        <v>12.9429015112605</v>
      </c>
      <c r="N278">
        <v>12.856749227789299</v>
      </c>
      <c r="O278" s="12">
        <v>24.546612404777171</v>
      </c>
      <c r="P278" s="12">
        <v>25.015859983714275</v>
      </c>
    </row>
    <row r="279" spans="1:16" x14ac:dyDescent="0.3">
      <c r="A279">
        <v>0.6</v>
      </c>
      <c r="B279">
        <v>6</v>
      </c>
      <c r="C279">
        <v>60</v>
      </c>
      <c r="D279">
        <v>9.1999999999999993</v>
      </c>
      <c r="E279">
        <v>0</v>
      </c>
      <c r="F279">
        <v>5.64</v>
      </c>
      <c r="G279">
        <v>0</v>
      </c>
      <c r="H279">
        <v>1.378998E-2</v>
      </c>
      <c r="I279">
        <v>21.707930269999999</v>
      </c>
      <c r="J279">
        <v>21.700031503016501</v>
      </c>
      <c r="K279">
        <v>21.454996000000001</v>
      </c>
      <c r="L279">
        <v>22.256923061233799</v>
      </c>
      <c r="M279">
        <v>21.652237595967399</v>
      </c>
      <c r="N279">
        <v>21.683730858358199</v>
      </c>
      <c r="O279" s="12">
        <v>37.480340423596303</v>
      </c>
      <c r="P279" s="12">
        <v>34.83138522753859</v>
      </c>
    </row>
    <row r="280" spans="1:16" x14ac:dyDescent="0.3">
      <c r="A280">
        <v>1</v>
      </c>
      <c r="B280">
        <v>2</v>
      </c>
      <c r="C280">
        <v>30</v>
      </c>
      <c r="D280">
        <v>7.2</v>
      </c>
      <c r="E280">
        <v>3.2126711870000002</v>
      </c>
      <c r="F280">
        <v>7.6656000000000004</v>
      </c>
      <c r="G280">
        <v>2.02</v>
      </c>
      <c r="H280">
        <v>9.1083599999999994E-3</v>
      </c>
      <c r="I280">
        <v>8.7683623470000001</v>
      </c>
      <c r="J280">
        <v>8.7680458846190206</v>
      </c>
      <c r="K280">
        <v>9.3059390000000004</v>
      </c>
      <c r="L280">
        <v>8.8917970118104694</v>
      </c>
      <c r="M280">
        <v>8.6691046593682302</v>
      </c>
      <c r="N280">
        <v>8.7993795848225407</v>
      </c>
      <c r="O280" s="12">
        <v>17.692939739678629</v>
      </c>
      <c r="P280" s="12">
        <v>18.421407271423689</v>
      </c>
    </row>
    <row r="281" spans="1:16" x14ac:dyDescent="0.3">
      <c r="A281">
        <v>0.6</v>
      </c>
      <c r="B281">
        <v>6</v>
      </c>
      <c r="C281">
        <v>40</v>
      </c>
      <c r="D281">
        <v>23.4</v>
      </c>
      <c r="E281">
        <v>11.26025347</v>
      </c>
      <c r="F281">
        <v>3.76</v>
      </c>
      <c r="G281">
        <v>7.08</v>
      </c>
      <c r="H281">
        <v>9.2599799999999993E-3</v>
      </c>
      <c r="I281">
        <v>0.84977663699999995</v>
      </c>
      <c r="J281">
        <v>0.83654849710208101</v>
      </c>
      <c r="K281">
        <v>1.0303878</v>
      </c>
      <c r="L281">
        <v>1.0587398856697501</v>
      </c>
      <c r="M281">
        <v>0.92614686290019499</v>
      </c>
      <c r="N281">
        <v>0.87074429485599902</v>
      </c>
      <c r="O281" s="12">
        <v>-7.7475780744390272</v>
      </c>
      <c r="P281" s="12">
        <v>-8.2587690991519267</v>
      </c>
    </row>
    <row r="282" spans="1:16" x14ac:dyDescent="0.3">
      <c r="A282">
        <v>0.6</v>
      </c>
      <c r="B282">
        <v>1</v>
      </c>
      <c r="C282">
        <v>20</v>
      </c>
      <c r="D282">
        <v>16.2</v>
      </c>
      <c r="E282">
        <v>15.42718342</v>
      </c>
      <c r="F282">
        <v>1.88</v>
      </c>
      <c r="G282">
        <v>9.6999999999999993</v>
      </c>
      <c r="H282">
        <v>6.9699999999999996E-3</v>
      </c>
      <c r="I282">
        <v>0.14974278899999999</v>
      </c>
      <c r="J282">
        <v>0.15637462750870301</v>
      </c>
      <c r="K282">
        <v>0.59338194</v>
      </c>
      <c r="L282">
        <v>0.238738096266947</v>
      </c>
      <c r="M282">
        <v>0.134057103713279</v>
      </c>
      <c r="N282">
        <v>0.16715381517633299</v>
      </c>
      <c r="O282" s="12">
        <v>-7.8770951330250183</v>
      </c>
      <c r="P282" s="12">
        <v>-16.708172126884449</v>
      </c>
    </row>
    <row r="283" spans="1:16" x14ac:dyDescent="0.3">
      <c r="A283">
        <v>0.6</v>
      </c>
      <c r="B283">
        <v>6</v>
      </c>
      <c r="C283">
        <v>40</v>
      </c>
      <c r="D283">
        <v>11.7</v>
      </c>
      <c r="E283">
        <v>4.6758679660000002</v>
      </c>
      <c r="F283">
        <v>3.76</v>
      </c>
      <c r="G283">
        <v>2.94</v>
      </c>
      <c r="H283">
        <v>9.2599799999999993E-3</v>
      </c>
      <c r="I283">
        <v>5.5228813810000004</v>
      </c>
      <c r="J283">
        <v>5.5275264394982102</v>
      </c>
      <c r="K283">
        <v>5.5600959999999997</v>
      </c>
      <c r="L283">
        <v>5.7370130991017296</v>
      </c>
      <c r="M283">
        <v>5.4741542720766398</v>
      </c>
      <c r="N283">
        <v>5.4942410783533502</v>
      </c>
      <c r="O283" s="12">
        <v>15.471280543853062</v>
      </c>
      <c r="P283" s="12">
        <v>12.084605854294452</v>
      </c>
    </row>
    <row r="284" spans="1:16" x14ac:dyDescent="0.3">
      <c r="A284">
        <v>0.6</v>
      </c>
      <c r="B284">
        <v>4</v>
      </c>
      <c r="C284">
        <v>40</v>
      </c>
      <c r="D284">
        <v>11.7</v>
      </c>
      <c r="E284">
        <v>5.6460310470000001</v>
      </c>
      <c r="F284">
        <v>3.76</v>
      </c>
      <c r="G284">
        <v>3.55</v>
      </c>
      <c r="H284">
        <v>9.2599999999999991E-3</v>
      </c>
      <c r="I284">
        <v>5.3201994929999996</v>
      </c>
      <c r="J284">
        <v>5.2652731059569398</v>
      </c>
      <c r="K284">
        <v>5.0278033999999998</v>
      </c>
      <c r="L284">
        <v>5.0386914891791701</v>
      </c>
      <c r="M284">
        <v>5.2326610636664599</v>
      </c>
      <c r="N284">
        <v>5.3058111992250101</v>
      </c>
      <c r="O284" s="12">
        <v>15.707650592298123</v>
      </c>
      <c r="P284" s="12">
        <v>8.7329291875633643</v>
      </c>
    </row>
    <row r="285" spans="1:16" x14ac:dyDescent="0.3">
      <c r="A285">
        <v>1</v>
      </c>
      <c r="B285">
        <v>1</v>
      </c>
      <c r="C285">
        <v>60</v>
      </c>
      <c r="D285">
        <v>23.5</v>
      </c>
      <c r="E285">
        <v>10.830837020000001</v>
      </c>
      <c r="F285">
        <v>7.9885999999999999</v>
      </c>
      <c r="G285">
        <v>6.81</v>
      </c>
      <c r="H285">
        <v>1.2535019999999999E-2</v>
      </c>
      <c r="I285">
        <v>2.0538924930000002</v>
      </c>
      <c r="J285">
        <v>2.0161267221632402</v>
      </c>
      <c r="K285">
        <v>1.61497</v>
      </c>
      <c r="L285">
        <v>1.7433345234477</v>
      </c>
      <c r="M285">
        <v>1.99973940258986</v>
      </c>
      <c r="N285">
        <v>2.0270723844886702</v>
      </c>
      <c r="O285" s="12">
        <v>9.1674921320224687</v>
      </c>
      <c r="P285" s="12">
        <v>6.3399580027564326</v>
      </c>
    </row>
    <row r="286" spans="1:16" x14ac:dyDescent="0.3">
      <c r="A286">
        <v>0.6</v>
      </c>
      <c r="B286">
        <v>2</v>
      </c>
      <c r="C286">
        <v>10</v>
      </c>
      <c r="D286">
        <v>3.2</v>
      </c>
      <c r="E286">
        <v>4.0874083920000004</v>
      </c>
      <c r="F286">
        <v>0.94</v>
      </c>
      <c r="G286">
        <v>2.57</v>
      </c>
      <c r="H286">
        <v>4.0000000000000001E-3</v>
      </c>
      <c r="I286">
        <v>4.701629853</v>
      </c>
      <c r="J286">
        <v>4.68036246365818</v>
      </c>
      <c r="K286">
        <v>4.7308573999999997</v>
      </c>
      <c r="L286">
        <v>4.7497559028989498</v>
      </c>
      <c r="M286">
        <v>4.6625952903771299</v>
      </c>
      <c r="N286">
        <v>4.6930825487390297</v>
      </c>
      <c r="O286" s="12">
        <v>7.9480092262792894</v>
      </c>
      <c r="P286" s="12">
        <v>9.143723255180344</v>
      </c>
    </row>
    <row r="287" spans="1:16" x14ac:dyDescent="0.3">
      <c r="A287">
        <v>1.6666666670000001</v>
      </c>
      <c r="B287">
        <v>4</v>
      </c>
      <c r="C287">
        <v>60</v>
      </c>
      <c r="D287">
        <v>23</v>
      </c>
      <c r="E287">
        <v>3.7216091969999998</v>
      </c>
      <c r="F287">
        <v>3.24</v>
      </c>
      <c r="G287">
        <v>2.34</v>
      </c>
      <c r="H287">
        <v>1.205E-2</v>
      </c>
      <c r="I287">
        <v>3.310049851</v>
      </c>
      <c r="J287">
        <v>3.3390697531974598</v>
      </c>
      <c r="K287">
        <v>3.6931704999999999</v>
      </c>
      <c r="L287">
        <v>3.4467937219284299</v>
      </c>
      <c r="M287">
        <v>3.4053794650483198</v>
      </c>
      <c r="N287">
        <v>3.2816482766760098</v>
      </c>
      <c r="O287" s="12">
        <v>9.6832186959740127</v>
      </c>
      <c r="P287" s="12">
        <v>-2.4676266773664328</v>
      </c>
    </row>
    <row r="288" spans="1:16" x14ac:dyDescent="0.3">
      <c r="A288">
        <v>1</v>
      </c>
      <c r="B288">
        <v>4</v>
      </c>
      <c r="C288">
        <v>40</v>
      </c>
      <c r="D288">
        <v>24.6</v>
      </c>
      <c r="E288">
        <v>13.64590039</v>
      </c>
      <c r="F288">
        <v>7.9885999999999999</v>
      </c>
      <c r="G288">
        <v>8.58</v>
      </c>
      <c r="H288">
        <v>1.0389880000000001E-2</v>
      </c>
      <c r="I288">
        <v>0.50952255800000001</v>
      </c>
      <c r="J288">
        <v>0.49869534757065398</v>
      </c>
      <c r="K288">
        <v>0.38204378</v>
      </c>
      <c r="L288">
        <v>0.58429753227125902</v>
      </c>
      <c r="M288">
        <v>0.50200290394929203</v>
      </c>
      <c r="N288">
        <v>0.52097859938699698</v>
      </c>
      <c r="O288" s="12">
        <v>-8.7224754953017367</v>
      </c>
      <c r="P288" s="12">
        <v>-10.381793176312087</v>
      </c>
    </row>
    <row r="289" spans="1:16" x14ac:dyDescent="0.3">
      <c r="A289">
        <v>0.6</v>
      </c>
      <c r="B289">
        <v>2</v>
      </c>
      <c r="C289">
        <v>20</v>
      </c>
      <c r="D289">
        <v>4.5999999999999996</v>
      </c>
      <c r="E289">
        <v>3.4194272539999999</v>
      </c>
      <c r="F289">
        <v>1.88</v>
      </c>
      <c r="G289">
        <v>2.15</v>
      </c>
      <c r="H289">
        <v>6.9699999999999996E-3</v>
      </c>
      <c r="I289">
        <v>9.2652205980000009</v>
      </c>
      <c r="J289">
        <v>9.2326762361111907</v>
      </c>
      <c r="K289">
        <v>9.1130980000000008</v>
      </c>
      <c r="L289">
        <v>8.9196399114388498</v>
      </c>
      <c r="M289">
        <v>9.2335064259802699</v>
      </c>
      <c r="N289">
        <v>9.2438026279185301</v>
      </c>
      <c r="O289" s="12">
        <v>14.238204749872015</v>
      </c>
      <c r="P289" s="12">
        <v>18.287138186732541</v>
      </c>
    </row>
    <row r="290" spans="1:16" x14ac:dyDescent="0.3">
      <c r="A290">
        <v>1.6666666670000001</v>
      </c>
      <c r="B290">
        <v>4</v>
      </c>
      <c r="C290">
        <v>40</v>
      </c>
      <c r="D290">
        <v>26.9</v>
      </c>
      <c r="E290">
        <v>23.204392389999999</v>
      </c>
      <c r="F290">
        <v>2.16</v>
      </c>
      <c r="G290">
        <v>14.59</v>
      </c>
      <c r="H290">
        <v>8.7799999999999996E-3</v>
      </c>
      <c r="I290">
        <v>-0.93315115599999998</v>
      </c>
      <c r="J290">
        <v>-0.94478941492786594</v>
      </c>
      <c r="K290">
        <v>-0.65920966999999997</v>
      </c>
      <c r="L290">
        <v>-0.91413324958486497</v>
      </c>
      <c r="M290">
        <v>-0.96149267131461003</v>
      </c>
      <c r="N290">
        <v>-0.93862656132800304</v>
      </c>
      <c r="O290" s="12">
        <v>-12.01998228926101</v>
      </c>
      <c r="P290" s="12">
        <v>-3.8115367462439913</v>
      </c>
    </row>
    <row r="291" spans="1:16" x14ac:dyDescent="0.3">
      <c r="A291">
        <v>0.6</v>
      </c>
      <c r="B291">
        <v>4</v>
      </c>
      <c r="C291">
        <v>10</v>
      </c>
      <c r="D291">
        <v>1.6</v>
      </c>
      <c r="E291">
        <v>0</v>
      </c>
      <c r="F291">
        <v>0.94</v>
      </c>
      <c r="G291">
        <v>0</v>
      </c>
      <c r="H291">
        <v>4.0000000000000001E-3</v>
      </c>
      <c r="I291">
        <v>19.93662346</v>
      </c>
      <c r="J291">
        <v>19.956992964631802</v>
      </c>
      <c r="K291">
        <v>19.959023999999999</v>
      </c>
      <c r="L291">
        <v>20.235698282273798</v>
      </c>
      <c r="M291">
        <v>19.896081177929801</v>
      </c>
      <c r="N291">
        <v>19.936623460000099</v>
      </c>
      <c r="O291" s="12">
        <v>10.537607206561168</v>
      </c>
      <c r="P291" s="12">
        <v>13.799440722928956</v>
      </c>
    </row>
    <row r="292" spans="1:16" x14ac:dyDescent="0.3">
      <c r="A292">
        <v>0.6</v>
      </c>
      <c r="B292">
        <v>4</v>
      </c>
      <c r="C292">
        <v>60</v>
      </c>
      <c r="D292">
        <v>13.8</v>
      </c>
      <c r="E292">
        <v>2.4015512339999998</v>
      </c>
      <c r="F292">
        <v>5.64</v>
      </c>
      <c r="G292">
        <v>1.51</v>
      </c>
      <c r="H292">
        <v>1.379E-2</v>
      </c>
      <c r="I292">
        <v>9.4591740600000005</v>
      </c>
      <c r="J292">
        <v>9.4710075754429806</v>
      </c>
      <c r="K292">
        <v>9.3194920000000003</v>
      </c>
      <c r="L292">
        <v>10.0784597337731</v>
      </c>
      <c r="M292">
        <v>9.4654157647142103</v>
      </c>
      <c r="N292">
        <v>9.5083684527719399</v>
      </c>
      <c r="O292" s="12">
        <v>28.405580606581417</v>
      </c>
      <c r="P292" s="12">
        <v>14.976246319852464</v>
      </c>
    </row>
    <row r="293" spans="1:16" x14ac:dyDescent="0.3">
      <c r="A293">
        <v>0.6</v>
      </c>
      <c r="B293">
        <v>2</v>
      </c>
      <c r="C293">
        <v>15</v>
      </c>
      <c r="D293">
        <v>11.4</v>
      </c>
      <c r="E293">
        <v>27.403130969999999</v>
      </c>
      <c r="F293">
        <v>1.41</v>
      </c>
      <c r="G293">
        <v>17.23</v>
      </c>
      <c r="H293">
        <v>5.7099999999999998E-3</v>
      </c>
      <c r="I293">
        <v>-1.3676934700000001</v>
      </c>
      <c r="J293">
        <v>-1.3990251960111699</v>
      </c>
      <c r="K293">
        <v>-1.6188511999999999</v>
      </c>
      <c r="L293">
        <v>-1.5250226679569101</v>
      </c>
      <c r="M293">
        <v>-1.4690854280697101</v>
      </c>
      <c r="N293">
        <v>-1.4446385839409801</v>
      </c>
      <c r="O293" s="12">
        <v>-0.5647685389813013</v>
      </c>
      <c r="P293" s="12">
        <v>-2.528711416084354</v>
      </c>
    </row>
    <row r="294" spans="1:16" x14ac:dyDescent="0.3">
      <c r="A294">
        <v>1</v>
      </c>
      <c r="B294">
        <v>4</v>
      </c>
      <c r="C294">
        <v>15</v>
      </c>
      <c r="D294">
        <v>5</v>
      </c>
      <c r="E294">
        <v>6.918376072</v>
      </c>
      <c r="F294">
        <v>6.5609999999999999</v>
      </c>
      <c r="G294">
        <v>4.3499999999999996</v>
      </c>
      <c r="H294">
        <v>6.6530799999999996E-3</v>
      </c>
      <c r="I294">
        <v>3.9455060780000002</v>
      </c>
      <c r="J294">
        <v>3.9183961985280602</v>
      </c>
      <c r="K294">
        <v>3.7805653000000001</v>
      </c>
      <c r="L294">
        <v>3.81619503168743</v>
      </c>
      <c r="M294">
        <v>3.8806941824597301</v>
      </c>
      <c r="N294">
        <v>3.95812662169249</v>
      </c>
      <c r="O294" s="12">
        <v>10.25427339598183</v>
      </c>
      <c r="P294" s="12">
        <v>9.3425710937668853</v>
      </c>
    </row>
    <row r="295" spans="1:16" x14ac:dyDescent="0.3">
      <c r="A295">
        <v>1</v>
      </c>
      <c r="B295">
        <v>4</v>
      </c>
      <c r="C295">
        <v>40</v>
      </c>
      <c r="D295">
        <v>8.1999999999999993</v>
      </c>
      <c r="E295">
        <v>3.117245311</v>
      </c>
      <c r="F295">
        <v>7.9885999999999999</v>
      </c>
      <c r="G295">
        <v>1.96</v>
      </c>
      <c r="H295">
        <v>1.0389880000000001E-2</v>
      </c>
      <c r="I295">
        <v>12.0435531</v>
      </c>
      <c r="J295">
        <v>12.0302724197738</v>
      </c>
      <c r="K295">
        <v>12.096619</v>
      </c>
      <c r="L295">
        <v>11.8053236984217</v>
      </c>
      <c r="M295">
        <v>12.00299572292</v>
      </c>
      <c r="N295">
        <v>12.0434225346962</v>
      </c>
      <c r="O295" s="12">
        <v>23.618909304708954</v>
      </c>
      <c r="P295" s="12">
        <v>22.159364907578322</v>
      </c>
    </row>
    <row r="296" spans="1:16" x14ac:dyDescent="0.3">
      <c r="A296">
        <v>1</v>
      </c>
      <c r="B296">
        <v>4</v>
      </c>
      <c r="C296">
        <v>20</v>
      </c>
      <c r="D296">
        <v>2.8</v>
      </c>
      <c r="E296">
        <v>1.0337803329999999</v>
      </c>
      <c r="F296">
        <v>7.0444000000000004</v>
      </c>
      <c r="G296">
        <v>0.65</v>
      </c>
      <c r="H296">
        <v>7.5770400000000002E-3</v>
      </c>
      <c r="I296">
        <v>26.606546730000002</v>
      </c>
      <c r="J296">
        <v>26.6069749184601</v>
      </c>
      <c r="K296">
        <v>26.479689</v>
      </c>
      <c r="L296">
        <v>26.818195779136701</v>
      </c>
      <c r="M296">
        <v>26.5602270934899</v>
      </c>
      <c r="N296">
        <v>26.599390240919799</v>
      </c>
      <c r="O296" s="12">
        <v>18.125246200119271</v>
      </c>
      <c r="P296" s="12">
        <v>25.797255928972234</v>
      </c>
    </row>
    <row r="297" spans="1:16" x14ac:dyDescent="0.3">
      <c r="A297">
        <v>1.6666666670000001</v>
      </c>
      <c r="B297">
        <v>4</v>
      </c>
      <c r="C297">
        <v>15</v>
      </c>
      <c r="D297">
        <v>13.3</v>
      </c>
      <c r="E297">
        <v>43.975424920000002</v>
      </c>
      <c r="F297">
        <v>0.81</v>
      </c>
      <c r="G297">
        <v>27.65</v>
      </c>
      <c r="H297">
        <v>3.7299999999999998E-3</v>
      </c>
      <c r="I297">
        <v>-3.610341263</v>
      </c>
      <c r="J297">
        <v>-3.6230478695320101</v>
      </c>
      <c r="K297">
        <v>-3.467517</v>
      </c>
      <c r="L297">
        <v>-3.54722860208568</v>
      </c>
      <c r="M297">
        <v>-3.7224311844768301</v>
      </c>
      <c r="N297">
        <v>-3.5755002293739802</v>
      </c>
      <c r="O297" s="12">
        <v>-2.1164579229580749</v>
      </c>
      <c r="P297" s="12">
        <v>-3.7169321994153828</v>
      </c>
    </row>
    <row r="298" spans="1:16" x14ac:dyDescent="0.3">
      <c r="A298">
        <v>1.6666666670000001</v>
      </c>
      <c r="B298">
        <v>6</v>
      </c>
      <c r="C298">
        <v>30</v>
      </c>
      <c r="D298">
        <v>23.5</v>
      </c>
      <c r="E298">
        <v>24.110938220000001</v>
      </c>
      <c r="F298">
        <v>1.62</v>
      </c>
      <c r="G298">
        <v>15.16</v>
      </c>
      <c r="H298">
        <v>6.9100200000000002E-3</v>
      </c>
      <c r="I298">
        <v>-0.80881908499999999</v>
      </c>
      <c r="J298">
        <v>-0.82156741298443503</v>
      </c>
      <c r="K298">
        <v>-0.93999714000000001</v>
      </c>
      <c r="L298">
        <v>-0.98756577766474996</v>
      </c>
      <c r="M298">
        <v>-0.8210921605757</v>
      </c>
      <c r="N298">
        <v>-0.83952231295699598</v>
      </c>
      <c r="O298" s="12">
        <v>-13.427680484421444</v>
      </c>
      <c r="P298" s="12">
        <v>-9.8502701889334539</v>
      </c>
    </row>
    <row r="299" spans="1:16" x14ac:dyDescent="0.3">
      <c r="A299">
        <v>1</v>
      </c>
      <c r="B299">
        <v>4</v>
      </c>
      <c r="C299">
        <v>30</v>
      </c>
      <c r="D299">
        <v>18</v>
      </c>
      <c r="E299">
        <v>20.325711770000002</v>
      </c>
      <c r="F299">
        <v>7.6656000000000004</v>
      </c>
      <c r="G299">
        <v>12.78</v>
      </c>
      <c r="H299">
        <v>9.1083599999999994E-3</v>
      </c>
      <c r="I299">
        <v>-0.58404550499999996</v>
      </c>
      <c r="J299">
        <v>-0.59592541431989299</v>
      </c>
      <c r="K299">
        <v>-0.42101395000000003</v>
      </c>
      <c r="L299">
        <v>-0.62039626626142796</v>
      </c>
      <c r="M299">
        <v>-0.55882509855162199</v>
      </c>
      <c r="N299">
        <v>-0.59261810337333698</v>
      </c>
      <c r="O299" s="12">
        <v>-2.0846866642412705</v>
      </c>
      <c r="P299" s="12">
        <v>-7.371543338101155</v>
      </c>
    </row>
    <row r="300" spans="1:16" x14ac:dyDescent="0.3">
      <c r="A300">
        <v>1</v>
      </c>
      <c r="B300">
        <v>4</v>
      </c>
      <c r="C300">
        <v>30</v>
      </c>
      <c r="D300">
        <v>3.6</v>
      </c>
      <c r="E300">
        <v>0.98606739399999999</v>
      </c>
      <c r="F300">
        <v>7.6656000000000004</v>
      </c>
      <c r="G300">
        <v>0.62</v>
      </c>
      <c r="H300">
        <v>9.1083599999999994E-3</v>
      </c>
      <c r="I300">
        <v>36.226350979999999</v>
      </c>
      <c r="J300">
        <v>36.249687004131097</v>
      </c>
      <c r="K300">
        <v>36.370987</v>
      </c>
      <c r="L300">
        <v>36.4379281211787</v>
      </c>
      <c r="M300">
        <v>36.323120882963202</v>
      </c>
      <c r="N300">
        <v>36.201781542849602</v>
      </c>
      <c r="O300" s="12">
        <v>24.722092502392233</v>
      </c>
      <c r="P300" s="12">
        <v>34.627357096691945</v>
      </c>
    </row>
    <row r="301" spans="1:16" x14ac:dyDescent="0.3">
      <c r="A301">
        <v>1</v>
      </c>
      <c r="B301">
        <v>1</v>
      </c>
      <c r="C301">
        <v>10</v>
      </c>
      <c r="D301">
        <v>3.6</v>
      </c>
      <c r="E301">
        <v>2.5764986749999998</v>
      </c>
      <c r="F301">
        <v>5.8784999999999998</v>
      </c>
      <c r="G301">
        <v>1.62</v>
      </c>
      <c r="H301">
        <v>5.5425099999999996E-3</v>
      </c>
      <c r="I301">
        <v>3.9475136389999999</v>
      </c>
      <c r="J301">
        <v>3.9199769240530302</v>
      </c>
      <c r="K301">
        <v>4.0513240000000001</v>
      </c>
      <c r="L301">
        <v>4.58792454223682</v>
      </c>
      <c r="M301">
        <v>3.9521570452402801</v>
      </c>
      <c r="N301">
        <v>4.0801498393689597</v>
      </c>
      <c r="O301" s="12">
        <v>8.2359264665575047</v>
      </c>
      <c r="P301" s="12">
        <v>7.5062697443037969</v>
      </c>
    </row>
    <row r="302" spans="1:16" x14ac:dyDescent="0.3">
      <c r="A302">
        <v>1.6666666670000001</v>
      </c>
      <c r="B302">
        <v>2</v>
      </c>
      <c r="C302">
        <v>20</v>
      </c>
      <c r="D302">
        <v>13.8</v>
      </c>
      <c r="E302">
        <v>34.210176850000003</v>
      </c>
      <c r="F302">
        <v>1.08</v>
      </c>
      <c r="G302">
        <v>21.51</v>
      </c>
      <c r="H302">
        <v>4.8399999999999997E-3</v>
      </c>
      <c r="I302">
        <v>-3.1847205380000001</v>
      </c>
      <c r="J302">
        <v>-3.1678994659697799</v>
      </c>
      <c r="K302">
        <v>-2.8032780000000002</v>
      </c>
      <c r="L302">
        <v>-3.0147611915769099</v>
      </c>
      <c r="M302">
        <v>-3.1689946785319898</v>
      </c>
      <c r="N302">
        <v>-3.1594994622099799</v>
      </c>
      <c r="O302" s="12">
        <v>-0.22198834347788843</v>
      </c>
      <c r="P302" s="12">
        <v>-1.0076642675991323</v>
      </c>
    </row>
    <row r="303" spans="1:16" x14ac:dyDescent="0.3">
      <c r="A303">
        <v>1.6666666670000001</v>
      </c>
      <c r="B303">
        <v>2</v>
      </c>
      <c r="C303">
        <v>15</v>
      </c>
      <c r="D303">
        <v>9.5</v>
      </c>
      <c r="E303">
        <v>23.188488079999999</v>
      </c>
      <c r="F303">
        <v>0.81</v>
      </c>
      <c r="G303">
        <v>14.58</v>
      </c>
      <c r="H303">
        <v>3.7299999999999998E-3</v>
      </c>
      <c r="I303">
        <v>-1.0489506070000001</v>
      </c>
      <c r="J303">
        <v>-1.0319507636346399</v>
      </c>
      <c r="K303">
        <v>-0.98660844999999997</v>
      </c>
      <c r="L303">
        <v>-0.95072386971666301</v>
      </c>
      <c r="M303">
        <v>-1.1033010499156399</v>
      </c>
      <c r="N303">
        <v>-1.03827827611499</v>
      </c>
      <c r="O303" s="12">
        <v>2.5700186808801484</v>
      </c>
      <c r="P303" s="12">
        <v>-1.0625168736926165</v>
      </c>
    </row>
    <row r="304" spans="1:16" x14ac:dyDescent="0.3">
      <c r="A304">
        <v>1.6666666670000001</v>
      </c>
      <c r="B304">
        <v>4</v>
      </c>
      <c r="C304">
        <v>15</v>
      </c>
      <c r="D304">
        <v>5.7</v>
      </c>
      <c r="E304">
        <v>12.166799299999999</v>
      </c>
      <c r="F304">
        <v>0.81</v>
      </c>
      <c r="G304">
        <v>7.65</v>
      </c>
      <c r="H304">
        <v>3.7299999999999998E-3</v>
      </c>
      <c r="I304">
        <v>1.75926845</v>
      </c>
      <c r="J304">
        <v>1.7587005806071601</v>
      </c>
      <c r="K304">
        <v>1.6301829000000001</v>
      </c>
      <c r="L304">
        <v>1.64946982221876</v>
      </c>
      <c r="M304">
        <v>1.7648722557960499</v>
      </c>
      <c r="N304">
        <v>1.7634504809589799</v>
      </c>
      <c r="O304" s="12">
        <v>8.6280806615641659</v>
      </c>
      <c r="P304" s="12">
        <v>7.1781852995252535</v>
      </c>
    </row>
    <row r="305" spans="1:16" x14ac:dyDescent="0.3">
      <c r="A305">
        <v>1.6666666670000001</v>
      </c>
      <c r="B305">
        <v>4</v>
      </c>
      <c r="C305">
        <v>40</v>
      </c>
      <c r="D305">
        <v>7.8</v>
      </c>
      <c r="E305">
        <v>3.7534178229999999</v>
      </c>
      <c r="F305">
        <v>2.16</v>
      </c>
      <c r="G305">
        <v>2.36</v>
      </c>
      <c r="H305">
        <v>8.7799999999999996E-3</v>
      </c>
      <c r="I305">
        <v>12.78058381</v>
      </c>
      <c r="J305">
        <v>12.737528811185101</v>
      </c>
      <c r="K305">
        <v>12.690804999999999</v>
      </c>
      <c r="L305">
        <v>12.4114312906986</v>
      </c>
      <c r="M305">
        <v>12.8448398543294</v>
      </c>
      <c r="N305">
        <v>12.7706811661904</v>
      </c>
      <c r="O305" s="12">
        <v>24.513229820774612</v>
      </c>
      <c r="P305" s="12">
        <v>23.61696023349641</v>
      </c>
    </row>
    <row r="306" spans="1:16" x14ac:dyDescent="0.3">
      <c r="A306">
        <v>1</v>
      </c>
      <c r="B306">
        <v>2</v>
      </c>
      <c r="C306">
        <v>40</v>
      </c>
      <c r="D306">
        <v>29.4</v>
      </c>
      <c r="E306">
        <v>29.582021820000001</v>
      </c>
      <c r="F306">
        <v>7.9885999999999999</v>
      </c>
      <c r="G306">
        <v>18.600000000000001</v>
      </c>
      <c r="H306">
        <v>1.0389860000000001E-2</v>
      </c>
      <c r="I306">
        <v>-1.907733742</v>
      </c>
      <c r="J306">
        <v>-1.9212891755131201</v>
      </c>
      <c r="K306">
        <v>-2.0918508</v>
      </c>
      <c r="L306">
        <v>-1.96603893972272</v>
      </c>
      <c r="M306">
        <v>-1.97105833806353</v>
      </c>
      <c r="N306">
        <v>-1.8720725370659901</v>
      </c>
      <c r="O306" s="12">
        <v>-16.079434354431179</v>
      </c>
      <c r="P306" s="12">
        <v>5.2494502742919309</v>
      </c>
    </row>
    <row r="307" spans="1:16" x14ac:dyDescent="0.3">
      <c r="A307">
        <v>1.6666666670000001</v>
      </c>
      <c r="B307">
        <v>6</v>
      </c>
      <c r="C307">
        <v>20</v>
      </c>
      <c r="D307">
        <v>16.899999999999999</v>
      </c>
      <c r="E307">
        <v>34.432837229999997</v>
      </c>
      <c r="F307">
        <v>1.08</v>
      </c>
      <c r="G307">
        <v>21.65</v>
      </c>
      <c r="H307">
        <v>4.8400200000000004E-3</v>
      </c>
      <c r="I307">
        <v>-2.1605857770000001</v>
      </c>
      <c r="J307">
        <v>-2.1634703844238601</v>
      </c>
      <c r="K307">
        <v>-2.6808589999999999</v>
      </c>
      <c r="L307">
        <v>-2.4425365233564098</v>
      </c>
      <c r="M307">
        <v>-2.2300738968179998</v>
      </c>
      <c r="N307">
        <v>-2.23618128721</v>
      </c>
      <c r="O307" s="12">
        <v>-6.7807669645992057</v>
      </c>
      <c r="P307" s="12">
        <v>-7.1184127316916435</v>
      </c>
    </row>
    <row r="308" spans="1:16" x14ac:dyDescent="0.3">
      <c r="A308">
        <v>1</v>
      </c>
      <c r="B308">
        <v>4</v>
      </c>
      <c r="C308">
        <v>60</v>
      </c>
      <c r="D308">
        <v>14.1</v>
      </c>
      <c r="E308">
        <v>0.63617251200000002</v>
      </c>
      <c r="F308">
        <v>7.9885999999999999</v>
      </c>
      <c r="G308">
        <v>0.4</v>
      </c>
      <c r="H308">
        <v>1.2535040000000001E-2</v>
      </c>
      <c r="I308">
        <v>9.4643262929999992</v>
      </c>
      <c r="J308">
        <v>9.46869324111743</v>
      </c>
      <c r="K308">
        <v>9.4291160000000005</v>
      </c>
      <c r="L308">
        <v>9.8837636357347005</v>
      </c>
      <c r="M308">
        <v>9.4718041848916599</v>
      </c>
      <c r="N308">
        <v>9.53394686385802</v>
      </c>
      <c r="O308" s="12">
        <v>26.923963763953154</v>
      </c>
      <c r="P308" s="12">
        <v>10.152629313285658</v>
      </c>
    </row>
    <row r="309" spans="1:16" x14ac:dyDescent="0.3">
      <c r="A309">
        <v>1</v>
      </c>
      <c r="B309">
        <v>4</v>
      </c>
      <c r="C309">
        <v>40</v>
      </c>
      <c r="D309">
        <v>4.0999999999999996</v>
      </c>
      <c r="E309">
        <v>0.63617251200000002</v>
      </c>
      <c r="F309">
        <v>7.9885999999999999</v>
      </c>
      <c r="G309">
        <v>0.4</v>
      </c>
      <c r="H309">
        <v>1.0389880000000001E-2</v>
      </c>
      <c r="I309">
        <v>49.748237469999999</v>
      </c>
      <c r="J309">
        <v>49.742956005483599</v>
      </c>
      <c r="K309">
        <v>49.818809999999999</v>
      </c>
      <c r="L309">
        <v>50.093442021865201</v>
      </c>
      <c r="M309">
        <v>49.735630938226301</v>
      </c>
      <c r="N309">
        <v>49.486886004190097</v>
      </c>
      <c r="O309" s="12">
        <v>31.728060957844054</v>
      </c>
      <c r="P309" s="12">
        <v>41.753339456418558</v>
      </c>
    </row>
    <row r="310" spans="1:16" x14ac:dyDescent="0.3">
      <c r="A310">
        <v>1.6666666670000001</v>
      </c>
      <c r="B310">
        <v>6</v>
      </c>
      <c r="C310">
        <v>40</v>
      </c>
      <c r="D310">
        <v>11.7</v>
      </c>
      <c r="E310">
        <v>6.6957156930000004</v>
      </c>
      <c r="F310">
        <v>2.16</v>
      </c>
      <c r="G310">
        <v>4.21</v>
      </c>
      <c r="H310">
        <v>8.7799799999999997E-3</v>
      </c>
      <c r="I310">
        <v>5.0579914170000002</v>
      </c>
      <c r="J310">
        <v>5.0371016009186</v>
      </c>
      <c r="K310">
        <v>4.9922610000000001</v>
      </c>
      <c r="L310">
        <v>4.8391529398824797</v>
      </c>
      <c r="M310">
        <v>5.02945540056756</v>
      </c>
      <c r="N310">
        <v>5.0373800083444102</v>
      </c>
      <c r="O310" s="12">
        <v>16.807870649074019</v>
      </c>
      <c r="P310" s="12">
        <v>13.511100414720772</v>
      </c>
    </row>
    <row r="311" spans="1:16" x14ac:dyDescent="0.3">
      <c r="A311">
        <v>1</v>
      </c>
      <c r="B311">
        <v>4</v>
      </c>
      <c r="C311">
        <v>10</v>
      </c>
      <c r="D311">
        <v>1.8</v>
      </c>
      <c r="E311">
        <v>0.95425876899999995</v>
      </c>
      <c r="F311">
        <v>5.8784999999999998</v>
      </c>
      <c r="G311">
        <v>0.6</v>
      </c>
      <c r="H311">
        <v>5.5425200000000004E-3</v>
      </c>
      <c r="I311">
        <v>16.103983169999999</v>
      </c>
      <c r="J311">
        <v>16.091130307564001</v>
      </c>
      <c r="K311">
        <v>16.188808000000002</v>
      </c>
      <c r="L311">
        <v>16.628268580294701</v>
      </c>
      <c r="M311">
        <v>16.080584581393701</v>
      </c>
      <c r="N311">
        <v>16.143248356119901</v>
      </c>
      <c r="O311" s="12">
        <v>11.586824056434306</v>
      </c>
      <c r="P311" s="12">
        <v>12.533084424587422</v>
      </c>
    </row>
    <row r="312" spans="1:16" x14ac:dyDescent="0.3">
      <c r="A312">
        <v>1.6666666670000001</v>
      </c>
      <c r="B312">
        <v>4</v>
      </c>
      <c r="C312">
        <v>30</v>
      </c>
      <c r="D312">
        <v>13.2</v>
      </c>
      <c r="E312">
        <v>15.31585323</v>
      </c>
      <c r="F312">
        <v>1.62</v>
      </c>
      <c r="G312">
        <v>9.6300000000000008</v>
      </c>
      <c r="H312">
        <v>6.9100000000000003E-3</v>
      </c>
      <c r="I312">
        <v>0.53808402799999999</v>
      </c>
      <c r="J312">
        <v>0.53154631876971803</v>
      </c>
      <c r="K312">
        <v>5.0656140000000002E-2</v>
      </c>
      <c r="L312">
        <v>0.484571865790066</v>
      </c>
      <c r="M312">
        <v>0.50221341406356401</v>
      </c>
      <c r="N312">
        <v>0.53225618551556897</v>
      </c>
      <c r="O312" s="12">
        <v>6.6238911573054313</v>
      </c>
      <c r="P312" s="12">
        <v>-0.20836929304769214</v>
      </c>
    </row>
    <row r="313" spans="1:16" x14ac:dyDescent="0.3">
      <c r="A313">
        <v>1.6666666670000001</v>
      </c>
      <c r="B313">
        <v>1</v>
      </c>
      <c r="C313">
        <v>15</v>
      </c>
      <c r="D313">
        <v>11.4</v>
      </c>
      <c r="E313">
        <v>17.11304058</v>
      </c>
      <c r="F313">
        <v>0.81</v>
      </c>
      <c r="G313">
        <v>10.76</v>
      </c>
      <c r="H313">
        <v>3.7299999999999998E-3</v>
      </c>
      <c r="I313">
        <v>5.6277879999999999E-3</v>
      </c>
      <c r="J313">
        <v>-1.73310580096741E-3</v>
      </c>
      <c r="K313">
        <v>4.9445889999999999E-2</v>
      </c>
      <c r="L313">
        <v>1.7667597768421001E-2</v>
      </c>
      <c r="M313">
        <v>-9.7023302023710997E-2</v>
      </c>
      <c r="N313">
        <v>8.2661003399999797E-3</v>
      </c>
      <c r="O313" s="12">
        <v>-2.2845147018080718</v>
      </c>
      <c r="P313" s="12">
        <v>-10.696913021246573</v>
      </c>
    </row>
    <row r="314" spans="1:16" x14ac:dyDescent="0.3">
      <c r="A314">
        <v>0.6</v>
      </c>
      <c r="B314">
        <v>6</v>
      </c>
      <c r="C314">
        <v>60</v>
      </c>
      <c r="D314">
        <v>4.5999999999999996</v>
      </c>
      <c r="E314">
        <v>0</v>
      </c>
      <c r="F314">
        <v>5.64</v>
      </c>
      <c r="G314">
        <v>0</v>
      </c>
      <c r="H314">
        <v>1.378998E-2</v>
      </c>
      <c r="I314">
        <v>86.831721079999994</v>
      </c>
      <c r="J314">
        <v>86.827150300293496</v>
      </c>
      <c r="K314">
        <v>85.935879999999997</v>
      </c>
      <c r="L314">
        <v>86.620260114969099</v>
      </c>
      <c r="M314">
        <v>86.766037515651306</v>
      </c>
      <c r="N314">
        <v>86.831721080000705</v>
      </c>
      <c r="O314" s="12">
        <v>47.016995635947673</v>
      </c>
      <c r="P314" s="12">
        <v>58.496889942230993</v>
      </c>
    </row>
    <row r="315" spans="1:16" x14ac:dyDescent="0.3">
      <c r="A315">
        <v>0.6</v>
      </c>
      <c r="B315">
        <v>4</v>
      </c>
      <c r="C315">
        <v>15</v>
      </c>
      <c r="D315">
        <v>3.8</v>
      </c>
      <c r="E315">
        <v>3.1808625620000002</v>
      </c>
      <c r="F315">
        <v>1.41</v>
      </c>
      <c r="G315">
        <v>2</v>
      </c>
      <c r="H315">
        <v>5.7099999999999998E-3</v>
      </c>
      <c r="I315">
        <v>7.6795559139999998</v>
      </c>
      <c r="J315">
        <v>7.6560692860343398</v>
      </c>
      <c r="K315">
        <v>7.8144439999999999</v>
      </c>
      <c r="L315">
        <v>7.6092468958107498</v>
      </c>
      <c r="M315">
        <v>7.7229815743911203</v>
      </c>
      <c r="N315">
        <v>7.6763604575319402</v>
      </c>
      <c r="O315" s="12">
        <v>11.291555056517588</v>
      </c>
      <c r="P315" s="12">
        <v>13.392702118111218</v>
      </c>
    </row>
    <row r="316" spans="1:16" x14ac:dyDescent="0.3">
      <c r="A316">
        <v>1.6666666670000001</v>
      </c>
      <c r="B316">
        <v>6</v>
      </c>
      <c r="C316">
        <v>15</v>
      </c>
      <c r="D316">
        <v>1.9</v>
      </c>
      <c r="E316">
        <v>0</v>
      </c>
      <c r="F316">
        <v>0.81</v>
      </c>
      <c r="G316">
        <v>0</v>
      </c>
      <c r="H316">
        <v>3.7300200000000001E-3</v>
      </c>
      <c r="I316">
        <v>31.810235769999998</v>
      </c>
      <c r="J316">
        <v>31.793107161362698</v>
      </c>
      <c r="K316">
        <v>31.655691000000001</v>
      </c>
      <c r="L316">
        <v>31.065801043579199</v>
      </c>
      <c r="M316">
        <v>31.749349450327198</v>
      </c>
      <c r="N316">
        <v>31.8102357700004</v>
      </c>
      <c r="O316" s="12">
        <v>14.505737017463694</v>
      </c>
      <c r="P316" s="12">
        <v>23.154551414397204</v>
      </c>
    </row>
    <row r="317" spans="1:16" x14ac:dyDescent="0.3">
      <c r="A317">
        <v>1</v>
      </c>
      <c r="B317">
        <v>2</v>
      </c>
      <c r="C317">
        <v>20</v>
      </c>
      <c r="D317">
        <v>8.4</v>
      </c>
      <c r="E317">
        <v>8.7473720450000005</v>
      </c>
      <c r="F317">
        <v>7.0444000000000004</v>
      </c>
      <c r="G317">
        <v>5.5</v>
      </c>
      <c r="H317">
        <v>7.5770400000000002E-3</v>
      </c>
      <c r="I317">
        <v>2.1967597699999999</v>
      </c>
      <c r="J317">
        <v>2.1840750940020501</v>
      </c>
      <c r="K317">
        <v>2.1946979</v>
      </c>
      <c r="L317">
        <v>2.2250254980436299</v>
      </c>
      <c r="M317">
        <v>2.1573010688599199</v>
      </c>
      <c r="N317">
        <v>2.1967643781374999</v>
      </c>
      <c r="O317" s="12">
        <v>7.8142354355677046</v>
      </c>
      <c r="P317" s="12">
        <v>3.7641626409800111</v>
      </c>
    </row>
    <row r="318" spans="1:16" x14ac:dyDescent="0.3">
      <c r="A318">
        <v>1.6666666670000001</v>
      </c>
      <c r="B318">
        <v>6</v>
      </c>
      <c r="C318">
        <v>10</v>
      </c>
      <c r="D318">
        <v>3.2</v>
      </c>
      <c r="E318">
        <v>4.2146428939999998</v>
      </c>
      <c r="F318">
        <v>0.54</v>
      </c>
      <c r="G318">
        <v>2.65</v>
      </c>
      <c r="H318">
        <v>2.5500000000000002E-3</v>
      </c>
      <c r="I318">
        <v>4.6837669240000004</v>
      </c>
      <c r="J318">
        <v>4.6682698558830502</v>
      </c>
      <c r="K318">
        <v>4.7917484999999997</v>
      </c>
      <c r="L318">
        <v>4.7636461766337002</v>
      </c>
      <c r="M318">
        <v>4.7651636461450497</v>
      </c>
      <c r="N318">
        <v>4.6713749844030197</v>
      </c>
      <c r="O318" s="12">
        <v>8.0371970589568544</v>
      </c>
      <c r="P318" s="12">
        <v>8.8652596564892452</v>
      </c>
    </row>
    <row r="319" spans="1:16" x14ac:dyDescent="0.3">
      <c r="A319">
        <v>1.6666666670000001</v>
      </c>
      <c r="B319">
        <v>1</v>
      </c>
      <c r="C319">
        <v>60</v>
      </c>
      <c r="D319">
        <v>9.1999999999999993</v>
      </c>
      <c r="E319">
        <v>1.0337803329999999</v>
      </c>
      <c r="F319">
        <v>3.24</v>
      </c>
      <c r="G319">
        <v>0.65</v>
      </c>
      <c r="H319">
        <v>1.205E-2</v>
      </c>
      <c r="I319">
        <v>21.629217409999999</v>
      </c>
      <c r="J319">
        <v>21.6404889760557</v>
      </c>
      <c r="K319">
        <v>21.810375000000001</v>
      </c>
      <c r="L319">
        <v>21.615184804644102</v>
      </c>
      <c r="M319">
        <v>21.715409222258799</v>
      </c>
      <c r="N319">
        <v>21.523405527272999</v>
      </c>
      <c r="O319" s="12">
        <v>37.994946840061402</v>
      </c>
      <c r="P319" s="12">
        <v>36.141516022592292</v>
      </c>
    </row>
    <row r="320" spans="1:16" x14ac:dyDescent="0.3">
      <c r="A320">
        <v>1.6666666670000001</v>
      </c>
      <c r="B320">
        <v>2</v>
      </c>
      <c r="C320">
        <v>30</v>
      </c>
      <c r="D320">
        <v>3.3</v>
      </c>
      <c r="E320">
        <v>1.065588958</v>
      </c>
      <c r="F320">
        <v>1.62</v>
      </c>
      <c r="G320">
        <v>0.67</v>
      </c>
      <c r="H320">
        <v>6.9100000000000003E-3</v>
      </c>
      <c r="I320">
        <v>42.017462549999998</v>
      </c>
      <c r="J320">
        <v>42.051338582718003</v>
      </c>
      <c r="K320">
        <v>41.761997000000001</v>
      </c>
      <c r="L320">
        <v>41.546774769659102</v>
      </c>
      <c r="M320">
        <v>42.1347020990885</v>
      </c>
      <c r="N320">
        <v>42.008338293270299</v>
      </c>
      <c r="O320" s="12">
        <v>24.986700931640254</v>
      </c>
      <c r="P320" s="12">
        <v>36.116964548181457</v>
      </c>
    </row>
    <row r="321" spans="1:16" x14ac:dyDescent="0.3">
      <c r="A321">
        <v>0.6</v>
      </c>
      <c r="B321">
        <v>6</v>
      </c>
      <c r="C321">
        <v>30</v>
      </c>
      <c r="D321">
        <v>3.3</v>
      </c>
      <c r="E321">
        <v>0</v>
      </c>
      <c r="F321">
        <v>2.82</v>
      </c>
      <c r="G321">
        <v>0</v>
      </c>
      <c r="H321">
        <v>9.2599799999999993E-3</v>
      </c>
      <c r="I321">
        <v>42.17996368</v>
      </c>
      <c r="J321">
        <v>42.170347755030903</v>
      </c>
      <c r="K321">
        <v>42.057006999999999</v>
      </c>
      <c r="L321">
        <v>41.999681263115697</v>
      </c>
      <c r="M321">
        <v>42.162828025979998</v>
      </c>
      <c r="N321">
        <v>42.202981017179802</v>
      </c>
      <c r="O321" s="12">
        <v>25.027299187145402</v>
      </c>
      <c r="P321" s="12">
        <v>37.636951907271687</v>
      </c>
    </row>
    <row r="322" spans="1:16" x14ac:dyDescent="0.3">
      <c r="A322">
        <v>0.6</v>
      </c>
      <c r="B322">
        <v>6</v>
      </c>
      <c r="C322">
        <v>15</v>
      </c>
      <c r="D322">
        <v>9.5</v>
      </c>
      <c r="E322">
        <v>22.727263000000001</v>
      </c>
      <c r="F322">
        <v>1.41</v>
      </c>
      <c r="G322">
        <v>14.29</v>
      </c>
      <c r="H322">
        <v>5.7100199999999997E-3</v>
      </c>
      <c r="I322">
        <v>-0.95752407699999997</v>
      </c>
      <c r="J322">
        <v>-0.95605071280446596</v>
      </c>
      <c r="K322">
        <v>-0.98660844999999997</v>
      </c>
      <c r="L322">
        <v>-0.932230288663776</v>
      </c>
      <c r="M322">
        <v>-1.0049943718205401</v>
      </c>
      <c r="N322">
        <v>-0.971719957243668</v>
      </c>
      <c r="O322" s="12">
        <v>2.4705845640757342</v>
      </c>
      <c r="P322" s="12">
        <v>4.4764127419886393</v>
      </c>
    </row>
    <row r="323" spans="1:16" x14ac:dyDescent="0.3">
      <c r="A323">
        <v>1</v>
      </c>
      <c r="B323">
        <v>6</v>
      </c>
      <c r="C323">
        <v>15</v>
      </c>
      <c r="D323">
        <v>12.5</v>
      </c>
      <c r="E323">
        <v>32.365276569999999</v>
      </c>
      <c r="F323">
        <v>6.5609999999999999</v>
      </c>
      <c r="G323">
        <v>20.350000000000001</v>
      </c>
      <c r="H323">
        <v>6.6531000000000003E-3</v>
      </c>
      <c r="I323">
        <v>-1.9249623950000001</v>
      </c>
      <c r="J323">
        <v>-1.94253324703568</v>
      </c>
      <c r="K323">
        <v>-2.0652121999999999</v>
      </c>
      <c r="L323">
        <v>-1.9799171698842</v>
      </c>
      <c r="M323">
        <v>-1.9349146883911399</v>
      </c>
      <c r="N323">
        <v>-1.9085256270928199</v>
      </c>
      <c r="O323" s="12">
        <v>-1.3687661470260801</v>
      </c>
      <c r="P323" s="12">
        <v>-1.1245086250859124</v>
      </c>
    </row>
    <row r="324" spans="1:16" x14ac:dyDescent="0.3">
      <c r="A324">
        <v>0.6</v>
      </c>
      <c r="B324">
        <v>1</v>
      </c>
      <c r="C324">
        <v>10</v>
      </c>
      <c r="D324">
        <v>3.2</v>
      </c>
      <c r="E324">
        <v>3.467140192</v>
      </c>
      <c r="F324">
        <v>0.94</v>
      </c>
      <c r="G324">
        <v>2.1800000000000002</v>
      </c>
      <c r="H324">
        <v>4.0000000000000001E-3</v>
      </c>
      <c r="I324">
        <v>4.7808709379999996</v>
      </c>
      <c r="J324">
        <v>4.7488514603991501</v>
      </c>
      <c r="K324">
        <v>4.6950855000000002</v>
      </c>
      <c r="L324">
        <v>4.9269586430105097</v>
      </c>
      <c r="M324">
        <v>4.7095143285574403</v>
      </c>
      <c r="N324">
        <v>4.7902578691039901</v>
      </c>
      <c r="O324" s="12">
        <v>7.8920312397625016</v>
      </c>
      <c r="P324" s="12">
        <v>11.640998479978613</v>
      </c>
    </row>
    <row r="325" spans="1:16" x14ac:dyDescent="0.3">
      <c r="A325">
        <v>1</v>
      </c>
      <c r="B325">
        <v>4</v>
      </c>
      <c r="C325">
        <v>60</v>
      </c>
      <c r="D325">
        <v>4.7</v>
      </c>
      <c r="E325">
        <v>0</v>
      </c>
      <c r="F325">
        <v>7.9885999999999999</v>
      </c>
      <c r="G325">
        <v>0</v>
      </c>
      <c r="H325">
        <v>1.2535040000000001E-2</v>
      </c>
      <c r="I325">
        <v>85.296061620000003</v>
      </c>
      <c r="J325">
        <v>85.287371836232495</v>
      </c>
      <c r="K325">
        <v>84.742515999999995</v>
      </c>
      <c r="L325">
        <v>85.055323064526206</v>
      </c>
      <c r="M325">
        <v>85.310203979597702</v>
      </c>
      <c r="N325">
        <v>85.296061619999804</v>
      </c>
      <c r="O325" s="12">
        <v>46.311677884364336</v>
      </c>
      <c r="P325" s="12">
        <v>51.4943211048313</v>
      </c>
    </row>
    <row r="326" spans="1:16" x14ac:dyDescent="0.3">
      <c r="A326">
        <v>1</v>
      </c>
      <c r="B326">
        <v>2</v>
      </c>
      <c r="C326">
        <v>60</v>
      </c>
      <c r="D326">
        <v>18.8</v>
      </c>
      <c r="E326">
        <v>6.7593329439999996</v>
      </c>
      <c r="F326">
        <v>7.9885999999999999</v>
      </c>
      <c r="G326">
        <v>4.25</v>
      </c>
      <c r="H326">
        <v>1.2535019999999999E-2</v>
      </c>
      <c r="I326">
        <v>4.5046093230000004</v>
      </c>
      <c r="J326">
        <v>4.5296867157365401</v>
      </c>
      <c r="K326">
        <v>4.4311284999999998</v>
      </c>
      <c r="L326">
        <v>4.3166447402213501</v>
      </c>
      <c r="M326">
        <v>4.4733064618038902</v>
      </c>
      <c r="N326">
        <v>4.48625094441595</v>
      </c>
      <c r="O326" s="12">
        <v>18.228221952613591</v>
      </c>
      <c r="P326" s="12">
        <v>5.5844405147333163</v>
      </c>
    </row>
    <row r="327" spans="1:16" x14ac:dyDescent="0.3">
      <c r="A327">
        <v>0.6</v>
      </c>
      <c r="B327">
        <v>6</v>
      </c>
      <c r="C327">
        <v>15</v>
      </c>
      <c r="D327">
        <v>1.9</v>
      </c>
      <c r="E327">
        <v>0</v>
      </c>
      <c r="F327">
        <v>1.41</v>
      </c>
      <c r="G327">
        <v>0</v>
      </c>
      <c r="H327">
        <v>5.7100199999999997E-3</v>
      </c>
      <c r="I327">
        <v>31.810235769999998</v>
      </c>
      <c r="J327">
        <v>31.799548473499499</v>
      </c>
      <c r="K327">
        <v>31.770464</v>
      </c>
      <c r="L327">
        <v>31.487495418863499</v>
      </c>
      <c r="M327">
        <v>31.845286628666301</v>
      </c>
      <c r="N327">
        <v>31.8102357700004</v>
      </c>
      <c r="O327" s="12">
        <v>14.645956183529687</v>
      </c>
      <c r="P327" s="12">
        <v>26.499915778894838</v>
      </c>
    </row>
    <row r="328" spans="1:16" x14ac:dyDescent="0.3">
      <c r="A328">
        <v>1</v>
      </c>
      <c r="B328">
        <v>6</v>
      </c>
      <c r="C328">
        <v>20</v>
      </c>
      <c r="D328">
        <v>20.100000000000001</v>
      </c>
      <c r="E328">
        <v>35.800608130000001</v>
      </c>
      <c r="F328">
        <v>7.0444000000000004</v>
      </c>
      <c r="G328">
        <v>22.51</v>
      </c>
      <c r="H328">
        <v>7.5770400000000002E-3</v>
      </c>
      <c r="I328">
        <v>-1.7352261229999999</v>
      </c>
      <c r="J328">
        <v>-1.7382723032812899</v>
      </c>
      <c r="K328">
        <v>-2.0612154</v>
      </c>
      <c r="L328">
        <v>-2.10870496172672</v>
      </c>
      <c r="M328">
        <v>-1.6877421534018699</v>
      </c>
      <c r="N328">
        <v>-1.7585856616619899</v>
      </c>
      <c r="O328" s="12">
        <v>-12.346609378706587</v>
      </c>
      <c r="P328" s="12">
        <v>-9.6753037630114918</v>
      </c>
    </row>
    <row r="329" spans="1:16" x14ac:dyDescent="0.3">
      <c r="A329">
        <v>0.6</v>
      </c>
      <c r="B329">
        <v>6</v>
      </c>
      <c r="C329">
        <v>20</v>
      </c>
      <c r="D329">
        <v>9.1999999999999993</v>
      </c>
      <c r="E329">
        <v>11.14892328</v>
      </c>
      <c r="F329">
        <v>1.88</v>
      </c>
      <c r="G329">
        <v>7.01</v>
      </c>
      <c r="H329">
        <v>6.9700200000000004E-3</v>
      </c>
      <c r="I329">
        <v>1.3947778019999999</v>
      </c>
      <c r="J329">
        <v>1.40880768024776</v>
      </c>
      <c r="K329">
        <v>1.1769289000000001</v>
      </c>
      <c r="L329">
        <v>1.2603600078346799</v>
      </c>
      <c r="M329">
        <v>1.33484477870805</v>
      </c>
      <c r="N329">
        <v>1.3606345097343699</v>
      </c>
      <c r="O329" s="12">
        <v>5.7524024076109361</v>
      </c>
      <c r="P329" s="12">
        <v>4.0907656478993637</v>
      </c>
    </row>
    <row r="330" spans="1:16" x14ac:dyDescent="0.3">
      <c r="A330">
        <v>1.6666666670000001</v>
      </c>
      <c r="B330">
        <v>2</v>
      </c>
      <c r="C330">
        <v>15</v>
      </c>
      <c r="D330">
        <v>5.7</v>
      </c>
      <c r="E330">
        <v>12.134990670000001</v>
      </c>
      <c r="F330">
        <v>0.81</v>
      </c>
      <c r="G330">
        <v>7.63</v>
      </c>
      <c r="H330">
        <v>3.7299999999999998E-3</v>
      </c>
      <c r="I330">
        <v>1.768538419</v>
      </c>
      <c r="J330">
        <v>1.7447034553743901</v>
      </c>
      <c r="K330">
        <v>1.6301829000000001</v>
      </c>
      <c r="L330">
        <v>1.6607062711509699</v>
      </c>
      <c r="M330">
        <v>1.83410687718578</v>
      </c>
      <c r="N330">
        <v>1.76503828616898</v>
      </c>
      <c r="O330" s="12">
        <v>8.7065683142202488</v>
      </c>
      <c r="P330" s="12">
        <v>8.8449656158164913</v>
      </c>
    </row>
    <row r="331" spans="1:16" x14ac:dyDescent="0.3">
      <c r="A331">
        <v>0.6</v>
      </c>
      <c r="B331">
        <v>1</v>
      </c>
      <c r="C331">
        <v>15</v>
      </c>
      <c r="D331">
        <v>13.3</v>
      </c>
      <c r="E331">
        <v>14.234359960000001</v>
      </c>
      <c r="F331">
        <v>1.41</v>
      </c>
      <c r="G331">
        <v>8.9499999999999993</v>
      </c>
      <c r="H331">
        <v>5.7099999999999998E-3</v>
      </c>
      <c r="I331">
        <v>0.20289817800000001</v>
      </c>
      <c r="J331">
        <v>0.23751472694974701</v>
      </c>
      <c r="K331">
        <v>0.39462130000000001</v>
      </c>
      <c r="L331">
        <v>0.33538538511017402</v>
      </c>
      <c r="M331">
        <v>0.25394005706971101</v>
      </c>
      <c r="N331">
        <v>0.22534708018499999</v>
      </c>
      <c r="O331" s="12">
        <v>-6.5369053067841927</v>
      </c>
      <c r="P331" s="12">
        <v>-16.673164529440477</v>
      </c>
    </row>
    <row r="332" spans="1:16" x14ac:dyDescent="0.3">
      <c r="A332">
        <v>1</v>
      </c>
      <c r="B332">
        <v>2</v>
      </c>
      <c r="C332">
        <v>30</v>
      </c>
      <c r="D332">
        <v>14.4</v>
      </c>
      <c r="E332">
        <v>11.975947550000001</v>
      </c>
      <c r="F332">
        <v>7.6656000000000004</v>
      </c>
      <c r="G332">
        <v>7.53</v>
      </c>
      <c r="H332">
        <v>9.1083599999999994E-3</v>
      </c>
      <c r="I332">
        <v>1.16621365</v>
      </c>
      <c r="J332">
        <v>1.1775136872529</v>
      </c>
      <c r="K332">
        <v>1.1891384</v>
      </c>
      <c r="L332">
        <v>1.1530621049413601</v>
      </c>
      <c r="M332">
        <v>1.1704431139267299</v>
      </c>
      <c r="N332">
        <v>1.15560946491546</v>
      </c>
      <c r="O332" s="12">
        <v>4.1467174374885261</v>
      </c>
      <c r="P332" s="12">
        <v>-3.1333699826562262</v>
      </c>
    </row>
    <row r="333" spans="1:16" x14ac:dyDescent="0.3">
      <c r="A333">
        <v>1.6666666670000001</v>
      </c>
      <c r="B333">
        <v>2</v>
      </c>
      <c r="C333">
        <v>30</v>
      </c>
      <c r="D333">
        <v>16.5</v>
      </c>
      <c r="E333">
        <v>27.75302585</v>
      </c>
      <c r="F333">
        <v>1.62</v>
      </c>
      <c r="G333">
        <v>17.45</v>
      </c>
      <c r="H333">
        <v>6.9100000000000003E-3</v>
      </c>
      <c r="I333">
        <v>-2.7219794529999999</v>
      </c>
      <c r="J333">
        <v>-2.6884362598492499</v>
      </c>
      <c r="K333">
        <v>-2.3423590000000001</v>
      </c>
      <c r="L333">
        <v>-2.31733882250506</v>
      </c>
      <c r="M333">
        <v>-2.6580442871183001</v>
      </c>
      <c r="N333">
        <v>-2.6255597826329899</v>
      </c>
      <c r="O333" s="12">
        <v>1.8254416441596724</v>
      </c>
      <c r="P333" s="12">
        <v>1.2834451185997042</v>
      </c>
    </row>
    <row r="334" spans="1:16" x14ac:dyDescent="0.3">
      <c r="A334">
        <v>1</v>
      </c>
      <c r="B334">
        <v>2</v>
      </c>
      <c r="C334">
        <v>30</v>
      </c>
      <c r="D334">
        <v>3.6</v>
      </c>
      <c r="E334">
        <v>0.85883289200000001</v>
      </c>
      <c r="F334">
        <v>7.6656000000000004</v>
      </c>
      <c r="G334">
        <v>0.54</v>
      </c>
      <c r="H334">
        <v>9.1083599999999994E-3</v>
      </c>
      <c r="I334">
        <v>36.2552983</v>
      </c>
      <c r="J334">
        <v>36.248822925065802</v>
      </c>
      <c r="K334">
        <v>36.370987</v>
      </c>
      <c r="L334">
        <v>36.5398355746105</v>
      </c>
      <c r="M334">
        <v>36.237106434597003</v>
      </c>
      <c r="N334">
        <v>36.254887652859701</v>
      </c>
      <c r="O334" s="12">
        <v>24.785545132688998</v>
      </c>
      <c r="P334" s="12">
        <v>36.200363277458784</v>
      </c>
    </row>
    <row r="335" spans="1:16" x14ac:dyDescent="0.3">
      <c r="A335">
        <v>1</v>
      </c>
      <c r="B335">
        <v>1</v>
      </c>
      <c r="C335">
        <v>15</v>
      </c>
      <c r="D335">
        <v>7.5</v>
      </c>
      <c r="E335">
        <v>5.5665094829999999</v>
      </c>
      <c r="F335">
        <v>6.5609999999999999</v>
      </c>
      <c r="G335">
        <v>3.5</v>
      </c>
      <c r="H335">
        <v>6.6530699999999996E-3</v>
      </c>
      <c r="I335">
        <v>1.8734450499999999</v>
      </c>
      <c r="J335">
        <v>1.8468123235639999</v>
      </c>
      <c r="K335">
        <v>1.8788012999999999</v>
      </c>
      <c r="L335">
        <v>2.2569486592893999</v>
      </c>
      <c r="M335">
        <v>1.9137351027134899</v>
      </c>
      <c r="N335">
        <v>1.8509221760103201</v>
      </c>
      <c r="O335" s="12">
        <v>4.9835541111052057</v>
      </c>
      <c r="P335" s="12">
        <v>-0.41999430525431336</v>
      </c>
    </row>
    <row r="336" spans="1:16" x14ac:dyDescent="0.3">
      <c r="A336">
        <v>0.6</v>
      </c>
      <c r="B336">
        <v>2</v>
      </c>
      <c r="C336">
        <v>30</v>
      </c>
      <c r="D336">
        <v>3.3</v>
      </c>
      <c r="E336">
        <v>0</v>
      </c>
      <c r="F336">
        <v>2.82</v>
      </c>
      <c r="G336">
        <v>0</v>
      </c>
      <c r="H336">
        <v>9.2599999999999991E-3</v>
      </c>
      <c r="I336">
        <v>42.17996368</v>
      </c>
      <c r="J336">
        <v>42.169052093868999</v>
      </c>
      <c r="K336">
        <v>42.829098000000002</v>
      </c>
      <c r="L336">
        <v>42.033311751684103</v>
      </c>
      <c r="M336">
        <v>42.212006168288198</v>
      </c>
      <c r="N336">
        <v>42.179789920719898</v>
      </c>
      <c r="O336" s="12">
        <v>25.194312494938309</v>
      </c>
      <c r="P336" s="12">
        <v>35.0923902366862</v>
      </c>
    </row>
    <row r="337" spans="1:16" x14ac:dyDescent="0.3">
      <c r="A337">
        <v>1</v>
      </c>
      <c r="B337">
        <v>1</v>
      </c>
      <c r="C337">
        <v>10</v>
      </c>
      <c r="D337">
        <v>7.2</v>
      </c>
      <c r="E337">
        <v>10.735411149999999</v>
      </c>
      <c r="F337">
        <v>5.8784999999999998</v>
      </c>
      <c r="G337">
        <v>6.75</v>
      </c>
      <c r="H337">
        <v>5.5425099999999996E-3</v>
      </c>
      <c r="I337">
        <v>0.61482901599999995</v>
      </c>
      <c r="J337">
        <v>0.64530386750431001</v>
      </c>
      <c r="K337">
        <v>0.87776500000000002</v>
      </c>
      <c r="L337">
        <v>0.76008955672484202</v>
      </c>
      <c r="M337">
        <v>0.60869775926498204</v>
      </c>
      <c r="N337">
        <v>0.65479578363999602</v>
      </c>
      <c r="O337" s="12">
        <v>2.0579516476727155</v>
      </c>
      <c r="P337" s="12">
        <v>-5.1342652472377317</v>
      </c>
    </row>
    <row r="338" spans="1:16" x14ac:dyDescent="0.3">
      <c r="A338">
        <v>1</v>
      </c>
      <c r="B338">
        <v>1</v>
      </c>
      <c r="C338">
        <v>60</v>
      </c>
      <c r="D338">
        <v>9.4</v>
      </c>
      <c r="E338">
        <v>1.6222399059999999</v>
      </c>
      <c r="F338">
        <v>7.9885999999999999</v>
      </c>
      <c r="G338">
        <v>1.02</v>
      </c>
      <c r="H338">
        <v>1.2535019999999999E-2</v>
      </c>
      <c r="I338">
        <v>21.13361411</v>
      </c>
      <c r="J338">
        <v>21.1315901886082</v>
      </c>
      <c r="K338">
        <v>20.654291000000001</v>
      </c>
      <c r="L338">
        <v>20.253245530301001</v>
      </c>
      <c r="M338">
        <v>21.1015510999983</v>
      </c>
      <c r="N338">
        <v>21.081002585909101</v>
      </c>
      <c r="O338" s="12">
        <v>36.948533812699459</v>
      </c>
      <c r="P338" s="12">
        <v>33.8158369504863</v>
      </c>
    </row>
    <row r="339" spans="1:16" x14ac:dyDescent="0.3">
      <c r="A339">
        <v>0.6</v>
      </c>
      <c r="B339">
        <v>6</v>
      </c>
      <c r="C339">
        <v>15</v>
      </c>
      <c r="D339">
        <v>7.6</v>
      </c>
      <c r="E339">
        <v>12.771163189999999</v>
      </c>
      <c r="F339">
        <v>1.41</v>
      </c>
      <c r="G339">
        <v>8.0299999999999994</v>
      </c>
      <c r="H339">
        <v>5.7100199999999997E-3</v>
      </c>
      <c r="I339">
        <v>0.88792217500000004</v>
      </c>
      <c r="J339">
        <v>0.85985683265416302</v>
      </c>
      <c r="K339">
        <v>0.75537339999999997</v>
      </c>
      <c r="L339">
        <v>0.92105288222786497</v>
      </c>
      <c r="M339">
        <v>0.85858519329781302</v>
      </c>
      <c r="N339">
        <v>0.91378203311710804</v>
      </c>
      <c r="O339" s="12">
        <v>4.8409837260078259</v>
      </c>
      <c r="P339" s="12">
        <v>5.3721810993144175</v>
      </c>
    </row>
    <row r="340" spans="1:16" x14ac:dyDescent="0.3">
      <c r="A340">
        <v>1</v>
      </c>
      <c r="B340">
        <v>2</v>
      </c>
      <c r="C340">
        <v>10</v>
      </c>
      <c r="D340">
        <v>5.4</v>
      </c>
      <c r="E340">
        <v>9.7811523769999997</v>
      </c>
      <c r="F340">
        <v>5.8784999999999998</v>
      </c>
      <c r="G340">
        <v>6.15</v>
      </c>
      <c r="H340">
        <v>5.5424999999999997E-3</v>
      </c>
      <c r="I340">
        <v>1.2122568</v>
      </c>
      <c r="J340">
        <v>1.22372110633965</v>
      </c>
      <c r="K340">
        <v>1.3138405</v>
      </c>
      <c r="L340">
        <v>1.46562537432226</v>
      </c>
      <c r="M340">
        <v>1.1249429227586401</v>
      </c>
      <c r="N340">
        <v>1.2197960753349899</v>
      </c>
      <c r="O340" s="12">
        <v>5.5975790740045692</v>
      </c>
      <c r="P340" s="12">
        <v>0.51858652168191988</v>
      </c>
    </row>
    <row r="341" spans="1:16" x14ac:dyDescent="0.3">
      <c r="A341">
        <v>1.6666666670000001</v>
      </c>
      <c r="B341">
        <v>2</v>
      </c>
      <c r="C341">
        <v>30</v>
      </c>
      <c r="D341">
        <v>19.8</v>
      </c>
      <c r="E341">
        <v>36.198215949999998</v>
      </c>
      <c r="F341">
        <v>1.62</v>
      </c>
      <c r="G341">
        <v>22.76</v>
      </c>
      <c r="H341">
        <v>6.9100000000000003E-3</v>
      </c>
      <c r="I341">
        <v>-4.0372675969999996</v>
      </c>
      <c r="J341">
        <v>-4.0068167643301802</v>
      </c>
      <c r="K341">
        <v>-3.7100759000000001</v>
      </c>
      <c r="L341">
        <v>-3.6171699233562999</v>
      </c>
      <c r="M341">
        <v>-4.0205897078198101</v>
      </c>
      <c r="N341">
        <v>-3.9107926685760002</v>
      </c>
      <c r="O341" s="12">
        <v>-3.685472331510586</v>
      </c>
      <c r="P341" s="12">
        <v>0.20670974481820181</v>
      </c>
    </row>
    <row r="342" spans="1:16" x14ac:dyDescent="0.3">
      <c r="A342">
        <v>1.6666666670000001</v>
      </c>
      <c r="B342">
        <v>4</v>
      </c>
      <c r="C342">
        <v>20</v>
      </c>
      <c r="D342">
        <v>9.1999999999999993</v>
      </c>
      <c r="E342">
        <v>17.03351902</v>
      </c>
      <c r="F342">
        <v>1.08</v>
      </c>
      <c r="G342">
        <v>10.71</v>
      </c>
      <c r="H342">
        <v>4.8399999999999997E-3</v>
      </c>
      <c r="I342">
        <v>3.7583816999999999E-2</v>
      </c>
      <c r="J342">
        <v>6.7759539645462094E-2</v>
      </c>
      <c r="K342">
        <v>-0.28871518000000002</v>
      </c>
      <c r="L342">
        <v>3.6694282953684203E-2</v>
      </c>
      <c r="M342">
        <v>7.5448043413368603E-3</v>
      </c>
      <c r="N342">
        <v>3.8531958057E-2</v>
      </c>
      <c r="O342" s="12">
        <v>6.5248633794005668</v>
      </c>
      <c r="P342" s="12">
        <v>2.5106844011261202</v>
      </c>
    </row>
    <row r="343" spans="1:16" x14ac:dyDescent="0.3">
      <c r="A343">
        <v>0.6</v>
      </c>
      <c r="B343">
        <v>2</v>
      </c>
      <c r="C343">
        <v>10</v>
      </c>
      <c r="D343">
        <v>11.5</v>
      </c>
      <c r="E343">
        <v>43.482391219999997</v>
      </c>
      <c r="F343">
        <v>0.94</v>
      </c>
      <c r="G343">
        <v>27.34</v>
      </c>
      <c r="H343">
        <v>4.0000000000000001E-3</v>
      </c>
      <c r="I343">
        <v>-2.0897554239999998</v>
      </c>
      <c r="J343">
        <v>-2.0840527330110099</v>
      </c>
      <c r="K343">
        <v>-2.6274714000000001</v>
      </c>
      <c r="L343">
        <v>-2.3400109666824398</v>
      </c>
      <c r="M343">
        <v>-2.04969225306104</v>
      </c>
      <c r="N343">
        <v>-2.14431221222199</v>
      </c>
      <c r="O343" s="12">
        <v>-3.0524751611853169</v>
      </c>
      <c r="P343" s="12">
        <v>-2.8317142495803438</v>
      </c>
    </row>
    <row r="344" spans="1:16" x14ac:dyDescent="0.3">
      <c r="A344">
        <v>1.6666666670000001</v>
      </c>
      <c r="B344">
        <v>2</v>
      </c>
      <c r="C344">
        <v>60</v>
      </c>
      <c r="D344">
        <v>4.5999999999999996</v>
      </c>
      <c r="E344">
        <v>0</v>
      </c>
      <c r="F344">
        <v>3.24</v>
      </c>
      <c r="G344">
        <v>0</v>
      </c>
      <c r="H344">
        <v>1.205E-2</v>
      </c>
      <c r="I344">
        <v>86.831721079999994</v>
      </c>
      <c r="J344">
        <v>86.839463957635004</v>
      </c>
      <c r="K344">
        <v>86.691720000000004</v>
      </c>
      <c r="L344">
        <v>86.524142175895406</v>
      </c>
      <c r="M344">
        <v>86.959625127075796</v>
      </c>
      <c r="N344">
        <v>86.831721080000705</v>
      </c>
      <c r="O344" s="12">
        <v>47.326972971309047</v>
      </c>
      <c r="P344" s="12">
        <v>55.749141998019333</v>
      </c>
    </row>
    <row r="345" spans="1:16" x14ac:dyDescent="0.3">
      <c r="A345">
        <v>0.6</v>
      </c>
      <c r="B345">
        <v>1</v>
      </c>
      <c r="C345">
        <v>30</v>
      </c>
      <c r="D345">
        <v>16.5</v>
      </c>
      <c r="E345">
        <v>13.12105807</v>
      </c>
      <c r="F345">
        <v>2.82</v>
      </c>
      <c r="G345">
        <v>8.25</v>
      </c>
      <c r="H345">
        <v>9.2599999999999991E-3</v>
      </c>
      <c r="I345">
        <v>0.70165761500000001</v>
      </c>
      <c r="J345">
        <v>0.71295860998040095</v>
      </c>
      <c r="K345">
        <v>0.93712859999999998</v>
      </c>
      <c r="L345">
        <v>0.75670266166420397</v>
      </c>
      <c r="M345">
        <v>0.63223520981443004</v>
      </c>
      <c r="N345">
        <v>0.70386362934566005</v>
      </c>
      <c r="O345" s="12">
        <v>-6.2676248848736016E-2</v>
      </c>
      <c r="P345" s="12">
        <v>-7.10750222976327</v>
      </c>
    </row>
    <row r="346" spans="1:16" x14ac:dyDescent="0.3">
      <c r="A346">
        <v>1</v>
      </c>
      <c r="B346">
        <v>6</v>
      </c>
      <c r="C346">
        <v>15</v>
      </c>
      <c r="D346">
        <v>7.5</v>
      </c>
      <c r="E346">
        <v>16.953997449999999</v>
      </c>
      <c r="F346">
        <v>6.5609999999999999</v>
      </c>
      <c r="G346">
        <v>10.66</v>
      </c>
      <c r="H346">
        <v>6.6531000000000003E-3</v>
      </c>
      <c r="I346">
        <v>5.1819799999999999E-2</v>
      </c>
      <c r="J346">
        <v>5.8618397896030398E-2</v>
      </c>
      <c r="K346">
        <v>0.17223278</v>
      </c>
      <c r="L346">
        <v>5.0008360347368497E-2</v>
      </c>
      <c r="M346">
        <v>8.7447579672710704E-2</v>
      </c>
      <c r="N346">
        <v>4.9325220285666799E-2</v>
      </c>
      <c r="O346" s="12">
        <v>6.5690071958018077</v>
      </c>
      <c r="P346" s="12">
        <v>8.8654993773132098</v>
      </c>
    </row>
    <row r="347" spans="1:16" x14ac:dyDescent="0.3">
      <c r="A347">
        <v>1.6666666670000001</v>
      </c>
      <c r="B347">
        <v>6</v>
      </c>
      <c r="C347">
        <v>30</v>
      </c>
      <c r="D347">
        <v>3.3</v>
      </c>
      <c r="E347">
        <v>0</v>
      </c>
      <c r="F347">
        <v>1.62</v>
      </c>
      <c r="G347">
        <v>0</v>
      </c>
      <c r="H347">
        <v>6.9100200000000002E-3</v>
      </c>
      <c r="I347">
        <v>42.17996368</v>
      </c>
      <c r="J347">
        <v>42.176736094231202</v>
      </c>
      <c r="K347">
        <v>42.303837000000001</v>
      </c>
      <c r="L347">
        <v>41.9807309610526</v>
      </c>
      <c r="M347">
        <v>42.280991995500401</v>
      </c>
      <c r="N347">
        <v>42.191339406589897</v>
      </c>
      <c r="O347" s="12">
        <v>24.651825837027925</v>
      </c>
      <c r="P347" s="12">
        <v>37.645112076586656</v>
      </c>
    </row>
    <row r="348" spans="1:16" x14ac:dyDescent="0.3">
      <c r="A348">
        <v>0.6</v>
      </c>
      <c r="B348">
        <v>6</v>
      </c>
      <c r="C348">
        <v>60</v>
      </c>
      <c r="D348">
        <v>27.6</v>
      </c>
      <c r="E348">
        <v>1.908517537</v>
      </c>
      <c r="F348">
        <v>5.64</v>
      </c>
      <c r="G348">
        <v>1.2</v>
      </c>
      <c r="H348">
        <v>1.378998E-2</v>
      </c>
      <c r="I348">
        <v>2.3821838309999999</v>
      </c>
      <c r="J348">
        <v>2.39197307714424</v>
      </c>
      <c r="K348">
        <v>2.6334276000000001</v>
      </c>
      <c r="L348">
        <v>3.31855245958526</v>
      </c>
      <c r="M348">
        <v>2.3802877681724</v>
      </c>
      <c r="N348">
        <v>2.3797790109360002</v>
      </c>
      <c r="O348" s="12">
        <v>-0.3655799633398189</v>
      </c>
      <c r="P348" s="12">
        <v>-0.2975314524148871</v>
      </c>
    </row>
    <row r="349" spans="1:16" x14ac:dyDescent="0.3">
      <c r="A349">
        <v>1.6666666670000001</v>
      </c>
      <c r="B349">
        <v>4</v>
      </c>
      <c r="C349">
        <v>60</v>
      </c>
      <c r="D349">
        <v>32.5</v>
      </c>
      <c r="E349">
        <v>6.0277345550000003</v>
      </c>
      <c r="F349">
        <v>3.24</v>
      </c>
      <c r="G349">
        <v>3.79</v>
      </c>
      <c r="H349">
        <v>1.205E-2</v>
      </c>
      <c r="I349">
        <v>1.525071415</v>
      </c>
      <c r="J349">
        <v>1.5625185242825901</v>
      </c>
      <c r="K349">
        <v>1.6580678</v>
      </c>
      <c r="L349">
        <v>1.8687265092505101</v>
      </c>
      <c r="M349">
        <v>1.5142373989646101</v>
      </c>
      <c r="N349">
        <v>1.56489093728299</v>
      </c>
      <c r="O349" s="12">
        <v>-9.6487011111720733</v>
      </c>
      <c r="P349" s="12">
        <v>4.8018991296474027</v>
      </c>
    </row>
    <row r="350" spans="1:16" x14ac:dyDescent="0.3">
      <c r="A350">
        <v>1</v>
      </c>
      <c r="B350">
        <v>4</v>
      </c>
      <c r="C350">
        <v>60</v>
      </c>
      <c r="D350">
        <v>33.299999999999997</v>
      </c>
      <c r="E350">
        <v>3.5148531310000002</v>
      </c>
      <c r="F350">
        <v>7.9885999999999999</v>
      </c>
      <c r="G350">
        <v>2.21</v>
      </c>
      <c r="H350">
        <v>1.2535040000000001E-2</v>
      </c>
      <c r="I350">
        <v>1.6279444590000001</v>
      </c>
      <c r="J350">
        <v>1.6168992193037901</v>
      </c>
      <c r="K350">
        <v>1.5574988999999999</v>
      </c>
      <c r="L350">
        <v>2.1781445921789402</v>
      </c>
      <c r="M350">
        <v>1.63862664153988</v>
      </c>
      <c r="N350">
        <v>1.7092329462689999</v>
      </c>
      <c r="O350" s="12">
        <v>-12.427649287034884</v>
      </c>
      <c r="P350" s="12">
        <v>2.0694281876953369</v>
      </c>
    </row>
    <row r="351" spans="1:16" x14ac:dyDescent="0.3">
      <c r="A351">
        <v>0.6</v>
      </c>
      <c r="B351">
        <v>6</v>
      </c>
      <c r="C351">
        <v>40</v>
      </c>
      <c r="D351">
        <v>7.8</v>
      </c>
      <c r="E351">
        <v>2.0675606649999998</v>
      </c>
      <c r="F351">
        <v>3.76</v>
      </c>
      <c r="G351">
        <v>1.3</v>
      </c>
      <c r="H351">
        <v>9.2599799999999993E-3</v>
      </c>
      <c r="I351">
        <v>13.227483319999999</v>
      </c>
      <c r="J351">
        <v>13.2400444476276</v>
      </c>
      <c r="K351">
        <v>13.042735</v>
      </c>
      <c r="L351">
        <v>13.3882136048574</v>
      </c>
      <c r="M351">
        <v>13.296721744187799</v>
      </c>
      <c r="N351">
        <v>13.183510852110199</v>
      </c>
      <c r="O351" s="12">
        <v>23.145748316418018</v>
      </c>
      <c r="P351" s="12">
        <v>26.692556969824444</v>
      </c>
    </row>
    <row r="352" spans="1:16" x14ac:dyDescent="0.3">
      <c r="A352">
        <v>1.6666666670000001</v>
      </c>
      <c r="B352">
        <v>6</v>
      </c>
      <c r="C352">
        <v>40</v>
      </c>
      <c r="D352">
        <v>23.4</v>
      </c>
      <c r="E352">
        <v>14.218455649999999</v>
      </c>
      <c r="F352">
        <v>2.16</v>
      </c>
      <c r="G352">
        <v>8.94</v>
      </c>
      <c r="H352">
        <v>8.7799799999999997E-3</v>
      </c>
      <c r="I352">
        <v>0.46839842999999998</v>
      </c>
      <c r="J352">
        <v>0.473852770557664</v>
      </c>
      <c r="K352">
        <v>0.42884939999999999</v>
      </c>
      <c r="L352">
        <v>0.50203779248912295</v>
      </c>
      <c r="M352">
        <v>0.44093462739669498</v>
      </c>
      <c r="N352">
        <v>0.46870240282600001</v>
      </c>
      <c r="O352" s="12">
        <v>-6.263143575594718</v>
      </c>
      <c r="P352" s="12">
        <v>-6.1580524281017546</v>
      </c>
    </row>
    <row r="353" spans="1:16" x14ac:dyDescent="0.3">
      <c r="A353">
        <v>1</v>
      </c>
      <c r="B353">
        <v>2</v>
      </c>
      <c r="C353">
        <v>60</v>
      </c>
      <c r="D353">
        <v>9.4</v>
      </c>
      <c r="E353">
        <v>1.733570096</v>
      </c>
      <c r="F353">
        <v>7.9885999999999999</v>
      </c>
      <c r="G353">
        <v>1.0900000000000001</v>
      </c>
      <c r="H353">
        <v>1.2535019999999999E-2</v>
      </c>
      <c r="I353">
        <v>21.106583860000001</v>
      </c>
      <c r="J353">
        <v>21.100655627577201</v>
      </c>
      <c r="K353">
        <v>21.023700000000002</v>
      </c>
      <c r="L353">
        <v>20.591052494292601</v>
      </c>
      <c r="M353">
        <v>21.170294365772701</v>
      </c>
      <c r="N353">
        <v>21.074445547794099</v>
      </c>
      <c r="O353" s="12">
        <v>36.924325009203407</v>
      </c>
      <c r="P353" s="12">
        <v>30.849296087179525</v>
      </c>
    </row>
    <row r="354" spans="1:16" x14ac:dyDescent="0.3">
      <c r="A354">
        <v>1.6666666670000001</v>
      </c>
      <c r="B354">
        <v>2</v>
      </c>
      <c r="C354">
        <v>60</v>
      </c>
      <c r="D354">
        <v>23</v>
      </c>
      <c r="E354">
        <v>8.8746065470000008</v>
      </c>
      <c r="F354">
        <v>3.24</v>
      </c>
      <c r="G354">
        <v>5.58</v>
      </c>
      <c r="H354">
        <v>1.205E-2</v>
      </c>
      <c r="I354">
        <v>2.5451419120000001</v>
      </c>
      <c r="J354">
        <v>2.5178834528087801</v>
      </c>
      <c r="K354">
        <v>2.5708546999999999</v>
      </c>
      <c r="L354">
        <v>2.4192372993148501</v>
      </c>
      <c r="M354">
        <v>2.4844814494916898</v>
      </c>
      <c r="N354">
        <v>2.4963075298348301</v>
      </c>
      <c r="O354" s="12">
        <v>10.57860927237828</v>
      </c>
      <c r="P354" s="12">
        <v>3.8863469101100421</v>
      </c>
    </row>
    <row r="355" spans="1:16" x14ac:dyDescent="0.3">
      <c r="A355">
        <v>1.6666666670000001</v>
      </c>
      <c r="B355">
        <v>4</v>
      </c>
      <c r="C355">
        <v>20</v>
      </c>
      <c r="D355">
        <v>13.8</v>
      </c>
      <c r="E355">
        <v>36.102790079999998</v>
      </c>
      <c r="F355">
        <v>1.08</v>
      </c>
      <c r="G355">
        <v>22.7</v>
      </c>
      <c r="H355">
        <v>4.8399999999999997E-3</v>
      </c>
      <c r="I355">
        <v>-3.6687384600000001</v>
      </c>
      <c r="J355">
        <v>-3.6704619759022998</v>
      </c>
      <c r="K355">
        <v>-3.1181717</v>
      </c>
      <c r="L355">
        <v>-3.4124008613485901</v>
      </c>
      <c r="M355">
        <v>-3.6706085595675102</v>
      </c>
      <c r="N355">
        <v>-3.678859700506</v>
      </c>
      <c r="O355" s="12">
        <v>-7.2930450018082738E-3</v>
      </c>
      <c r="P355" s="12">
        <v>-1.4593886735502863</v>
      </c>
    </row>
    <row r="356" spans="1:16" x14ac:dyDescent="0.3">
      <c r="A356">
        <v>0.6</v>
      </c>
      <c r="B356">
        <v>6</v>
      </c>
      <c r="C356">
        <v>15</v>
      </c>
      <c r="D356">
        <v>11.4</v>
      </c>
      <c r="E356">
        <v>31.919955810000001</v>
      </c>
      <c r="F356">
        <v>1.41</v>
      </c>
      <c r="G356">
        <v>20.07</v>
      </c>
      <c r="H356">
        <v>5.7100199999999997E-3</v>
      </c>
      <c r="I356">
        <v>-2.1710200479999999</v>
      </c>
      <c r="J356">
        <v>-2.1499368867709299</v>
      </c>
      <c r="K356">
        <v>-2.0652121999999999</v>
      </c>
      <c r="L356">
        <v>-2.10543044072696</v>
      </c>
      <c r="M356">
        <v>-2.0542904806594602</v>
      </c>
      <c r="N356">
        <v>-2.1220304561133099</v>
      </c>
      <c r="O356" s="12">
        <v>-2.0094780512264876E-2</v>
      </c>
      <c r="P356" s="12">
        <v>3.1938014304768387</v>
      </c>
    </row>
    <row r="357" spans="1:16" x14ac:dyDescent="0.3">
      <c r="A357">
        <v>1</v>
      </c>
      <c r="B357">
        <v>6</v>
      </c>
      <c r="C357">
        <v>10</v>
      </c>
      <c r="D357">
        <v>12.4</v>
      </c>
      <c r="E357">
        <v>51.657207999999997</v>
      </c>
      <c r="F357">
        <v>5.8784999999999998</v>
      </c>
      <c r="G357">
        <v>32.479999999999997</v>
      </c>
      <c r="H357">
        <v>5.5424999999999997E-3</v>
      </c>
      <c r="I357">
        <v>-2.741458014</v>
      </c>
      <c r="J357">
        <v>-2.76847776528464</v>
      </c>
      <c r="K357">
        <v>-3.0947070000000001</v>
      </c>
      <c r="L357">
        <v>-2.9328237397674299</v>
      </c>
      <c r="M357">
        <v>-2.8191357953895499</v>
      </c>
      <c r="N357">
        <v>-2.8688663742560099</v>
      </c>
      <c r="O357" s="12">
        <v>-2.4838516777335435</v>
      </c>
      <c r="P357" s="12">
        <v>-4.8506555683252017E-2</v>
      </c>
    </row>
    <row r="358" spans="1:16" x14ac:dyDescent="0.3">
      <c r="A358">
        <v>0.6</v>
      </c>
      <c r="B358">
        <v>6</v>
      </c>
      <c r="C358">
        <v>15</v>
      </c>
      <c r="D358">
        <v>3.8</v>
      </c>
      <c r="E358">
        <v>3.4035229409999999</v>
      </c>
      <c r="F358">
        <v>1.41</v>
      </c>
      <c r="G358">
        <v>2.14</v>
      </c>
      <c r="H358">
        <v>5.7100199999999997E-3</v>
      </c>
      <c r="I358">
        <v>7.6399977750000003</v>
      </c>
      <c r="J358">
        <v>7.6662887396259798</v>
      </c>
      <c r="K358">
        <v>7.7950530000000002</v>
      </c>
      <c r="L358">
        <v>7.6307837511135999</v>
      </c>
      <c r="M358">
        <v>7.6241343652882696</v>
      </c>
      <c r="N358">
        <v>7.6444909398989402</v>
      </c>
      <c r="O358" s="12">
        <v>11.24315210171844</v>
      </c>
      <c r="P358" s="12">
        <v>17.838364071737175</v>
      </c>
    </row>
    <row r="359" spans="1:16" x14ac:dyDescent="0.3">
      <c r="A359">
        <v>1</v>
      </c>
      <c r="B359">
        <v>2</v>
      </c>
      <c r="C359">
        <v>40</v>
      </c>
      <c r="D359">
        <v>24.6</v>
      </c>
      <c r="E359">
        <v>24.444928789999999</v>
      </c>
      <c r="F359">
        <v>7.9885999999999999</v>
      </c>
      <c r="G359">
        <v>15.37</v>
      </c>
      <c r="H359">
        <v>1.0389860000000001E-2</v>
      </c>
      <c r="I359">
        <v>-1.4217689520000001</v>
      </c>
      <c r="J359">
        <v>-1.3940274174175</v>
      </c>
      <c r="K359">
        <v>-1.3636432000000001</v>
      </c>
      <c r="L359">
        <v>-1.3354890847321499</v>
      </c>
      <c r="M359">
        <v>-1.36465221593541</v>
      </c>
      <c r="N359">
        <v>-1.3934972538949899</v>
      </c>
      <c r="O359" s="12">
        <v>-6.9375273692968351</v>
      </c>
      <c r="P359" s="12">
        <v>-0.10480124286492298</v>
      </c>
    </row>
    <row r="360" spans="1:16" x14ac:dyDescent="0.3">
      <c r="A360">
        <v>1.6666666670000001</v>
      </c>
      <c r="B360">
        <v>1</v>
      </c>
      <c r="C360">
        <v>10</v>
      </c>
      <c r="D360">
        <v>9.8000000000000007</v>
      </c>
      <c r="E360">
        <v>18.544428740000001</v>
      </c>
      <c r="F360">
        <v>0.54</v>
      </c>
      <c r="G360">
        <v>11.66</v>
      </c>
      <c r="H360">
        <v>2.5500000000000002E-3</v>
      </c>
      <c r="I360">
        <v>-8.8642962000000006E-2</v>
      </c>
      <c r="J360">
        <v>-7.7976560240416604E-2</v>
      </c>
      <c r="K360">
        <v>-0.21640238000000001</v>
      </c>
      <c r="L360">
        <v>-0.155837080894736</v>
      </c>
      <c r="M360">
        <v>-1.99135522931293E-2</v>
      </c>
      <c r="N360">
        <v>-0.107573535781333</v>
      </c>
      <c r="O360" s="12">
        <v>-3.1793223589443054</v>
      </c>
      <c r="P360" s="12">
        <v>-12.94944251056681</v>
      </c>
    </row>
    <row r="361" spans="1:16" x14ac:dyDescent="0.3">
      <c r="A361">
        <v>1</v>
      </c>
      <c r="B361">
        <v>6</v>
      </c>
      <c r="C361">
        <v>30</v>
      </c>
      <c r="D361">
        <v>18</v>
      </c>
      <c r="E361">
        <v>12.198607920000001</v>
      </c>
      <c r="F361">
        <v>7.6656000000000004</v>
      </c>
      <c r="G361">
        <v>7.67</v>
      </c>
      <c r="H361">
        <v>9.1083599999999994E-3</v>
      </c>
      <c r="I361">
        <v>0.71982506300000004</v>
      </c>
      <c r="J361">
        <v>0.76640743582367898</v>
      </c>
      <c r="K361">
        <v>0.95136374000000001</v>
      </c>
      <c r="L361">
        <v>0.94471934340527397</v>
      </c>
      <c r="M361">
        <v>0.86148739734625701</v>
      </c>
      <c r="N361">
        <v>0.80120565222946505</v>
      </c>
      <c r="O361" s="12">
        <v>-3.4486687954231643</v>
      </c>
      <c r="P361" s="12">
        <v>-9.7868015269665349</v>
      </c>
    </row>
    <row r="362" spans="1:16" x14ac:dyDescent="0.3">
      <c r="A362">
        <v>1.6666666670000001</v>
      </c>
      <c r="B362">
        <v>6</v>
      </c>
      <c r="C362">
        <v>10</v>
      </c>
      <c r="D362">
        <v>1.6</v>
      </c>
      <c r="E362">
        <v>0</v>
      </c>
      <c r="F362">
        <v>0.54</v>
      </c>
      <c r="G362">
        <v>0</v>
      </c>
      <c r="H362">
        <v>2.5500000000000002E-3</v>
      </c>
      <c r="I362">
        <v>19.93662346</v>
      </c>
      <c r="J362">
        <v>19.937615344509499</v>
      </c>
      <c r="K362">
        <v>20.026416999999999</v>
      </c>
      <c r="L362">
        <v>20.117456105073799</v>
      </c>
      <c r="M362">
        <v>19.870937725177502</v>
      </c>
      <c r="N362">
        <v>19.936623460000099</v>
      </c>
      <c r="O362" s="12">
        <v>10.6902476695355</v>
      </c>
      <c r="P362" s="12">
        <v>15.097513186955284</v>
      </c>
    </row>
    <row r="363" spans="1:16" x14ac:dyDescent="0.3">
      <c r="A363">
        <v>1</v>
      </c>
      <c r="B363">
        <v>6</v>
      </c>
      <c r="C363">
        <v>60</v>
      </c>
      <c r="D363">
        <v>18.8</v>
      </c>
      <c r="E363">
        <v>0</v>
      </c>
      <c r="F363">
        <v>7.9885999999999999</v>
      </c>
      <c r="G363">
        <v>0</v>
      </c>
      <c r="H363">
        <v>1.2535019999999999E-2</v>
      </c>
      <c r="I363">
        <v>5.3310038510000002</v>
      </c>
      <c r="J363">
        <v>5.3095660110726897</v>
      </c>
      <c r="K363">
        <v>5.6678715000000004</v>
      </c>
      <c r="L363">
        <v>6.0285625316526197</v>
      </c>
      <c r="M363">
        <v>5.2135132186586004</v>
      </c>
      <c r="N363">
        <v>5.2049139789410104</v>
      </c>
      <c r="O363" s="12">
        <v>16.99624249251994</v>
      </c>
      <c r="P363" s="12">
        <v>1.8467927770665824</v>
      </c>
    </row>
    <row r="364" spans="1:16" x14ac:dyDescent="0.3">
      <c r="A364">
        <v>1.6666666670000001</v>
      </c>
      <c r="B364">
        <v>4</v>
      </c>
      <c r="C364">
        <v>10</v>
      </c>
      <c r="D364">
        <v>9.6</v>
      </c>
      <c r="E364">
        <v>39.903920839999998</v>
      </c>
      <c r="F364">
        <v>0.54</v>
      </c>
      <c r="G364">
        <v>25.09</v>
      </c>
      <c r="H364">
        <v>2.5500000000000002E-3</v>
      </c>
      <c r="I364">
        <v>-2.4381319850000001</v>
      </c>
      <c r="J364">
        <v>-2.3994467136150401</v>
      </c>
      <c r="K364">
        <v>-2.2771949999999999</v>
      </c>
      <c r="L364">
        <v>-2.4033110468649701</v>
      </c>
      <c r="M364">
        <v>-2.3783275278021399</v>
      </c>
      <c r="N364">
        <v>-2.45216198725698</v>
      </c>
      <c r="O364" s="12">
        <v>0.475405174838615</v>
      </c>
      <c r="P364" s="12">
        <v>-1.7306505503825478</v>
      </c>
    </row>
    <row r="365" spans="1:16" x14ac:dyDescent="0.3">
      <c r="A365">
        <v>1.6666666670000001</v>
      </c>
      <c r="B365">
        <v>1</v>
      </c>
      <c r="C365">
        <v>10</v>
      </c>
      <c r="D365">
        <v>3.2</v>
      </c>
      <c r="E365">
        <v>2.94229787</v>
      </c>
      <c r="F365">
        <v>0.54</v>
      </c>
      <c r="G365">
        <v>1.85</v>
      </c>
      <c r="H365">
        <v>2.5500000000000002E-3</v>
      </c>
      <c r="I365">
        <v>4.8377576949999996</v>
      </c>
      <c r="J365">
        <v>4.8772618478198897</v>
      </c>
      <c r="K365">
        <v>4.8655375999999997</v>
      </c>
      <c r="L365">
        <v>5.1124930633663199</v>
      </c>
      <c r="M365">
        <v>4.8639947430260397</v>
      </c>
      <c r="N365">
        <v>4.8682460047209899</v>
      </c>
      <c r="O365" s="12">
        <v>8.0454784033853031</v>
      </c>
      <c r="P365" s="12">
        <v>8.2119867351535962</v>
      </c>
    </row>
    <row r="366" spans="1:16" x14ac:dyDescent="0.3">
      <c r="A366">
        <v>0.6</v>
      </c>
      <c r="B366">
        <v>1</v>
      </c>
      <c r="C366">
        <v>20</v>
      </c>
      <c r="D366">
        <v>6.9</v>
      </c>
      <c r="E366">
        <v>3.2603841259999999</v>
      </c>
      <c r="F366">
        <v>1.88</v>
      </c>
      <c r="G366">
        <v>2.0499999999999998</v>
      </c>
      <c r="H366">
        <v>6.9699999999999996E-3</v>
      </c>
      <c r="I366">
        <v>4.13333204</v>
      </c>
      <c r="J366">
        <v>4.19399505519418</v>
      </c>
      <c r="K366">
        <v>4.3264874999999998</v>
      </c>
      <c r="L366">
        <v>5.29458789116189</v>
      </c>
      <c r="M366">
        <v>4.3307427826991702</v>
      </c>
      <c r="N366">
        <v>4.2080062541182697</v>
      </c>
      <c r="O366" s="12">
        <v>9.4865684356976097</v>
      </c>
      <c r="P366" s="12">
        <v>8.6566613133049302</v>
      </c>
    </row>
    <row r="367" spans="1:16" x14ac:dyDescent="0.3">
      <c r="A367">
        <v>0.6</v>
      </c>
      <c r="B367">
        <v>4</v>
      </c>
      <c r="C367">
        <v>15</v>
      </c>
      <c r="D367">
        <v>13.3</v>
      </c>
      <c r="E367">
        <v>40.619614910000003</v>
      </c>
      <c r="F367">
        <v>1.41</v>
      </c>
      <c r="G367">
        <v>25.54</v>
      </c>
      <c r="H367">
        <v>5.7099999999999998E-3</v>
      </c>
      <c r="I367">
        <v>-2.9850478840000001</v>
      </c>
      <c r="J367">
        <v>-2.9511735835433002</v>
      </c>
      <c r="K367">
        <v>-2.7252649999999998</v>
      </c>
      <c r="L367">
        <v>-2.8102814671687302</v>
      </c>
      <c r="M367">
        <v>-2.8846096453477501</v>
      </c>
      <c r="N367">
        <v>-2.97298157142701</v>
      </c>
      <c r="O367" s="12">
        <v>-2.5049704045732275</v>
      </c>
      <c r="P367" s="12">
        <v>-2.3682077801233046</v>
      </c>
    </row>
    <row r="368" spans="1:16" x14ac:dyDescent="0.3">
      <c r="A368">
        <v>1</v>
      </c>
      <c r="B368">
        <v>2</v>
      </c>
      <c r="C368">
        <v>10</v>
      </c>
      <c r="D368">
        <v>3.6</v>
      </c>
      <c r="E368">
        <v>4.1510256429999997</v>
      </c>
      <c r="F368">
        <v>5.8784999999999998</v>
      </c>
      <c r="G368">
        <v>2.61</v>
      </c>
      <c r="H368">
        <v>5.5424999999999997E-3</v>
      </c>
      <c r="I368">
        <v>3.8023715629999999</v>
      </c>
      <c r="J368">
        <v>3.8110438517284</v>
      </c>
      <c r="K368">
        <v>4.0976499999999998</v>
      </c>
      <c r="L368">
        <v>4.1031554692909902</v>
      </c>
      <c r="M368">
        <v>3.88432824335989</v>
      </c>
      <c r="N368">
        <v>3.80837344718798</v>
      </c>
      <c r="O368" s="12">
        <v>8.4422473580549475</v>
      </c>
      <c r="P368" s="12">
        <v>5.89820135681388</v>
      </c>
    </row>
    <row r="369" spans="1:16" x14ac:dyDescent="0.3">
      <c r="A369">
        <v>1.6666666670000001</v>
      </c>
      <c r="B369">
        <v>2</v>
      </c>
      <c r="C369">
        <v>20</v>
      </c>
      <c r="D369">
        <v>11.5</v>
      </c>
      <c r="E369">
        <v>24.937962479999999</v>
      </c>
      <c r="F369">
        <v>1.08</v>
      </c>
      <c r="G369">
        <v>15.68</v>
      </c>
      <c r="H369">
        <v>4.8399999999999997E-3</v>
      </c>
      <c r="I369">
        <v>-1.713556079</v>
      </c>
      <c r="J369">
        <v>-1.7150958569705601</v>
      </c>
      <c r="K369">
        <v>-1.7968470999999999</v>
      </c>
      <c r="L369">
        <v>-1.5475582879733301</v>
      </c>
      <c r="M369">
        <v>-1.63504761599304</v>
      </c>
      <c r="N369">
        <v>-1.66385737787266</v>
      </c>
      <c r="O369" s="12">
        <v>3.085436182102105</v>
      </c>
      <c r="P369" s="12">
        <v>0.68698560822110011</v>
      </c>
    </row>
    <row r="370" spans="1:16" x14ac:dyDescent="0.3">
      <c r="A370">
        <v>1.6666666670000001</v>
      </c>
      <c r="B370">
        <v>1</v>
      </c>
      <c r="C370">
        <v>30</v>
      </c>
      <c r="D370">
        <v>3.3</v>
      </c>
      <c r="E370">
        <v>0.63617251200000002</v>
      </c>
      <c r="F370">
        <v>1.62</v>
      </c>
      <c r="G370">
        <v>0.4</v>
      </c>
      <c r="H370">
        <v>6.9100000000000003E-3</v>
      </c>
      <c r="I370">
        <v>42.122043920000003</v>
      </c>
      <c r="J370">
        <v>42.117398397911302</v>
      </c>
      <c r="K370">
        <v>41.880130000000001</v>
      </c>
      <c r="L370">
        <v>41.765241565431801</v>
      </c>
      <c r="M370">
        <v>42.041872152279403</v>
      </c>
      <c r="N370">
        <v>42.050411104660199</v>
      </c>
      <c r="O370" s="12">
        <v>24.960792991417669</v>
      </c>
      <c r="P370" s="12">
        <v>38.780169195285822</v>
      </c>
    </row>
    <row r="371" spans="1:16" x14ac:dyDescent="0.3">
      <c r="A371">
        <v>0.6</v>
      </c>
      <c r="B371">
        <v>6</v>
      </c>
      <c r="C371">
        <v>10</v>
      </c>
      <c r="D371">
        <v>1.6</v>
      </c>
      <c r="E371">
        <v>0</v>
      </c>
      <c r="F371">
        <v>0.94</v>
      </c>
      <c r="G371">
        <v>0</v>
      </c>
      <c r="H371">
        <v>4.00002E-3</v>
      </c>
      <c r="I371">
        <v>19.93662346</v>
      </c>
      <c r="J371">
        <v>19.949043681954599</v>
      </c>
      <c r="K371">
        <v>19.931626999999999</v>
      </c>
      <c r="L371">
        <v>20.2973522757685</v>
      </c>
      <c r="M371">
        <v>19.950727622361601</v>
      </c>
      <c r="N371">
        <v>19.936623460000099</v>
      </c>
      <c r="O371" s="12">
        <v>10.454122531190487</v>
      </c>
      <c r="P371" s="12">
        <v>18.038019988672584</v>
      </c>
    </row>
    <row r="372" spans="1:16" x14ac:dyDescent="0.3">
      <c r="A372">
        <v>1.6666666670000001</v>
      </c>
      <c r="B372">
        <v>1</v>
      </c>
      <c r="C372">
        <v>60</v>
      </c>
      <c r="D372">
        <v>27.6</v>
      </c>
      <c r="E372">
        <v>14.791010910000001</v>
      </c>
      <c r="F372">
        <v>3.24</v>
      </c>
      <c r="G372">
        <v>9.3000000000000007</v>
      </c>
      <c r="H372">
        <v>1.205E-2</v>
      </c>
      <c r="I372">
        <v>0.62162394300000001</v>
      </c>
      <c r="J372">
        <v>0.59854097498346703</v>
      </c>
      <c r="K372">
        <v>0.86739929999999998</v>
      </c>
      <c r="L372">
        <v>0.57536930309883005</v>
      </c>
      <c r="M372">
        <v>0.74483004614557502</v>
      </c>
      <c r="N372">
        <v>0.60993194252133098</v>
      </c>
      <c r="O372" s="12">
        <v>2.0158751572747251</v>
      </c>
      <c r="P372" s="12">
        <v>11.449313159626378</v>
      </c>
    </row>
    <row r="373" spans="1:16" x14ac:dyDescent="0.3">
      <c r="A373">
        <v>1</v>
      </c>
      <c r="B373">
        <v>2</v>
      </c>
      <c r="C373">
        <v>40</v>
      </c>
      <c r="D373">
        <v>20.5</v>
      </c>
      <c r="E373">
        <v>19.8644867</v>
      </c>
      <c r="F373">
        <v>7.9885999999999999</v>
      </c>
      <c r="G373">
        <v>12.49</v>
      </c>
      <c r="H373">
        <v>1.0389860000000001E-2</v>
      </c>
      <c r="I373">
        <v>-0.67517504399999995</v>
      </c>
      <c r="J373">
        <v>-0.67137162483935198</v>
      </c>
      <c r="K373">
        <v>-0.73534626000000003</v>
      </c>
      <c r="L373">
        <v>-0.61448479735571004</v>
      </c>
      <c r="M373">
        <v>-0.69054920436769995</v>
      </c>
      <c r="N373">
        <v>-0.64320714820333502</v>
      </c>
      <c r="O373" s="12">
        <v>0.84085377507468184</v>
      </c>
      <c r="P373" s="12">
        <v>-3.2478422378730443E-2</v>
      </c>
    </row>
    <row r="374" spans="1:16" x14ac:dyDescent="0.3">
      <c r="A374">
        <v>0.6</v>
      </c>
      <c r="B374">
        <v>4</v>
      </c>
      <c r="C374">
        <v>60</v>
      </c>
      <c r="D374">
        <v>32.299999999999997</v>
      </c>
      <c r="E374">
        <v>7.2523666410000001</v>
      </c>
      <c r="F374">
        <v>5.64</v>
      </c>
      <c r="G374">
        <v>4.5599999999999996</v>
      </c>
      <c r="H374">
        <v>1.379E-2</v>
      </c>
      <c r="I374">
        <v>1.4468384780000001</v>
      </c>
      <c r="J374">
        <v>1.45197741747471</v>
      </c>
      <c r="K374">
        <v>1.5447236</v>
      </c>
      <c r="L374">
        <v>1.7789105716315801</v>
      </c>
      <c r="M374">
        <v>1.43589003008183</v>
      </c>
      <c r="N374">
        <v>1.51293385478499</v>
      </c>
      <c r="O374" s="12">
        <v>-9.1840784922150362</v>
      </c>
      <c r="P374" s="12">
        <v>5.7466634144533231</v>
      </c>
    </row>
    <row r="375" spans="1:16" x14ac:dyDescent="0.3">
      <c r="A375">
        <v>1.6666666670000001</v>
      </c>
      <c r="B375">
        <v>6</v>
      </c>
      <c r="C375">
        <v>30</v>
      </c>
      <c r="D375">
        <v>13.2</v>
      </c>
      <c r="E375">
        <v>12.96201494</v>
      </c>
      <c r="F375">
        <v>1.62</v>
      </c>
      <c r="G375">
        <v>8.15</v>
      </c>
      <c r="H375">
        <v>6.9100200000000002E-3</v>
      </c>
      <c r="I375">
        <v>1.133444871</v>
      </c>
      <c r="J375">
        <v>1.10109688675909</v>
      </c>
      <c r="K375">
        <v>0.95328562999999999</v>
      </c>
      <c r="L375">
        <v>1.0042260536891801</v>
      </c>
      <c r="M375">
        <v>1.07186106570255</v>
      </c>
      <c r="N375">
        <v>1.0916252849829899</v>
      </c>
      <c r="O375" s="12">
        <v>6.1695425791100913</v>
      </c>
      <c r="P375" s="12">
        <v>2.0601005717097074</v>
      </c>
    </row>
    <row r="376" spans="1:16" x14ac:dyDescent="0.3">
      <c r="A376">
        <v>1</v>
      </c>
      <c r="B376">
        <v>6</v>
      </c>
      <c r="C376">
        <v>30</v>
      </c>
      <c r="D376">
        <v>10.8</v>
      </c>
      <c r="E376">
        <v>7.9362520920000001</v>
      </c>
      <c r="F376">
        <v>7.6656000000000004</v>
      </c>
      <c r="G376">
        <v>4.99</v>
      </c>
      <c r="H376">
        <v>9.1083599999999994E-3</v>
      </c>
      <c r="I376">
        <v>3.175457057</v>
      </c>
      <c r="J376">
        <v>3.1694751007319701</v>
      </c>
      <c r="K376">
        <v>3.2366842999999998</v>
      </c>
      <c r="L376">
        <v>3.2329175805926198</v>
      </c>
      <c r="M376">
        <v>3.1656922208704099</v>
      </c>
      <c r="N376">
        <v>3.21925210532179</v>
      </c>
      <c r="O376" s="12">
        <v>10.806705432370865</v>
      </c>
      <c r="P376" s="12">
        <v>8.8083878876396611</v>
      </c>
    </row>
    <row r="377" spans="1:16" x14ac:dyDescent="0.3">
      <c r="A377">
        <v>1.6666666670000001</v>
      </c>
      <c r="B377">
        <v>6</v>
      </c>
      <c r="C377">
        <v>10</v>
      </c>
      <c r="D377">
        <v>4.8</v>
      </c>
      <c r="E377">
        <v>9.9083868800000001</v>
      </c>
      <c r="F377">
        <v>0.54</v>
      </c>
      <c r="G377">
        <v>6.23</v>
      </c>
      <c r="H377">
        <v>2.5500000000000002E-3</v>
      </c>
      <c r="I377">
        <v>1.477300337</v>
      </c>
      <c r="J377">
        <v>1.4855517410753001</v>
      </c>
      <c r="K377">
        <v>1.4690992</v>
      </c>
      <c r="L377">
        <v>1.58337017792972</v>
      </c>
      <c r="M377">
        <v>1.43680485683427</v>
      </c>
      <c r="N377">
        <v>1.47978737078199</v>
      </c>
      <c r="O377" s="12">
        <v>5.6171893069219632</v>
      </c>
      <c r="P377" s="12">
        <v>4.4797884755077337</v>
      </c>
    </row>
    <row r="378" spans="1:16" x14ac:dyDescent="0.3">
      <c r="A378">
        <v>1</v>
      </c>
      <c r="B378">
        <v>6</v>
      </c>
      <c r="C378">
        <v>15</v>
      </c>
      <c r="D378">
        <v>2.5</v>
      </c>
      <c r="E378">
        <v>1.2723450249999999</v>
      </c>
      <c r="F378">
        <v>6.5609999999999999</v>
      </c>
      <c r="G378">
        <v>0.8</v>
      </c>
      <c r="H378">
        <v>6.6531000000000003E-3</v>
      </c>
      <c r="I378">
        <v>18.738408379999999</v>
      </c>
      <c r="J378">
        <v>18.732304637755298</v>
      </c>
      <c r="K378">
        <v>18.546323999999998</v>
      </c>
      <c r="L378">
        <v>16.9041564245967</v>
      </c>
      <c r="M378">
        <v>18.675673727994699</v>
      </c>
      <c r="N378">
        <v>18.6655028026079</v>
      </c>
      <c r="O378" s="12">
        <v>14.464181308454073</v>
      </c>
      <c r="P378" s="12">
        <v>23.378146374867011</v>
      </c>
    </row>
    <row r="379" spans="1:16" x14ac:dyDescent="0.3">
      <c r="A379">
        <v>1.6666666670000001</v>
      </c>
      <c r="B379">
        <v>2</v>
      </c>
      <c r="C379">
        <v>40</v>
      </c>
      <c r="D379">
        <v>26.8</v>
      </c>
      <c r="E379">
        <v>30.12276846</v>
      </c>
      <c r="F379">
        <v>2.16</v>
      </c>
      <c r="G379">
        <v>18.940000000000001</v>
      </c>
      <c r="H379">
        <v>8.7799999999999996E-3</v>
      </c>
      <c r="I379">
        <v>-2.363326056</v>
      </c>
      <c r="J379">
        <v>-2.3760417411534598</v>
      </c>
      <c r="K379">
        <v>-2.2351694000000002</v>
      </c>
      <c r="L379">
        <v>-2.3793652806270198</v>
      </c>
      <c r="M379">
        <v>-2.30241003538517</v>
      </c>
      <c r="N379">
        <v>-2.3865178016839899</v>
      </c>
      <c r="O379" s="12">
        <v>-10.6391251937715</v>
      </c>
      <c r="P379" s="12">
        <v>2.8984854095324231</v>
      </c>
    </row>
    <row r="380" spans="1:16" x14ac:dyDescent="0.3">
      <c r="A380">
        <v>1</v>
      </c>
      <c r="B380">
        <v>6</v>
      </c>
      <c r="C380">
        <v>20</v>
      </c>
      <c r="D380">
        <v>2.8</v>
      </c>
      <c r="E380">
        <v>1.145110522</v>
      </c>
      <c r="F380">
        <v>7.0444000000000004</v>
      </c>
      <c r="G380">
        <v>0.72</v>
      </c>
      <c r="H380">
        <v>7.5770400000000002E-3</v>
      </c>
      <c r="I380">
        <v>26.584568879999999</v>
      </c>
      <c r="J380">
        <v>26.573202851982401</v>
      </c>
      <c r="K380">
        <v>26.512989000000001</v>
      </c>
      <c r="L380">
        <v>26.262249190841999</v>
      </c>
      <c r="M380">
        <v>26.570258881988899</v>
      </c>
      <c r="N380">
        <v>26.550152488829799</v>
      </c>
      <c r="O380" s="12">
        <v>18.059287732605064</v>
      </c>
      <c r="P380" s="12">
        <v>30.141419114204048</v>
      </c>
    </row>
    <row r="381" spans="1:16" x14ac:dyDescent="0.3">
      <c r="A381">
        <v>1</v>
      </c>
      <c r="B381">
        <v>2</v>
      </c>
      <c r="C381">
        <v>10</v>
      </c>
      <c r="D381">
        <v>1.8</v>
      </c>
      <c r="E381">
        <v>0.77931132800000003</v>
      </c>
      <c r="F381">
        <v>5.8784999999999998</v>
      </c>
      <c r="G381">
        <v>0.49</v>
      </c>
      <c r="H381">
        <v>5.5424999999999997E-3</v>
      </c>
      <c r="I381">
        <v>16.120605699999999</v>
      </c>
      <c r="J381">
        <v>16.117526643109901</v>
      </c>
      <c r="K381">
        <v>16.188808000000002</v>
      </c>
      <c r="L381">
        <v>16.941609417578899</v>
      </c>
      <c r="M381">
        <v>16.0549904520072</v>
      </c>
      <c r="N381">
        <v>16.145588526079901</v>
      </c>
      <c r="O381" s="12">
        <v>11.642744522728224</v>
      </c>
      <c r="P381" s="12">
        <v>14.060600988605712</v>
      </c>
    </row>
    <row r="382" spans="1:16" x14ac:dyDescent="0.3">
      <c r="A382">
        <v>1.6666666670000001</v>
      </c>
      <c r="B382">
        <v>1</v>
      </c>
      <c r="C382">
        <v>30</v>
      </c>
      <c r="D382">
        <v>19.8</v>
      </c>
      <c r="E382">
        <v>25.16062286</v>
      </c>
      <c r="F382">
        <v>1.62</v>
      </c>
      <c r="G382">
        <v>15.82</v>
      </c>
      <c r="H382">
        <v>6.9100000000000003E-3</v>
      </c>
      <c r="I382">
        <v>-1.344951977</v>
      </c>
      <c r="J382">
        <v>-1.33586255174089</v>
      </c>
      <c r="K382">
        <v>-1.1969059</v>
      </c>
      <c r="L382">
        <v>-1.2918261655965599</v>
      </c>
      <c r="M382">
        <v>-1.4033171843550101</v>
      </c>
      <c r="N382">
        <v>-1.28416282235067</v>
      </c>
      <c r="O382" s="12">
        <v>-5.3827736757580693</v>
      </c>
      <c r="P382" s="12">
        <v>-4.3908404828869401</v>
      </c>
    </row>
    <row r="383" spans="1:16" x14ac:dyDescent="0.3">
      <c r="A383">
        <v>1.6666666670000001</v>
      </c>
      <c r="B383">
        <v>1</v>
      </c>
      <c r="C383">
        <v>60</v>
      </c>
      <c r="D383">
        <v>4.5999999999999996</v>
      </c>
      <c r="E383">
        <v>0</v>
      </c>
      <c r="F383">
        <v>3.24</v>
      </c>
      <c r="G383">
        <v>0</v>
      </c>
      <c r="H383">
        <v>1.205E-2</v>
      </c>
      <c r="I383">
        <v>86.831721079999994</v>
      </c>
      <c r="J383">
        <v>86.813767124724905</v>
      </c>
      <c r="K383">
        <v>86.67568</v>
      </c>
      <c r="L383">
        <v>86.507977339474394</v>
      </c>
      <c r="M383">
        <v>86.765579420566496</v>
      </c>
      <c r="N383">
        <v>86.831721080000705</v>
      </c>
      <c r="O383" s="12">
        <v>47.368722635169647</v>
      </c>
      <c r="P383" s="12">
        <v>58.820782442177567</v>
      </c>
    </row>
    <row r="384" spans="1:16" x14ac:dyDescent="0.3">
      <c r="A384">
        <v>0.6</v>
      </c>
      <c r="B384">
        <v>2</v>
      </c>
      <c r="C384">
        <v>60</v>
      </c>
      <c r="D384">
        <v>13.8</v>
      </c>
      <c r="E384">
        <v>4.0078868280000002</v>
      </c>
      <c r="F384">
        <v>5.64</v>
      </c>
      <c r="G384">
        <v>2.52</v>
      </c>
      <c r="H384">
        <v>1.379E-2</v>
      </c>
      <c r="I384">
        <v>9.1221484559999997</v>
      </c>
      <c r="J384">
        <v>9.1426249041094394</v>
      </c>
      <c r="K384">
        <v>9.0711580000000005</v>
      </c>
      <c r="L384">
        <v>8.9449044438521597</v>
      </c>
      <c r="M384">
        <v>9.1863617219929097</v>
      </c>
      <c r="N384">
        <v>9.0909631664614494</v>
      </c>
      <c r="O384" s="12">
        <v>28.7421694902708</v>
      </c>
      <c r="P384" s="12">
        <v>18.165554041202512</v>
      </c>
    </row>
    <row r="385" spans="1:16" x14ac:dyDescent="0.3">
      <c r="A385">
        <v>0.6</v>
      </c>
      <c r="B385">
        <v>4</v>
      </c>
      <c r="C385">
        <v>40</v>
      </c>
      <c r="D385">
        <v>19.5</v>
      </c>
      <c r="E385">
        <v>14.74329797</v>
      </c>
      <c r="F385">
        <v>3.76</v>
      </c>
      <c r="G385">
        <v>9.27</v>
      </c>
      <c r="H385">
        <v>9.2599999999999991E-3</v>
      </c>
      <c r="I385">
        <v>0.56373785899999995</v>
      </c>
      <c r="J385">
        <v>0.56596343310415698</v>
      </c>
      <c r="K385">
        <v>0.59370345000000002</v>
      </c>
      <c r="L385">
        <v>0.53075723607125402</v>
      </c>
      <c r="M385">
        <v>0.67260720108148997</v>
      </c>
      <c r="N385">
        <v>0.55334348727790506</v>
      </c>
      <c r="O385" s="12">
        <v>0.9701393201889541</v>
      </c>
      <c r="P385" s="12">
        <v>-4.9625581856432177</v>
      </c>
    </row>
    <row r="386" spans="1:16" x14ac:dyDescent="0.3">
      <c r="A386">
        <v>0.6</v>
      </c>
      <c r="B386">
        <v>2</v>
      </c>
      <c r="C386">
        <v>60</v>
      </c>
      <c r="D386">
        <v>23</v>
      </c>
      <c r="E386">
        <v>10.369611949999999</v>
      </c>
      <c r="F386">
        <v>5.64</v>
      </c>
      <c r="G386">
        <v>6.52</v>
      </c>
      <c r="H386">
        <v>1.379E-2</v>
      </c>
      <c r="I386">
        <v>2.206100927</v>
      </c>
      <c r="J386">
        <v>2.2438874697121198</v>
      </c>
      <c r="K386">
        <v>2.3531312999999998</v>
      </c>
      <c r="L386">
        <v>2.01514651478757</v>
      </c>
      <c r="M386">
        <v>2.2600025318688002</v>
      </c>
      <c r="N386">
        <v>2.22116039873986</v>
      </c>
      <c r="O386" s="12">
        <v>10.671193940255904</v>
      </c>
      <c r="P386" s="12">
        <v>5.398740755210369</v>
      </c>
    </row>
    <row r="387" spans="1:16" x14ac:dyDescent="0.3">
      <c r="A387">
        <v>1</v>
      </c>
      <c r="B387">
        <v>6</v>
      </c>
      <c r="C387">
        <v>10</v>
      </c>
      <c r="D387">
        <v>5.4</v>
      </c>
      <c r="E387">
        <v>12.75525887</v>
      </c>
      <c r="F387">
        <v>5.8784999999999998</v>
      </c>
      <c r="G387">
        <v>8.02</v>
      </c>
      <c r="H387">
        <v>5.5424999999999997E-3</v>
      </c>
      <c r="I387">
        <v>0.804081512</v>
      </c>
      <c r="J387">
        <v>0.79587495650863704</v>
      </c>
      <c r="K387">
        <v>1.0201442000000001</v>
      </c>
      <c r="L387">
        <v>0.85026202315104404</v>
      </c>
      <c r="M387">
        <v>0.79566798795988203</v>
      </c>
      <c r="N387">
        <v>0.79820485234966998</v>
      </c>
      <c r="O387" s="12">
        <v>5.8991719722368918</v>
      </c>
      <c r="P387" s="12">
        <v>5.6257067736904904</v>
      </c>
    </row>
    <row r="388" spans="1:16" x14ac:dyDescent="0.3">
      <c r="A388">
        <v>0.6</v>
      </c>
      <c r="B388">
        <v>4</v>
      </c>
      <c r="C388">
        <v>30</v>
      </c>
      <c r="D388">
        <v>6.6</v>
      </c>
      <c r="E388">
        <v>4.4213989610000004</v>
      </c>
      <c r="F388">
        <v>2.82</v>
      </c>
      <c r="G388">
        <v>2.78</v>
      </c>
      <c r="H388">
        <v>9.2599999999999991E-3</v>
      </c>
      <c r="I388">
        <v>9.8455736080000005</v>
      </c>
      <c r="J388">
        <v>9.8496369627741505</v>
      </c>
      <c r="K388">
        <v>9.7094419999999992</v>
      </c>
      <c r="L388">
        <v>9.5650168012686603</v>
      </c>
      <c r="M388">
        <v>9.8827614449571595</v>
      </c>
      <c r="N388">
        <v>9.8323960974732092</v>
      </c>
      <c r="O388" s="12">
        <v>18.965922383411566</v>
      </c>
      <c r="P388" s="12">
        <v>18.819411812538853</v>
      </c>
    </row>
    <row r="389" spans="1:16" x14ac:dyDescent="0.3">
      <c r="A389">
        <v>1</v>
      </c>
      <c r="B389">
        <v>2</v>
      </c>
      <c r="C389">
        <v>15</v>
      </c>
      <c r="D389">
        <v>5</v>
      </c>
      <c r="E389">
        <v>6.6002898160000001</v>
      </c>
      <c r="F389">
        <v>6.5609999999999999</v>
      </c>
      <c r="G389">
        <v>4.1500000000000004</v>
      </c>
      <c r="H389">
        <v>6.6530799999999996E-3</v>
      </c>
      <c r="I389">
        <v>4.0142309919999999</v>
      </c>
      <c r="J389">
        <v>3.9977554296739699</v>
      </c>
      <c r="K389">
        <v>3.8298473</v>
      </c>
      <c r="L389">
        <v>3.8606216218293099</v>
      </c>
      <c r="M389">
        <v>3.98285013595429</v>
      </c>
      <c r="N389">
        <v>3.9742556871988102</v>
      </c>
      <c r="O389" s="12">
        <v>10.28765597998439</v>
      </c>
      <c r="P389" s="12">
        <v>10.750121679963293</v>
      </c>
    </row>
    <row r="390" spans="1:16" x14ac:dyDescent="0.3">
      <c r="A390">
        <v>0.6</v>
      </c>
      <c r="B390">
        <v>1</v>
      </c>
      <c r="C390">
        <v>30</v>
      </c>
      <c r="D390">
        <v>13.2</v>
      </c>
      <c r="E390">
        <v>8.4133814759999996</v>
      </c>
      <c r="F390">
        <v>2.82</v>
      </c>
      <c r="G390">
        <v>5.29</v>
      </c>
      <c r="H390">
        <v>9.2599999999999991E-3</v>
      </c>
      <c r="I390">
        <v>2.003110081</v>
      </c>
      <c r="J390">
        <v>1.9598083628733101</v>
      </c>
      <c r="K390">
        <v>1.8680749000000001</v>
      </c>
      <c r="L390">
        <v>2.17299156033449</v>
      </c>
      <c r="M390">
        <v>1.95756241696099</v>
      </c>
      <c r="N390">
        <v>1.9761721462112101</v>
      </c>
      <c r="O390" s="12">
        <v>6.0371094652003912</v>
      </c>
      <c r="P390" s="12">
        <v>-1.3628884478537771</v>
      </c>
    </row>
    <row r="391" spans="1:16" x14ac:dyDescent="0.3">
      <c r="A391">
        <v>1</v>
      </c>
      <c r="B391">
        <v>2</v>
      </c>
      <c r="C391">
        <v>40</v>
      </c>
      <c r="D391">
        <v>16.399999999999999</v>
      </c>
      <c r="E391">
        <v>12.230416549999999</v>
      </c>
      <c r="F391">
        <v>7.9885999999999999</v>
      </c>
      <c r="G391">
        <v>7.69</v>
      </c>
      <c r="H391">
        <v>1.0389860000000001E-2</v>
      </c>
      <c r="I391">
        <v>1.5333559450000001</v>
      </c>
      <c r="J391">
        <v>1.5069001245348199</v>
      </c>
      <c r="K391">
        <v>1.003182</v>
      </c>
      <c r="L391">
        <v>1.36885839110622</v>
      </c>
      <c r="M391">
        <v>1.5672560383984</v>
      </c>
      <c r="N391">
        <v>1.4791803986295</v>
      </c>
      <c r="O391" s="12">
        <v>8.1381141793691558</v>
      </c>
      <c r="P391" s="12">
        <v>1.8791621832376819</v>
      </c>
    </row>
    <row r="392" spans="1:16" x14ac:dyDescent="0.3">
      <c r="A392">
        <v>1.6666666670000001</v>
      </c>
      <c r="B392">
        <v>6</v>
      </c>
      <c r="C392">
        <v>60</v>
      </c>
      <c r="D392">
        <v>9.1999999999999993</v>
      </c>
      <c r="E392">
        <v>0</v>
      </c>
      <c r="F392">
        <v>3.24</v>
      </c>
      <c r="G392">
        <v>0</v>
      </c>
      <c r="H392">
        <v>1.204998E-2</v>
      </c>
      <c r="I392">
        <v>21.707930269999999</v>
      </c>
      <c r="J392">
        <v>21.726053755084099</v>
      </c>
      <c r="K392">
        <v>22.4236</v>
      </c>
      <c r="L392">
        <v>21.6213525448001</v>
      </c>
      <c r="M392">
        <v>21.751088116034101</v>
      </c>
      <c r="N392">
        <v>21.6914547584411</v>
      </c>
      <c r="O392" s="12">
        <v>37.623304451164763</v>
      </c>
      <c r="P392" s="12">
        <v>34.628244342475028</v>
      </c>
    </row>
    <row r="393" spans="1:16" x14ac:dyDescent="0.3">
      <c r="A393">
        <v>1.6666666670000001</v>
      </c>
      <c r="B393">
        <v>4</v>
      </c>
      <c r="C393">
        <v>15</v>
      </c>
      <c r="D393">
        <v>9.5</v>
      </c>
      <c r="E393">
        <v>29.645639079999999</v>
      </c>
      <c r="F393">
        <v>0.81</v>
      </c>
      <c r="G393">
        <v>18.64</v>
      </c>
      <c r="H393">
        <v>3.7299999999999998E-3</v>
      </c>
      <c r="I393">
        <v>-2.5217822879999998</v>
      </c>
      <c r="J393">
        <v>-2.5093541431297099</v>
      </c>
      <c r="K393">
        <v>-1.8963857</v>
      </c>
      <c r="L393">
        <v>-2.3147693812024799</v>
      </c>
      <c r="M393">
        <v>-2.4174029784923698</v>
      </c>
      <c r="N393">
        <v>-2.49600556683033</v>
      </c>
      <c r="O393" s="12">
        <v>3.5038892511514588</v>
      </c>
      <c r="P393" s="12">
        <v>1.9666267101813579</v>
      </c>
    </row>
    <row r="394" spans="1:16" x14ac:dyDescent="0.3">
      <c r="A394">
        <v>1</v>
      </c>
      <c r="B394">
        <v>4</v>
      </c>
      <c r="C394">
        <v>40</v>
      </c>
      <c r="D394">
        <v>20.5</v>
      </c>
      <c r="E394">
        <v>11.75328717</v>
      </c>
      <c r="F394">
        <v>7.9885999999999999</v>
      </c>
      <c r="G394">
        <v>7.39</v>
      </c>
      <c r="H394">
        <v>1.0389880000000001E-2</v>
      </c>
      <c r="I394">
        <v>1.0587151379999999</v>
      </c>
      <c r="J394">
        <v>1.0826136056553199</v>
      </c>
      <c r="K394">
        <v>1.0983547</v>
      </c>
      <c r="L394">
        <v>1.1747200500974699</v>
      </c>
      <c r="M394">
        <v>1.0119500098463201</v>
      </c>
      <c r="N394">
        <v>1.0555836937499701</v>
      </c>
      <c r="O394" s="12">
        <v>-0.52060786543635107</v>
      </c>
      <c r="P394" s="12">
        <v>-8.3987807442804154</v>
      </c>
    </row>
    <row r="395" spans="1:16" x14ac:dyDescent="0.3">
      <c r="A395">
        <v>0.6</v>
      </c>
      <c r="B395">
        <v>2</v>
      </c>
      <c r="C395">
        <v>40</v>
      </c>
      <c r="D395">
        <v>11.7</v>
      </c>
      <c r="E395">
        <v>5.1211887239999996</v>
      </c>
      <c r="F395">
        <v>3.76</v>
      </c>
      <c r="G395">
        <v>3.22</v>
      </c>
      <c r="H395">
        <v>9.2599999999999991E-3</v>
      </c>
      <c r="I395">
        <v>5.4345776299999997</v>
      </c>
      <c r="J395">
        <v>5.4450631262939</v>
      </c>
      <c r="K395">
        <v>5.3528323000000002</v>
      </c>
      <c r="L395">
        <v>5.2416590178776099</v>
      </c>
      <c r="M395">
        <v>5.4516249172903501</v>
      </c>
      <c r="N395">
        <v>5.3949952167290203</v>
      </c>
      <c r="O395" s="12">
        <v>15.708457292789038</v>
      </c>
      <c r="P395" s="12">
        <v>9.9481183255047156</v>
      </c>
    </row>
    <row r="396" spans="1:16" x14ac:dyDescent="0.3">
      <c r="A396">
        <v>1</v>
      </c>
      <c r="B396">
        <v>6</v>
      </c>
      <c r="C396">
        <v>60</v>
      </c>
      <c r="D396">
        <v>33.299999999999997</v>
      </c>
      <c r="E396">
        <v>0</v>
      </c>
      <c r="F396">
        <v>7.9885999999999999</v>
      </c>
      <c r="G396">
        <v>0</v>
      </c>
      <c r="H396">
        <v>1.2535019999999999E-2</v>
      </c>
      <c r="I396">
        <v>1.699167637</v>
      </c>
      <c r="J396">
        <v>1.7083169054049501</v>
      </c>
      <c r="K396">
        <v>2.3716092</v>
      </c>
      <c r="L396">
        <v>4.2436931063642298</v>
      </c>
      <c r="M396">
        <v>1.74819987841383</v>
      </c>
      <c r="N396">
        <v>2.0601181381939901</v>
      </c>
      <c r="O396" s="12">
        <v>-13.064953285544155</v>
      </c>
      <c r="P396" s="12">
        <v>2.9922470180996896</v>
      </c>
    </row>
    <row r="397" spans="1:16" x14ac:dyDescent="0.3">
      <c r="A397">
        <v>0.6</v>
      </c>
      <c r="B397">
        <v>4</v>
      </c>
      <c r="C397">
        <v>10</v>
      </c>
      <c r="D397">
        <v>11.45</v>
      </c>
      <c r="E397">
        <v>46.233837340000001</v>
      </c>
      <c r="F397">
        <v>0.94</v>
      </c>
      <c r="G397">
        <v>29.07</v>
      </c>
      <c r="H397">
        <v>4.0000000000000001E-3</v>
      </c>
      <c r="I397">
        <v>-2.4340957919999999</v>
      </c>
      <c r="J397">
        <v>-2.4438579234738702</v>
      </c>
      <c r="K397">
        <v>-2.7062168</v>
      </c>
      <c r="L397">
        <v>-2.7418297229583701</v>
      </c>
      <c r="M397">
        <v>-2.4563255465881402</v>
      </c>
      <c r="N397">
        <v>-2.3549618503689902</v>
      </c>
      <c r="O397" s="12">
        <v>-2.5988053590715579</v>
      </c>
      <c r="P397" s="12">
        <v>-2.7542825259502735</v>
      </c>
    </row>
    <row r="398" spans="1:16" x14ac:dyDescent="0.3">
      <c r="A398">
        <v>1.6666666670000001</v>
      </c>
      <c r="B398">
        <v>4</v>
      </c>
      <c r="C398">
        <v>10</v>
      </c>
      <c r="D398">
        <v>9.8000000000000007</v>
      </c>
      <c r="E398">
        <v>40.937701169999997</v>
      </c>
      <c r="F398">
        <v>0.54</v>
      </c>
      <c r="G398">
        <v>25.74</v>
      </c>
      <c r="H398">
        <v>2.5500000000000002E-3</v>
      </c>
      <c r="I398">
        <v>-2.4903180530000002</v>
      </c>
      <c r="J398">
        <v>-2.50422017760302</v>
      </c>
      <c r="K398">
        <v>-2.3987455</v>
      </c>
      <c r="L398">
        <v>-2.52860598971664</v>
      </c>
      <c r="M398">
        <v>-2.4629271821796599</v>
      </c>
      <c r="N398">
        <v>-2.4704708347269899</v>
      </c>
      <c r="O398" s="12">
        <v>0.22364740846335529</v>
      </c>
      <c r="P398" s="12">
        <v>-1.9750697505892689</v>
      </c>
    </row>
    <row r="399" spans="1:16" x14ac:dyDescent="0.3">
      <c r="A399">
        <v>0.6</v>
      </c>
      <c r="B399">
        <v>4</v>
      </c>
      <c r="C399">
        <v>20</v>
      </c>
      <c r="D399">
        <v>4.5999999999999996</v>
      </c>
      <c r="E399">
        <v>3.5466617560000002</v>
      </c>
      <c r="F399">
        <v>1.88</v>
      </c>
      <c r="G399">
        <v>2.23</v>
      </c>
      <c r="H399">
        <v>6.9699999999999996E-3</v>
      </c>
      <c r="I399">
        <v>9.2362070680000006</v>
      </c>
      <c r="J399">
        <v>9.2002065239089301</v>
      </c>
      <c r="K399">
        <v>9.1130980000000008</v>
      </c>
      <c r="L399">
        <v>9.01410294838632</v>
      </c>
      <c r="M399">
        <v>9.2683403317276607</v>
      </c>
      <c r="N399">
        <v>9.2311303925389492</v>
      </c>
      <c r="O399" s="12">
        <v>14.174752119575249</v>
      </c>
      <c r="P399" s="12">
        <v>16.711332444464517</v>
      </c>
    </row>
    <row r="400" spans="1:16" x14ac:dyDescent="0.3">
      <c r="A400">
        <v>0.6</v>
      </c>
      <c r="B400">
        <v>6</v>
      </c>
      <c r="C400">
        <v>30</v>
      </c>
      <c r="D400">
        <v>6.6</v>
      </c>
      <c r="E400">
        <v>2.6719245520000001</v>
      </c>
      <c r="F400">
        <v>2.82</v>
      </c>
      <c r="G400">
        <v>1.68</v>
      </c>
      <c r="H400">
        <v>9.2599799999999993E-3</v>
      </c>
      <c r="I400">
        <v>10.289564779999999</v>
      </c>
      <c r="J400">
        <v>10.3118756682331</v>
      </c>
      <c r="K400">
        <v>10.4459915</v>
      </c>
      <c r="L400">
        <v>10.3078334030828</v>
      </c>
      <c r="M400">
        <v>10.2039689739954</v>
      </c>
      <c r="N400">
        <v>10.274233021362701</v>
      </c>
      <c r="O400" s="12">
        <v>18.606766312729796</v>
      </c>
      <c r="P400" s="12">
        <v>21.434448096484822</v>
      </c>
    </row>
    <row r="401" spans="1:16" x14ac:dyDescent="0.3">
      <c r="A401">
        <v>1.6666666670000001</v>
      </c>
      <c r="B401">
        <v>4</v>
      </c>
      <c r="C401">
        <v>30</v>
      </c>
      <c r="D401">
        <v>16.5</v>
      </c>
      <c r="E401">
        <v>21.18454466</v>
      </c>
      <c r="F401">
        <v>1.62</v>
      </c>
      <c r="G401">
        <v>13.32</v>
      </c>
      <c r="H401">
        <v>6.9100000000000003E-3</v>
      </c>
      <c r="I401">
        <v>-0.88186719999999996</v>
      </c>
      <c r="J401">
        <v>-0.86343078328612799</v>
      </c>
      <c r="K401">
        <v>-1.3681384000000001</v>
      </c>
      <c r="L401">
        <v>-0.80907445340526596</v>
      </c>
      <c r="M401">
        <v>-0.91402106534641803</v>
      </c>
      <c r="N401">
        <v>-0.87919114974899804</v>
      </c>
      <c r="O401" s="12">
        <v>0.70703155808141993</v>
      </c>
      <c r="P401" s="12">
        <v>-5.3249898105246096</v>
      </c>
    </row>
    <row r="402" spans="1:16" x14ac:dyDescent="0.3">
      <c r="A402">
        <v>1</v>
      </c>
      <c r="B402">
        <v>2</v>
      </c>
      <c r="C402">
        <v>10</v>
      </c>
      <c r="D402">
        <v>10.8</v>
      </c>
      <c r="E402">
        <v>50.257628480000001</v>
      </c>
      <c r="F402">
        <v>5.8784999999999998</v>
      </c>
      <c r="G402">
        <v>31.6</v>
      </c>
      <c r="H402">
        <v>5.5424999999999997E-3</v>
      </c>
      <c r="I402">
        <v>-3.3967507440000002</v>
      </c>
      <c r="J402">
        <v>-3.38105788989657</v>
      </c>
      <c r="K402">
        <v>-3.0947070000000001</v>
      </c>
      <c r="L402">
        <v>-3.2438045761939298</v>
      </c>
      <c r="M402">
        <v>-3.3029086569780999</v>
      </c>
      <c r="N402">
        <v>-3.33704634317301</v>
      </c>
      <c r="O402" s="12">
        <v>0.77973077152091319</v>
      </c>
      <c r="P402" s="12">
        <v>2.8585500250009321</v>
      </c>
    </row>
    <row r="403" spans="1:16" x14ac:dyDescent="0.3">
      <c r="A403">
        <v>1</v>
      </c>
      <c r="B403">
        <v>4</v>
      </c>
      <c r="C403">
        <v>30</v>
      </c>
      <c r="D403">
        <v>7.2</v>
      </c>
      <c r="E403">
        <v>3.9919825150000001</v>
      </c>
      <c r="F403">
        <v>7.6656000000000004</v>
      </c>
      <c r="G403">
        <v>2.5099999999999998</v>
      </c>
      <c r="H403">
        <v>9.1083599999999994E-3</v>
      </c>
      <c r="I403">
        <v>8.5952633420000009</v>
      </c>
      <c r="J403">
        <v>8.6665441798405904</v>
      </c>
      <c r="K403">
        <v>8.8141780000000001</v>
      </c>
      <c r="L403">
        <v>8.6208546716888801</v>
      </c>
      <c r="M403">
        <v>8.5802440220904206</v>
      </c>
      <c r="N403">
        <v>8.5777128863820806</v>
      </c>
      <c r="O403" s="12">
        <v>17.732226434194136</v>
      </c>
      <c r="P403" s="12">
        <v>17.450271242770462</v>
      </c>
    </row>
    <row r="404" spans="1:16" ht="15" thickBot="1" x14ac:dyDescent="0.35">
      <c r="A404">
        <v>0.6</v>
      </c>
      <c r="B404">
        <v>4</v>
      </c>
      <c r="C404">
        <v>30</v>
      </c>
      <c r="D404">
        <v>16.5</v>
      </c>
      <c r="E404">
        <v>18.65575892</v>
      </c>
      <c r="F404">
        <v>2.82</v>
      </c>
      <c r="G404">
        <v>11.73</v>
      </c>
      <c r="H404">
        <v>9.2599999999999991E-3</v>
      </c>
      <c r="I404">
        <v>-0.30513842099999999</v>
      </c>
      <c r="J404">
        <v>-0.31516175069608399</v>
      </c>
      <c r="K404">
        <v>-0.31169963000000001</v>
      </c>
      <c r="L404">
        <v>-0.323496083531228</v>
      </c>
      <c r="M404">
        <v>-0.394736632794844</v>
      </c>
      <c r="N404">
        <v>-0.30296143930199898</v>
      </c>
      <c r="O404" s="13">
        <v>0.68410609958049662</v>
      </c>
      <c r="P404" s="13">
        <v>-7.3239854059119693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B87C-F9EF-44DC-AA1D-E51EFB5CF28B}">
  <sheetPr codeName="XLSTAT_20250614_143753_1_HID">
    <tabColor rgb="FF007800"/>
  </sheetPr>
  <dimension ref="A1:H70"/>
  <sheetViews>
    <sheetView workbookViewId="0">
      <selection activeCell="E1" sqref="E1"/>
    </sheetView>
  </sheetViews>
  <sheetFormatPr defaultRowHeight="14.4" x14ac:dyDescent="0.3"/>
  <sheetData>
    <row r="1" spans="1:8" x14ac:dyDescent="0.3">
      <c r="A1">
        <v>1</v>
      </c>
      <c r="C1">
        <f t="shared" ref="C1:C32" si="0">-18.6173606340152+(A1-1)*1.09362069269882</f>
        <v>-18.617360634015199</v>
      </c>
      <c r="D1">
        <f t="shared" ref="D1:D32" si="1">0+1*C1-21.2213750247559*(1.00248138957816+(C1-7.95640169070967)^2/69098.1854043233)^0.5</f>
        <v>-39.973078047951006</v>
      </c>
      <c r="E1">
        <v>1</v>
      </c>
      <c r="G1">
        <f t="shared" ref="G1:G32" si="2">-19.2953212253174+(E1-1)*1.1034462085148</f>
        <v>-19.295321225317402</v>
      </c>
      <c r="H1">
        <f t="shared" ref="H1:H32" si="3">0+1*G1+21.2213750247559*(1.00248138957816+(G1-7.95640169070967)^2/69098.1854043233)^0.5</f>
        <v>2.065963839968969</v>
      </c>
    </row>
    <row r="2" spans="1:8" x14ac:dyDescent="0.3">
      <c r="A2">
        <v>2</v>
      </c>
      <c r="C2">
        <f t="shared" si="0"/>
        <v>-17.523739941316379</v>
      </c>
      <c r="D2">
        <f t="shared" si="1"/>
        <v>-38.870768859022249</v>
      </c>
      <c r="E2">
        <v>2</v>
      </c>
      <c r="G2">
        <f t="shared" si="2"/>
        <v>-18.191875016802602</v>
      </c>
      <c r="H2">
        <f t="shared" si="3"/>
        <v>3.1604190721501944</v>
      </c>
    </row>
    <row r="3" spans="1:8" x14ac:dyDescent="0.3">
      <c r="A3">
        <v>3</v>
      </c>
      <c r="C3">
        <f t="shared" si="0"/>
        <v>-16.430119248617558</v>
      </c>
      <c r="D3">
        <f t="shared" si="1"/>
        <v>-37.768821432229757</v>
      </c>
      <c r="E3">
        <v>3</v>
      </c>
      <c r="G3">
        <f t="shared" si="2"/>
        <v>-17.088428808287802</v>
      </c>
      <c r="H3">
        <f t="shared" si="3"/>
        <v>4.2552423236920234</v>
      </c>
    </row>
    <row r="4" spans="1:8" x14ac:dyDescent="0.3">
      <c r="A4">
        <v>4</v>
      </c>
      <c r="C4">
        <f t="shared" si="0"/>
        <v>-15.336498555918739</v>
      </c>
      <c r="D4">
        <f t="shared" si="1"/>
        <v>-36.667236191229364</v>
      </c>
      <c r="E4">
        <v>4</v>
      </c>
      <c r="G4">
        <f t="shared" si="2"/>
        <v>-15.984982599773002</v>
      </c>
      <c r="H4">
        <f t="shared" si="3"/>
        <v>5.3504340408123845</v>
      </c>
    </row>
    <row r="5" spans="1:8" x14ac:dyDescent="0.3">
      <c r="A5">
        <v>5</v>
      </c>
      <c r="C5">
        <f t="shared" si="0"/>
        <v>-14.24287786321992</v>
      </c>
      <c r="D5">
        <f t="shared" si="1"/>
        <v>-35.566013541868443</v>
      </c>
      <c r="E5">
        <v>5</v>
      </c>
      <c r="G5">
        <f t="shared" si="2"/>
        <v>-14.881536391258201</v>
      </c>
      <c r="H5">
        <f t="shared" si="3"/>
        <v>6.4459946513380046</v>
      </c>
    </row>
    <row r="6" spans="1:8" x14ac:dyDescent="0.3">
      <c r="A6">
        <v>6</v>
      </c>
      <c r="C6">
        <f t="shared" si="0"/>
        <v>-13.1492571705211</v>
      </c>
      <c r="D6">
        <f t="shared" si="1"/>
        <v>-34.465153872083661</v>
      </c>
      <c r="E6">
        <v>6</v>
      </c>
      <c r="G6">
        <f t="shared" si="2"/>
        <v>-13.778090182743401</v>
      </c>
      <c r="H6">
        <f t="shared" si="3"/>
        <v>7.5419245645948507</v>
      </c>
    </row>
    <row r="7" spans="1:8" x14ac:dyDescent="0.3">
      <c r="A7">
        <v>7</v>
      </c>
      <c r="C7">
        <f t="shared" si="0"/>
        <v>-12.055636477822279</v>
      </c>
      <c r="D7">
        <f t="shared" si="1"/>
        <v>-33.364657551802971</v>
      </c>
      <c r="E7">
        <v>7</v>
      </c>
      <c r="G7">
        <f t="shared" si="2"/>
        <v>-12.674643974228601</v>
      </c>
      <c r="H7">
        <f t="shared" si="3"/>
        <v>8.6382241713029764</v>
      </c>
    </row>
    <row r="8" spans="1:8" x14ac:dyDescent="0.3">
      <c r="A8">
        <v>8</v>
      </c>
      <c r="C8">
        <f t="shared" si="0"/>
        <v>-10.962015785123459</v>
      </c>
      <c r="D8">
        <f t="shared" si="1"/>
        <v>-32.264524932851955</v>
      </c>
      <c r="E8">
        <v>8</v>
      </c>
      <c r="G8">
        <f t="shared" si="2"/>
        <v>-11.571197765713801</v>
      </c>
      <c r="H8">
        <f t="shared" si="3"/>
        <v>9.7348938434759802</v>
      </c>
    </row>
    <row r="9" spans="1:8" x14ac:dyDescent="0.3">
      <c r="A9">
        <v>9</v>
      </c>
      <c r="C9">
        <f t="shared" si="0"/>
        <v>-9.86839509242464</v>
      </c>
      <c r="D9">
        <f t="shared" si="1"/>
        <v>-31.16475634886455</v>
      </c>
      <c r="E9">
        <v>9</v>
      </c>
      <c r="G9">
        <f t="shared" si="2"/>
        <v>-10.467751557199001</v>
      </c>
      <c r="H9">
        <f t="shared" si="3"/>
        <v>10.831933934325004</v>
      </c>
    </row>
    <row r="10" spans="1:8" x14ac:dyDescent="0.3">
      <c r="A10">
        <v>10</v>
      </c>
      <c r="C10">
        <f t="shared" si="0"/>
        <v>-8.7747743997258194</v>
      </c>
      <c r="D10">
        <f t="shared" si="1"/>
        <v>-30.065352115198195</v>
      </c>
      <c r="E10">
        <v>10</v>
      </c>
      <c r="G10">
        <f t="shared" si="2"/>
        <v>-9.3643053486842014</v>
      </c>
      <c r="H10">
        <f t="shared" si="3"/>
        <v>11.929344778167408</v>
      </c>
    </row>
    <row r="11" spans="1:8" x14ac:dyDescent="0.3">
      <c r="A11">
        <v>11</v>
      </c>
      <c r="C11">
        <f t="shared" si="0"/>
        <v>-7.6811537070270006</v>
      </c>
      <c r="D11">
        <f t="shared" si="1"/>
        <v>-28.966312528853503</v>
      </c>
      <c r="E11">
        <v>11</v>
      </c>
      <c r="G11">
        <f t="shared" si="2"/>
        <v>-8.2608591401694014</v>
      </c>
      <c r="H11">
        <f t="shared" si="3"/>
        <v>13.027126690340147</v>
      </c>
    </row>
    <row r="12" spans="1:8" x14ac:dyDescent="0.3">
      <c r="A12">
        <v>12</v>
      </c>
      <c r="C12">
        <f t="shared" si="0"/>
        <v>-6.5875330143281801</v>
      </c>
      <c r="D12">
        <f t="shared" si="1"/>
        <v>-27.867637868398425</v>
      </c>
      <c r="E12">
        <v>12</v>
      </c>
      <c r="G12">
        <f t="shared" si="2"/>
        <v>-7.1574129316546014</v>
      </c>
      <c r="H12">
        <f t="shared" si="3"/>
        <v>14.125279967117905</v>
      </c>
    </row>
    <row r="13" spans="1:8" x14ac:dyDescent="0.3">
      <c r="A13">
        <v>13</v>
      </c>
      <c r="C13">
        <f t="shared" si="0"/>
        <v>-5.4939123216293595</v>
      </c>
      <c r="D13">
        <f t="shared" si="1"/>
        <v>-26.769328393897016</v>
      </c>
      <c r="E13">
        <v>13</v>
      </c>
      <c r="G13">
        <f t="shared" si="2"/>
        <v>-6.0539667231398013</v>
      </c>
      <c r="H13">
        <f t="shared" si="3"/>
        <v>15.223804885636017</v>
      </c>
    </row>
    <row r="14" spans="1:8" x14ac:dyDescent="0.3">
      <c r="A14">
        <v>14</v>
      </c>
      <c r="C14">
        <f t="shared" si="0"/>
        <v>-4.4002916289305407</v>
      </c>
      <c r="D14">
        <f t="shared" si="1"/>
        <v>-25.671384346842828</v>
      </c>
      <c r="E14">
        <v>14</v>
      </c>
      <c r="G14">
        <f t="shared" si="2"/>
        <v>-4.9505205146250013</v>
      </c>
      <c r="H14">
        <f t="shared" si="3"/>
        <v>16.322701703818293</v>
      </c>
    </row>
    <row r="15" spans="1:8" x14ac:dyDescent="0.3">
      <c r="A15">
        <v>15</v>
      </c>
      <c r="C15">
        <f t="shared" si="0"/>
        <v>-3.3066709362317201</v>
      </c>
      <c r="D15">
        <f t="shared" si="1"/>
        <v>-24.573805950096961</v>
      </c>
      <c r="E15">
        <v>15</v>
      </c>
      <c r="G15">
        <f t="shared" si="2"/>
        <v>-3.8470743061102013</v>
      </c>
      <c r="H15">
        <f t="shared" si="3"/>
        <v>17.421970660309682</v>
      </c>
    </row>
    <row r="16" spans="1:8" x14ac:dyDescent="0.3">
      <c r="A16">
        <v>16</v>
      </c>
      <c r="C16">
        <f t="shared" si="0"/>
        <v>-2.2130502435329014</v>
      </c>
      <c r="D16">
        <f t="shared" si="1"/>
        <v>-23.476593407830816</v>
      </c>
      <c r="E16">
        <v>16</v>
      </c>
      <c r="G16">
        <f t="shared" si="2"/>
        <v>-2.7436280975954013</v>
      </c>
      <c r="H16">
        <f t="shared" si="3"/>
        <v>18.521611974413918</v>
      </c>
    </row>
    <row r="17" spans="1:8" x14ac:dyDescent="0.3">
      <c r="A17">
        <v>17</v>
      </c>
      <c r="C17">
        <f t="shared" si="0"/>
        <v>-1.1194295508340808</v>
      </c>
      <c r="D17">
        <f t="shared" si="1"/>
        <v>-22.379746905473535</v>
      </c>
      <c r="E17">
        <v>17</v>
      </c>
      <c r="G17">
        <f t="shared" si="2"/>
        <v>-1.6401818890806013</v>
      </c>
      <c r="H17">
        <f t="shared" si="3"/>
        <v>19.621625846036121</v>
      </c>
    </row>
    <row r="18" spans="1:8" x14ac:dyDescent="0.3">
      <c r="A18">
        <v>18</v>
      </c>
      <c r="C18">
        <f t="shared" si="0"/>
        <v>-2.5808858135260238E-2</v>
      </c>
      <c r="D18">
        <f t="shared" si="1"/>
        <v>-21.283266609664299</v>
      </c>
      <c r="E18">
        <v>18</v>
      </c>
      <c r="G18">
        <f t="shared" si="2"/>
        <v>-0.53673568056580123</v>
      </c>
      <c r="H18">
        <f t="shared" si="3"/>
        <v>20.722012455630416</v>
      </c>
    </row>
    <row r="19" spans="1:8" x14ac:dyDescent="0.3">
      <c r="A19">
        <v>19</v>
      </c>
      <c r="C19">
        <f t="shared" si="0"/>
        <v>1.0678118345635603</v>
      </c>
      <c r="D19">
        <f t="shared" si="1"/>
        <v>-20.18715266820934</v>
      </c>
      <c r="E19">
        <v>19</v>
      </c>
      <c r="G19">
        <f t="shared" si="2"/>
        <v>0.56671052794899879</v>
      </c>
      <c r="H19">
        <f t="shared" si="3"/>
        <v>21.822771964152594</v>
      </c>
    </row>
    <row r="20" spans="1:8" x14ac:dyDescent="0.3">
      <c r="A20">
        <v>20</v>
      </c>
      <c r="C20">
        <f t="shared" si="0"/>
        <v>2.1614325272623773</v>
      </c>
      <c r="D20">
        <f t="shared" si="1"/>
        <v>-19.091405210043803</v>
      </c>
      <c r="E20">
        <v>20</v>
      </c>
      <c r="G20">
        <f t="shared" si="2"/>
        <v>1.6701567364637988</v>
      </c>
      <c r="H20">
        <f t="shared" si="3"/>
        <v>22.923904513017824</v>
      </c>
    </row>
    <row r="21" spans="1:8" x14ac:dyDescent="0.3">
      <c r="A21">
        <v>21</v>
      </c>
      <c r="C21">
        <f t="shared" si="0"/>
        <v>3.2550532199611979</v>
      </c>
      <c r="D21">
        <f t="shared" si="1"/>
        <v>-17.996024345198428</v>
      </c>
      <c r="E21">
        <v>21</v>
      </c>
      <c r="G21">
        <f t="shared" si="2"/>
        <v>2.7736029449785988</v>
      </c>
      <c r="H21">
        <f t="shared" si="3"/>
        <v>24.025410224063531</v>
      </c>
    </row>
    <row r="22" spans="1:8" x14ac:dyDescent="0.3">
      <c r="A22">
        <v>22</v>
      </c>
      <c r="C22">
        <f t="shared" si="0"/>
        <v>4.3486739126600185</v>
      </c>
      <c r="D22">
        <f t="shared" si="1"/>
        <v>-16.901010164771144</v>
      </c>
      <c r="E22">
        <v>22</v>
      </c>
      <c r="G22">
        <f t="shared" si="2"/>
        <v>3.8770491534933988</v>
      </c>
      <c r="H22">
        <f t="shared" si="3"/>
        <v>25.1272891995173</v>
      </c>
    </row>
    <row r="23" spans="1:8" x14ac:dyDescent="0.3">
      <c r="A23">
        <v>23</v>
      </c>
      <c r="C23">
        <f t="shared" si="0"/>
        <v>5.442294605358839</v>
      </c>
      <c r="D23">
        <f t="shared" si="1"/>
        <v>-15.806362740903484</v>
      </c>
      <c r="E23">
        <v>23</v>
      </c>
      <c r="G23">
        <f t="shared" si="2"/>
        <v>4.9804953620081989</v>
      </c>
      <c r="H23">
        <f t="shared" si="3"/>
        <v>26.229541521969988</v>
      </c>
    </row>
    <row r="24" spans="1:8" x14ac:dyDescent="0.3">
      <c r="A24">
        <v>24</v>
      </c>
      <c r="C24">
        <f t="shared" si="0"/>
        <v>6.5359152980576596</v>
      </c>
      <c r="D24">
        <f t="shared" si="1"/>
        <v>-14.712082126761921</v>
      </c>
      <c r="E24">
        <v>24</v>
      </c>
      <c r="G24">
        <f t="shared" si="2"/>
        <v>6.0839415705229989</v>
      </c>
      <c r="H24">
        <f t="shared" si="3"/>
        <v>27.332167254353976</v>
      </c>
    </row>
    <row r="25" spans="1:8" x14ac:dyDescent="0.3">
      <c r="A25">
        <v>25</v>
      </c>
      <c r="C25">
        <f t="shared" si="0"/>
        <v>7.6295359907564801</v>
      </c>
      <c r="D25">
        <f t="shared" si="1"/>
        <v>-13.618168356524119</v>
      </c>
      <c r="E25">
        <v>25</v>
      </c>
      <c r="G25">
        <f t="shared" si="2"/>
        <v>7.1873877790377989</v>
      </c>
      <c r="H25">
        <f t="shared" si="3"/>
        <v>28.435166439926569</v>
      </c>
    </row>
    <row r="26" spans="1:8" x14ac:dyDescent="0.3">
      <c r="A26">
        <v>26</v>
      </c>
      <c r="C26">
        <f t="shared" si="0"/>
        <v>8.7231566834552972</v>
      </c>
      <c r="D26">
        <f t="shared" si="1"/>
        <v>-12.524621445370069</v>
      </c>
      <c r="E26">
        <v>26</v>
      </c>
      <c r="G26">
        <f t="shared" si="2"/>
        <v>8.2908339875525989</v>
      </c>
      <c r="H26">
        <f t="shared" si="3"/>
        <v>29.538539102258625</v>
      </c>
    </row>
    <row r="27" spans="1:8" x14ac:dyDescent="0.3">
      <c r="A27">
        <v>27</v>
      </c>
      <c r="C27">
        <f t="shared" si="0"/>
        <v>9.8167773761541177</v>
      </c>
      <c r="D27">
        <f t="shared" si="1"/>
        <v>-11.431441389478167</v>
      </c>
      <c r="E27">
        <v>27</v>
      </c>
      <c r="G27">
        <f t="shared" si="2"/>
        <v>9.3942801960673989</v>
      </c>
      <c r="H27">
        <f t="shared" si="3"/>
        <v>30.642285245228305</v>
      </c>
    </row>
    <row r="28" spans="1:8" x14ac:dyDescent="0.3">
      <c r="A28">
        <v>28</v>
      </c>
      <c r="C28">
        <f t="shared" si="0"/>
        <v>10.910398068852938</v>
      </c>
      <c r="D28">
        <f t="shared" si="1"/>
        <v>-10.338628166026201</v>
      </c>
      <c r="E28">
        <v>28</v>
      </c>
      <c r="G28">
        <f t="shared" si="2"/>
        <v>10.497726404582199</v>
      </c>
      <c r="H28">
        <f t="shared" si="3"/>
        <v>31.746404853020081</v>
      </c>
    </row>
    <row r="29" spans="1:8" x14ac:dyDescent="0.3">
      <c r="A29">
        <v>29</v>
      </c>
      <c r="C29">
        <f t="shared" si="0"/>
        <v>12.004018761551759</v>
      </c>
      <c r="D29">
        <f t="shared" si="1"/>
        <v>-9.2461817331972647</v>
      </c>
      <c r="E29">
        <v>29</v>
      </c>
      <c r="G29">
        <f t="shared" si="2"/>
        <v>11.601172613096999</v>
      </c>
      <c r="H29">
        <f t="shared" si="3"/>
        <v>32.850897890128891</v>
      </c>
    </row>
    <row r="30" spans="1:8" x14ac:dyDescent="0.3">
      <c r="A30">
        <v>30</v>
      </c>
      <c r="C30">
        <f t="shared" si="0"/>
        <v>13.097639454250579</v>
      </c>
      <c r="D30">
        <f t="shared" si="1"/>
        <v>-8.1541020301905576</v>
      </c>
      <c r="E30">
        <v>30</v>
      </c>
      <c r="G30">
        <f t="shared" si="2"/>
        <v>12.704618821611799</v>
      </c>
      <c r="H30">
        <f t="shared" si="3"/>
        <v>33.955764301369499</v>
      </c>
    </row>
    <row r="31" spans="1:8" x14ac:dyDescent="0.3">
      <c r="A31">
        <v>31</v>
      </c>
      <c r="C31">
        <f t="shared" si="0"/>
        <v>14.191260146949396</v>
      </c>
      <c r="D31">
        <f t="shared" si="1"/>
        <v>-7.062388977237184</v>
      </c>
      <c r="E31">
        <v>31</v>
      </c>
      <c r="G31">
        <f t="shared" si="2"/>
        <v>13.808065030126599</v>
      </c>
      <c r="H31">
        <f t="shared" si="3"/>
        <v>35.061004011891043</v>
      </c>
    </row>
    <row r="32" spans="1:8" x14ac:dyDescent="0.3">
      <c r="A32">
        <v>32</v>
      </c>
      <c r="C32">
        <f t="shared" si="0"/>
        <v>15.284880839648217</v>
      </c>
      <c r="D32">
        <f t="shared" si="1"/>
        <v>-5.9710424756207132</v>
      </c>
      <c r="E32">
        <v>32</v>
      </c>
      <c r="G32">
        <f t="shared" si="2"/>
        <v>14.911511238641403</v>
      </c>
      <c r="H32">
        <f t="shared" si="3"/>
        <v>36.166616927196742</v>
      </c>
    </row>
    <row r="33" spans="1:8" x14ac:dyDescent="0.3">
      <c r="A33">
        <v>33</v>
      </c>
      <c r="C33">
        <f t="shared" ref="C33:C64" si="4">-18.6173606340152+(A33-1)*1.09362069269882</f>
        <v>16.378501532347038</v>
      </c>
      <c r="D33">
        <f t="shared" ref="D33:D64" si="5">0+1*C33-21.2213750247559*(1.00248138957816+(C33-7.95640169070967)^2/69098.1854043233)^0.5</f>
        <v>-4.880062407702745</v>
      </c>
      <c r="E33">
        <v>33</v>
      </c>
      <c r="G33">
        <f t="shared" ref="G33:G64" si="6">-19.2953212253174+(E33-1)*1.1034462085148</f>
        <v>16.014957447156199</v>
      </c>
      <c r="H33">
        <f t="shared" ref="H33:H64" si="7">0+1*G33+21.2213750247559*(1.00248138957816+(G33-7.95640169070967)^2/69098.1854043233)^0.5</f>
        <v>37.27260293316877</v>
      </c>
    </row>
    <row r="34" spans="1:8" x14ac:dyDescent="0.3">
      <c r="A34">
        <v>34</v>
      </c>
      <c r="C34">
        <f t="shared" si="4"/>
        <v>17.472122225045858</v>
      </c>
      <c r="D34">
        <f t="shared" si="5"/>
        <v>-3.7894486369533134</v>
      </c>
      <c r="E34">
        <v>34</v>
      </c>
      <c r="G34">
        <f t="shared" si="6"/>
        <v>17.118403655670996</v>
      </c>
      <c r="H34">
        <f t="shared" si="7"/>
        <v>38.378961896098332</v>
      </c>
    </row>
    <row r="35" spans="1:8" x14ac:dyDescent="0.3">
      <c r="A35">
        <v>35</v>
      </c>
      <c r="C35">
        <f t="shared" si="4"/>
        <v>18.565742917744679</v>
      </c>
      <c r="D35">
        <f t="shared" si="5"/>
        <v>-2.6992010079861117</v>
      </c>
      <c r="E35">
        <v>35</v>
      </c>
      <c r="G35">
        <f t="shared" si="6"/>
        <v>18.221849864185799</v>
      </c>
      <c r="H35">
        <f t="shared" si="7"/>
        <v>39.485693662720742</v>
      </c>
    </row>
    <row r="36" spans="1:8" x14ac:dyDescent="0.3">
      <c r="A36">
        <v>36</v>
      </c>
      <c r="C36">
        <f t="shared" si="4"/>
        <v>19.659363610443499</v>
      </c>
      <c r="D36">
        <f t="shared" si="5"/>
        <v>-1.6093193465985998</v>
      </c>
      <c r="E36">
        <v>36</v>
      </c>
      <c r="G36">
        <f t="shared" si="6"/>
        <v>19.325296072700603</v>
      </c>
      <c r="H36">
        <f t="shared" si="7"/>
        <v>40.592798060255731</v>
      </c>
    </row>
    <row r="37" spans="1:8" x14ac:dyDescent="0.3">
      <c r="A37">
        <v>37</v>
      </c>
      <c r="C37">
        <f t="shared" si="4"/>
        <v>20.75298430314232</v>
      </c>
      <c r="D37">
        <f t="shared" si="5"/>
        <v>-0.51980345981688814</v>
      </c>
      <c r="E37">
        <v>37</v>
      </c>
      <c r="G37">
        <f t="shared" si="6"/>
        <v>20.428742281215399</v>
      </c>
      <c r="H37">
        <f t="shared" si="7"/>
        <v>41.700274896452804</v>
      </c>
    </row>
    <row r="38" spans="1:8" x14ac:dyDescent="0.3">
      <c r="A38">
        <v>38</v>
      </c>
      <c r="C38">
        <f t="shared" si="4"/>
        <v>21.84660499584114</v>
      </c>
      <c r="D38">
        <f t="shared" si="5"/>
        <v>0.56934686405460511</v>
      </c>
      <c r="E38">
        <v>38</v>
      </c>
      <c r="G38">
        <f t="shared" si="6"/>
        <v>21.532188489730196</v>
      </c>
      <c r="H38">
        <f t="shared" si="7"/>
        <v>42.808123959641591</v>
      </c>
    </row>
    <row r="39" spans="1:8" x14ac:dyDescent="0.3">
      <c r="A39">
        <v>39</v>
      </c>
      <c r="C39">
        <f t="shared" si="4"/>
        <v>22.940225688539954</v>
      </c>
      <c r="D39">
        <f t="shared" si="5"/>
        <v>1.6581318553786772</v>
      </c>
      <c r="E39">
        <v>39</v>
      </c>
      <c r="G39">
        <f t="shared" si="6"/>
        <v>22.635634698244999</v>
      </c>
      <c r="H39">
        <f t="shared" si="7"/>
        <v>43.916345018787361</v>
      </c>
    </row>
    <row r="40" spans="1:8" x14ac:dyDescent="0.3">
      <c r="A40">
        <v>40</v>
      </c>
      <c r="C40">
        <f t="shared" si="4"/>
        <v>24.033846381238774</v>
      </c>
      <c r="D40">
        <f t="shared" si="5"/>
        <v>2.7465517631262664</v>
      </c>
      <c r="E40">
        <v>40</v>
      </c>
      <c r="G40">
        <f t="shared" si="6"/>
        <v>23.739080906759803</v>
      </c>
      <c r="H40">
        <f t="shared" si="7"/>
        <v>45.024937823551298</v>
      </c>
    </row>
    <row r="41" spans="1:8" x14ac:dyDescent="0.3">
      <c r="A41">
        <v>41</v>
      </c>
      <c r="C41">
        <f t="shared" si="4"/>
        <v>25.127467073937595</v>
      </c>
      <c r="D41">
        <f t="shared" si="5"/>
        <v>3.8346068548125558</v>
      </c>
      <c r="E41">
        <v>41</v>
      </c>
      <c r="G41">
        <f t="shared" si="6"/>
        <v>24.842527115274599</v>
      </c>
      <c r="H41">
        <f t="shared" si="7"/>
        <v>46.133902104356004</v>
      </c>
    </row>
    <row r="42" spans="1:8" x14ac:dyDescent="0.3">
      <c r="A42">
        <v>42</v>
      </c>
      <c r="C42">
        <f t="shared" si="4"/>
        <v>26.221087766636415</v>
      </c>
      <c r="D42">
        <f t="shared" si="5"/>
        <v>4.9222974164285134</v>
      </c>
      <c r="E42">
        <v>42</v>
      </c>
      <c r="G42">
        <f t="shared" si="6"/>
        <v>25.945973323789396</v>
      </c>
      <c r="H42">
        <f t="shared" si="7"/>
        <v>47.243237572455712</v>
      </c>
    </row>
    <row r="43" spans="1:8" x14ac:dyDescent="0.3">
      <c r="A43">
        <v>43</v>
      </c>
      <c r="C43">
        <f t="shared" si="4"/>
        <v>27.314708459335236</v>
      </c>
      <c r="D43">
        <f t="shared" si="5"/>
        <v>6.0096237523678333</v>
      </c>
      <c r="E43">
        <v>43</v>
      </c>
      <c r="G43">
        <f t="shared" si="6"/>
        <v>27.049419532304199</v>
      </c>
      <c r="H43">
        <f t="shared" si="7"/>
        <v>48.352943920011462</v>
      </c>
    </row>
    <row r="44" spans="1:8" x14ac:dyDescent="0.3">
      <c r="A44">
        <v>44</v>
      </c>
      <c r="C44">
        <f t="shared" si="4"/>
        <v>28.408329152034057</v>
      </c>
      <c r="D44">
        <f t="shared" si="5"/>
        <v>7.0965861853492562</v>
      </c>
      <c r="E44">
        <v>44</v>
      </c>
      <c r="G44">
        <f t="shared" si="6"/>
        <v>28.152865740819003</v>
      </c>
      <c r="H44">
        <f t="shared" si="7"/>
        <v>49.463020820171053</v>
      </c>
    </row>
    <row r="45" spans="1:8" x14ac:dyDescent="0.3">
      <c r="A45">
        <v>45</v>
      </c>
      <c r="C45">
        <f t="shared" si="4"/>
        <v>29.501949844732877</v>
      </c>
      <c r="D45">
        <f t="shared" si="5"/>
        <v>8.183185056334441</v>
      </c>
      <c r="E45">
        <v>45</v>
      </c>
      <c r="G45">
        <f t="shared" si="6"/>
        <v>29.256311949333799</v>
      </c>
      <c r="H45">
        <f t="shared" si="7"/>
        <v>50.573467927153843</v>
      </c>
    </row>
    <row r="46" spans="1:8" x14ac:dyDescent="0.3">
      <c r="A46">
        <v>46</v>
      </c>
      <c r="C46">
        <f t="shared" si="4"/>
        <v>30.595570537431698</v>
      </c>
      <c r="D46">
        <f t="shared" si="5"/>
        <v>9.2694207244412929</v>
      </c>
      <c r="E46">
        <v>46</v>
      </c>
      <c r="G46">
        <f t="shared" si="6"/>
        <v>30.359758157848596</v>
      </c>
      <c r="H46">
        <f t="shared" si="7"/>
        <v>51.684284876340186</v>
      </c>
    </row>
    <row r="47" spans="1:8" x14ac:dyDescent="0.3">
      <c r="A47">
        <v>47</v>
      </c>
      <c r="C47">
        <f t="shared" si="4"/>
        <v>31.689191230130518</v>
      </c>
      <c r="D47">
        <f t="shared" si="5"/>
        <v>10.35529356685295</v>
      </c>
      <c r="E47">
        <v>47</v>
      </c>
      <c r="G47">
        <f t="shared" si="6"/>
        <v>31.463204366363399</v>
      </c>
      <c r="H47">
        <f t="shared" si="7"/>
        <v>52.795471284365647</v>
      </c>
    </row>
    <row r="48" spans="1:8" x14ac:dyDescent="0.3">
      <c r="A48">
        <v>48</v>
      </c>
      <c r="C48">
        <f t="shared" si="4"/>
        <v>32.782811922829339</v>
      </c>
      <c r="D48">
        <f t="shared" si="5"/>
        <v>11.440803978722371</v>
      </c>
      <c r="E48">
        <v>48</v>
      </c>
      <c r="G48">
        <f t="shared" si="6"/>
        <v>32.566650574878203</v>
      </c>
      <c r="H48">
        <f t="shared" si="7"/>
        <v>53.907026749219725</v>
      </c>
    </row>
    <row r="49" spans="1:8" x14ac:dyDescent="0.3">
      <c r="A49">
        <v>49</v>
      </c>
      <c r="C49">
        <f t="shared" si="4"/>
        <v>33.876432615528159</v>
      </c>
      <c r="D49">
        <f t="shared" si="5"/>
        <v>12.525952373072602</v>
      </c>
      <c r="E49">
        <v>49</v>
      </c>
      <c r="G49">
        <f t="shared" si="6"/>
        <v>33.670096783392999</v>
      </c>
      <c r="H49">
        <f t="shared" si="7"/>
        <v>55.018950850349171</v>
      </c>
    </row>
    <row r="50" spans="1:8" x14ac:dyDescent="0.3">
      <c r="A50">
        <v>50</v>
      </c>
      <c r="C50">
        <f t="shared" si="4"/>
        <v>34.970053308226973</v>
      </c>
      <c r="D50">
        <f t="shared" si="5"/>
        <v>13.610739180692793</v>
      </c>
      <c r="E50">
        <v>50</v>
      </c>
      <c r="G50">
        <f t="shared" si="6"/>
        <v>34.773542991907796</v>
      </c>
      <c r="H50">
        <f t="shared" si="7"/>
        <v>56.131243148765932</v>
      </c>
    </row>
    <row r="51" spans="1:8" x14ac:dyDescent="0.3">
      <c r="A51">
        <v>51</v>
      </c>
      <c r="C51">
        <f t="shared" si="4"/>
        <v>36.063674000925793</v>
      </c>
      <c r="D51">
        <f t="shared" si="5"/>
        <v>14.69516485003011</v>
      </c>
      <c r="E51">
        <v>51</v>
      </c>
      <c r="G51">
        <f t="shared" si="6"/>
        <v>35.876989200422599</v>
      </c>
      <c r="H51">
        <f t="shared" si="7"/>
        <v>57.243903187159269</v>
      </c>
    </row>
    <row r="52" spans="1:8" x14ac:dyDescent="0.3">
      <c r="A52">
        <v>52</v>
      </c>
      <c r="C52">
        <f t="shared" si="4"/>
        <v>37.157294693624614</v>
      </c>
      <c r="D52">
        <f t="shared" si="5"/>
        <v>15.779229847077357</v>
      </c>
      <c r="E52">
        <v>52</v>
      </c>
      <c r="G52">
        <f t="shared" si="6"/>
        <v>36.980435408937403</v>
      </c>
      <c r="H52">
        <f t="shared" si="7"/>
        <v>58.356930490012473</v>
      </c>
    </row>
    <row r="53" spans="1:8" x14ac:dyDescent="0.3">
      <c r="A53">
        <v>53</v>
      </c>
      <c r="C53">
        <f t="shared" si="4"/>
        <v>38.250915386323435</v>
      </c>
      <c r="D53">
        <f t="shared" si="5"/>
        <v>16.862934655256698</v>
      </c>
      <c r="E53">
        <v>53</v>
      </c>
      <c r="G53">
        <f t="shared" si="6"/>
        <v>38.083881617452199</v>
      </c>
      <c r="H53">
        <f t="shared" si="7"/>
        <v>59.470324563723764</v>
      </c>
    </row>
    <row r="54" spans="1:8" x14ac:dyDescent="0.3">
      <c r="A54">
        <v>54</v>
      </c>
      <c r="C54">
        <f t="shared" si="4"/>
        <v>39.344536079022255</v>
      </c>
      <c r="D54">
        <f t="shared" si="5"/>
        <v>17.946279775299281</v>
      </c>
      <c r="E54">
        <v>54</v>
      </c>
      <c r="G54">
        <f t="shared" si="6"/>
        <v>39.187327825966996</v>
      </c>
      <c r="H54">
        <f t="shared" si="7"/>
        <v>60.584084896731454</v>
      </c>
    </row>
    <row r="55" spans="1:8" x14ac:dyDescent="0.3">
      <c r="A55">
        <v>55</v>
      </c>
      <c r="C55">
        <f t="shared" si="4"/>
        <v>40.438156771721076</v>
      </c>
      <c r="D55">
        <f t="shared" si="5"/>
        <v>19.029265725120979</v>
      </c>
      <c r="E55">
        <v>55</v>
      </c>
      <c r="G55">
        <f t="shared" si="6"/>
        <v>40.2907740344818</v>
      </c>
      <c r="H55">
        <f t="shared" si="7"/>
        <v>61.698210959643298</v>
      </c>
    </row>
    <row r="56" spans="1:8" x14ac:dyDescent="0.3">
      <c r="A56">
        <v>56</v>
      </c>
      <c r="C56">
        <f t="shared" si="4"/>
        <v>41.531777464419896</v>
      </c>
      <c r="D56">
        <f t="shared" si="5"/>
        <v>20.111893039694287</v>
      </c>
      <c r="E56">
        <v>56</v>
      </c>
      <c r="G56">
        <f t="shared" si="6"/>
        <v>41.394220242996603</v>
      </c>
      <c r="H56">
        <f t="shared" si="7"/>
        <v>62.812702205369789</v>
      </c>
    </row>
    <row r="57" spans="1:8" x14ac:dyDescent="0.3">
      <c r="A57">
        <v>57</v>
      </c>
      <c r="C57">
        <f t="shared" si="4"/>
        <v>42.625398157118717</v>
      </c>
      <c r="D57">
        <f t="shared" si="5"/>
        <v>21.194162270916365</v>
      </c>
      <c r="E57">
        <v>57</v>
      </c>
      <c r="G57">
        <f t="shared" si="6"/>
        <v>42.4976664515114</v>
      </c>
      <c r="H57">
        <f t="shared" si="7"/>
        <v>63.927558069261615</v>
      </c>
    </row>
    <row r="58" spans="1:8" x14ac:dyDescent="0.3">
      <c r="A58">
        <v>58</v>
      </c>
      <c r="C58">
        <f t="shared" si="4"/>
        <v>43.719018849817537</v>
      </c>
      <c r="D58">
        <f t="shared" si="5"/>
        <v>22.276073987473477</v>
      </c>
      <c r="E58">
        <v>58</v>
      </c>
      <c r="G58">
        <f t="shared" si="6"/>
        <v>43.601112660026196</v>
      </c>
      <c r="H58">
        <f t="shared" si="7"/>
        <v>65.04277796925102</v>
      </c>
    </row>
    <row r="59" spans="1:8" x14ac:dyDescent="0.3">
      <c r="A59">
        <v>59</v>
      </c>
      <c r="C59">
        <f t="shared" si="4"/>
        <v>44.812639542516358</v>
      </c>
      <c r="D59">
        <f t="shared" si="5"/>
        <v>23.357628774701688</v>
      </c>
      <c r="E59">
        <v>59</v>
      </c>
      <c r="G59">
        <f t="shared" si="6"/>
        <v>44.704558868541</v>
      </c>
      <c r="H59">
        <f t="shared" si="7"/>
        <v>66.158361305996877</v>
      </c>
    </row>
    <row r="60" spans="1:8" x14ac:dyDescent="0.3">
      <c r="A60">
        <v>60</v>
      </c>
      <c r="C60">
        <f t="shared" si="4"/>
        <v>45.906260235215171</v>
      </c>
      <c r="D60">
        <f t="shared" si="5"/>
        <v>24.438827234444101</v>
      </c>
      <c r="E60">
        <v>60</v>
      </c>
      <c r="G60">
        <f t="shared" si="6"/>
        <v>45.808005077055803</v>
      </c>
      <c r="H60">
        <f t="shared" si="7"/>
        <v>67.274307463033665</v>
      </c>
    </row>
    <row r="61" spans="1:8" x14ac:dyDescent="0.3">
      <c r="A61">
        <v>61</v>
      </c>
      <c r="C61">
        <f t="shared" si="4"/>
        <v>46.999880927913992</v>
      </c>
      <c r="D61">
        <f t="shared" si="5"/>
        <v>25.519669984904571</v>
      </c>
      <c r="E61">
        <v>61</v>
      </c>
      <c r="G61">
        <f t="shared" si="6"/>
        <v>46.9114512855706</v>
      </c>
      <c r="H61">
        <f t="shared" si="7"/>
        <v>68.390615806924046</v>
      </c>
    </row>
    <row r="62" spans="1:8" x14ac:dyDescent="0.3">
      <c r="A62">
        <v>62</v>
      </c>
      <c r="C62">
        <f t="shared" si="4"/>
        <v>48.093501620612813</v>
      </c>
      <c r="D62">
        <f t="shared" si="5"/>
        <v>26.600157660497995</v>
      </c>
      <c r="E62">
        <v>62</v>
      </c>
      <c r="G62">
        <f t="shared" si="6"/>
        <v>48.014897494085396</v>
      </c>
      <c r="H62">
        <f t="shared" si="7"/>
        <v>69.507285687415063</v>
      </c>
    </row>
    <row r="63" spans="1:8" x14ac:dyDescent="0.3">
      <c r="A63">
        <v>63</v>
      </c>
      <c r="C63">
        <f t="shared" si="4"/>
        <v>49.187122313311633</v>
      </c>
      <c r="D63">
        <f t="shared" si="5"/>
        <v>27.680290911697355</v>
      </c>
      <c r="E63">
        <v>63</v>
      </c>
      <c r="G63">
        <f t="shared" si="6"/>
        <v>49.118343702600207</v>
      </c>
      <c r="H63">
        <f t="shared" si="7"/>
        <v>70.624316437597855</v>
      </c>
    </row>
    <row r="64" spans="1:8" x14ac:dyDescent="0.3">
      <c r="A64">
        <v>64</v>
      </c>
      <c r="C64">
        <f t="shared" si="4"/>
        <v>50.280743006010454</v>
      </c>
      <c r="D64">
        <f t="shared" si="5"/>
        <v>28.760070404877478</v>
      </c>
      <c r="E64">
        <v>64</v>
      </c>
      <c r="G64">
        <f t="shared" si="6"/>
        <v>50.221789911115003</v>
      </c>
      <c r="H64">
        <f t="shared" si="7"/>
        <v>71.741707374070742</v>
      </c>
    </row>
    <row r="65" spans="1:8" x14ac:dyDescent="0.3">
      <c r="A65">
        <v>65</v>
      </c>
      <c r="C65">
        <f t="shared" ref="C65:C70" si="8">-18.6173606340152+(A65-1)*1.09362069269882</f>
        <v>51.374363698709274</v>
      </c>
      <c r="D65">
        <f t="shared" ref="D65:D70" si="9">0+1*C65-21.2213750247559*(1.00248138957816+(C65-7.95640169070967)^2/69098.1854043233)^0.5</f>
        <v>29.839496822155699</v>
      </c>
      <c r="E65">
        <v>65</v>
      </c>
      <c r="G65">
        <f t="shared" ref="G65:G70" si="10">-19.2953212253174+(E65-1)*1.1034462085148</f>
        <v>51.3252361196298</v>
      </c>
      <c r="H65">
        <f t="shared" ref="H65:H70" si="11">0+1*G65+21.2213750247559*(1.00248138957816+(G65-7.95640169070967)^2/69098.1854043233)^0.5</f>
        <v>72.859457797105648</v>
      </c>
    </row>
    <row r="66" spans="1:8" x14ac:dyDescent="0.3">
      <c r="A66">
        <v>66</v>
      </c>
      <c r="C66">
        <f t="shared" si="8"/>
        <v>52.467984391408095</v>
      </c>
      <c r="D66">
        <f t="shared" si="9"/>
        <v>30.918570861229391</v>
      </c>
      <c r="E66">
        <v>66</v>
      </c>
      <c r="G66">
        <f t="shared" si="10"/>
        <v>52.428682328144596</v>
      </c>
      <c r="H66">
        <f t="shared" si="11"/>
        <v>73.977566990817792</v>
      </c>
    </row>
    <row r="67" spans="1:8" x14ac:dyDescent="0.3">
      <c r="A67">
        <v>67</v>
      </c>
      <c r="C67">
        <f t="shared" si="8"/>
        <v>53.561605084106915</v>
      </c>
      <c r="D67">
        <f t="shared" si="9"/>
        <v>31.997293235210623</v>
      </c>
      <c r="E67">
        <v>67</v>
      </c>
      <c r="G67">
        <f t="shared" si="10"/>
        <v>53.532128536659393</v>
      </c>
      <c r="H67">
        <f t="shared" si="11"/>
        <v>75.096034223338506</v>
      </c>
    </row>
    <row r="68" spans="1:8" x14ac:dyDescent="0.3">
      <c r="A68">
        <v>68</v>
      </c>
      <c r="C68">
        <f t="shared" si="8"/>
        <v>54.655225776805736</v>
      </c>
      <c r="D68">
        <f t="shared" si="9"/>
        <v>33.075664672457833</v>
      </c>
      <c r="E68">
        <v>68</v>
      </c>
      <c r="G68">
        <f t="shared" si="10"/>
        <v>54.635574745174203</v>
      </c>
      <c r="H68">
        <f t="shared" si="11"/>
        <v>76.214858746991098</v>
      </c>
    </row>
    <row r="69" spans="1:8" x14ac:dyDescent="0.3">
      <c r="A69">
        <v>69</v>
      </c>
      <c r="C69">
        <f t="shared" si="8"/>
        <v>55.748846469504556</v>
      </c>
      <c r="D69">
        <f t="shared" si="9"/>
        <v>34.153685916404797</v>
      </c>
      <c r="E69">
        <v>69</v>
      </c>
      <c r="G69">
        <f t="shared" si="10"/>
        <v>55.739020953689</v>
      </c>
      <c r="H69">
        <f t="shared" si="11"/>
        <v>77.334039798469561</v>
      </c>
    </row>
    <row r="70" spans="1:8" x14ac:dyDescent="0.3">
      <c r="A70">
        <v>70</v>
      </c>
      <c r="C70">
        <f t="shared" si="8"/>
        <v>56.842467162203377</v>
      </c>
      <c r="D70">
        <f t="shared" si="9"/>
        <v>35.231357725386793</v>
      </c>
      <c r="E70">
        <v>70</v>
      </c>
      <c r="G70">
        <f t="shared" si="10"/>
        <v>56.842467162203796</v>
      </c>
      <c r="H70">
        <f t="shared" si="11"/>
        <v>78.45357659902038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B26E-F3FD-4EBE-A2AE-CBCC2F922840}">
  <sheetPr codeName="XLSTAT_20250614_141550_1">
    <tabColor rgb="FF007800"/>
  </sheetPr>
  <dimension ref="B1:M506"/>
  <sheetViews>
    <sheetView topLeftCell="A44" zoomScaleNormal="100" workbookViewId="0">
      <selection activeCell="C49" sqref="C49"/>
    </sheetView>
  </sheetViews>
  <sheetFormatPr defaultRowHeight="14.4" x14ac:dyDescent="0.3"/>
  <cols>
    <col min="1" max="1" width="4.77734375" customWidth="1"/>
    <col min="3" max="3" width="11.21875" bestFit="1" customWidth="1"/>
    <col min="4" max="4" width="10.5546875" bestFit="1" customWidth="1"/>
    <col min="5" max="5" width="11.21875" bestFit="1" customWidth="1"/>
    <col min="6" max="6" width="10.21875" bestFit="1" customWidth="1"/>
  </cols>
  <sheetData>
    <row r="1" spans="2:13" x14ac:dyDescent="0.3">
      <c r="B1" s="45" t="s">
        <v>9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</row>
    <row r="2" spans="2:13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"/>
    </row>
    <row r="3" spans="2:13" x14ac:dyDescent="0.3">
      <c r="B3" t="s">
        <v>516</v>
      </c>
    </row>
    <row r="4" spans="2:13" x14ac:dyDescent="0.3">
      <c r="B4" t="s">
        <v>10</v>
      </c>
    </row>
    <row r="5" spans="2:13" x14ac:dyDescent="0.3">
      <c r="B5" t="s">
        <v>11</v>
      </c>
    </row>
    <row r="6" spans="2:13" x14ac:dyDescent="0.3">
      <c r="B6" t="s">
        <v>485</v>
      </c>
    </row>
    <row r="7" spans="2:13" x14ac:dyDescent="0.3">
      <c r="B7" t="s">
        <v>486</v>
      </c>
    </row>
    <row r="8" spans="2:13" ht="37.950000000000003" customHeight="1" x14ac:dyDescent="0.3"/>
    <row r="9" spans="2:13" ht="16.2" customHeight="1" x14ac:dyDescent="0.3">
      <c r="B9" s="39"/>
    </row>
    <row r="12" spans="2:13" x14ac:dyDescent="0.3">
      <c r="B12" t="s">
        <v>14</v>
      </c>
    </row>
    <row r="13" spans="2:13" ht="15" thickBot="1" x14ac:dyDescent="0.35"/>
    <row r="14" spans="2:13" ht="28.8" customHeight="1" x14ac:dyDescent="0.3">
      <c r="B14" s="4" t="s">
        <v>15</v>
      </c>
      <c r="C14" s="5" t="s">
        <v>16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  <c r="I14" s="5" t="s">
        <v>22</v>
      </c>
    </row>
    <row r="15" spans="2:13" x14ac:dyDescent="0.3">
      <c r="B15" s="6" t="s">
        <v>8</v>
      </c>
      <c r="C15" s="8">
        <v>403</v>
      </c>
      <c r="D15" s="8">
        <v>0</v>
      </c>
      <c r="E15" s="8">
        <v>403</v>
      </c>
      <c r="F15" s="11">
        <v>-4.6774985500000001</v>
      </c>
      <c r="G15" s="11">
        <v>86.831721079999994</v>
      </c>
      <c r="H15" s="11">
        <v>7.9564016907096748</v>
      </c>
      <c r="I15" s="11">
        <v>16.922561775623798</v>
      </c>
    </row>
    <row r="16" spans="2:13" x14ac:dyDescent="0.3">
      <c r="B16" s="3" t="s">
        <v>0</v>
      </c>
      <c r="C16" s="9">
        <v>403</v>
      </c>
      <c r="D16" s="9">
        <v>0</v>
      </c>
      <c r="E16" s="9">
        <v>403</v>
      </c>
      <c r="F16" s="12">
        <v>0.6</v>
      </c>
      <c r="G16" s="12">
        <v>1.6666666670000001</v>
      </c>
      <c r="H16" s="12">
        <v>1.0952853599156331</v>
      </c>
      <c r="I16" s="12">
        <v>0.44362363471463173</v>
      </c>
    </row>
    <row r="17" spans="2:11" x14ac:dyDescent="0.3">
      <c r="B17" s="3" t="s">
        <v>1</v>
      </c>
      <c r="C17" s="9">
        <v>403</v>
      </c>
      <c r="D17" s="9">
        <v>0</v>
      </c>
      <c r="E17" s="9">
        <v>403</v>
      </c>
      <c r="F17" s="12">
        <v>1</v>
      </c>
      <c r="G17" s="12">
        <v>6</v>
      </c>
      <c r="H17" s="12">
        <v>3.2208436724565761</v>
      </c>
      <c r="I17" s="12">
        <v>1.9196191275625192</v>
      </c>
    </row>
    <row r="18" spans="2:11" x14ac:dyDescent="0.3">
      <c r="B18" s="3" t="s">
        <v>2</v>
      </c>
      <c r="C18" s="9">
        <v>403</v>
      </c>
      <c r="D18" s="9">
        <v>0</v>
      </c>
      <c r="E18" s="9">
        <v>403</v>
      </c>
      <c r="F18" s="12">
        <v>10</v>
      </c>
      <c r="G18" s="12">
        <v>60</v>
      </c>
      <c r="H18" s="12">
        <v>28.858560794044653</v>
      </c>
      <c r="I18" s="12">
        <v>16.808471712402003</v>
      </c>
    </row>
    <row r="19" spans="2:11" x14ac:dyDescent="0.3">
      <c r="B19" s="3" t="s">
        <v>3</v>
      </c>
      <c r="C19" s="9">
        <v>403</v>
      </c>
      <c r="D19" s="9">
        <v>0</v>
      </c>
      <c r="E19" s="9">
        <v>403</v>
      </c>
      <c r="F19" s="12">
        <v>1.6</v>
      </c>
      <c r="G19" s="12">
        <v>33.299999999999997</v>
      </c>
      <c r="H19" s="12">
        <v>11.931637717121591</v>
      </c>
      <c r="I19" s="12">
        <v>7.542068437516714</v>
      </c>
    </row>
    <row r="20" spans="2:11" x14ac:dyDescent="0.3">
      <c r="B20" s="3" t="s">
        <v>4</v>
      </c>
      <c r="C20" s="9">
        <v>403</v>
      </c>
      <c r="D20" s="9">
        <v>0</v>
      </c>
      <c r="E20" s="9">
        <v>403</v>
      </c>
      <c r="F20" s="12">
        <v>0</v>
      </c>
      <c r="G20" s="12">
        <v>57.525899430000003</v>
      </c>
      <c r="H20" s="12">
        <v>13.57425424515136</v>
      </c>
      <c r="I20" s="12">
        <v>12.990829096363877</v>
      </c>
    </row>
    <row r="21" spans="2:11" x14ac:dyDescent="0.3">
      <c r="B21" s="3" t="s">
        <v>5</v>
      </c>
      <c r="C21" s="9">
        <v>403</v>
      </c>
      <c r="D21" s="9">
        <v>0</v>
      </c>
      <c r="E21" s="9">
        <v>403</v>
      </c>
      <c r="F21" s="12">
        <v>0.54</v>
      </c>
      <c r="G21" s="12">
        <v>7.9885999999999999</v>
      </c>
      <c r="H21" s="12">
        <v>3.796960297766748</v>
      </c>
      <c r="I21" s="12">
        <v>2.6560383295374428</v>
      </c>
    </row>
    <row r="22" spans="2:11" x14ac:dyDescent="0.3">
      <c r="B22" s="3" t="s">
        <v>6</v>
      </c>
      <c r="C22" s="9">
        <v>403</v>
      </c>
      <c r="D22" s="9">
        <v>0</v>
      </c>
      <c r="E22" s="9">
        <v>403</v>
      </c>
      <c r="F22" s="12">
        <v>0</v>
      </c>
      <c r="G22" s="12">
        <v>36.17</v>
      </c>
      <c r="H22" s="12">
        <v>8.5447394540942838</v>
      </c>
      <c r="I22" s="12">
        <v>8.1589305293154499</v>
      </c>
    </row>
    <row r="23" spans="2:11" ht="15" thickBot="1" x14ac:dyDescent="0.35">
      <c r="B23" s="7" t="s">
        <v>7</v>
      </c>
      <c r="C23" s="10">
        <v>403</v>
      </c>
      <c r="D23" s="10">
        <v>0</v>
      </c>
      <c r="E23" s="10">
        <v>403</v>
      </c>
      <c r="F23" s="13">
        <v>2.5500000000000002E-3</v>
      </c>
      <c r="G23" s="13">
        <v>1.379E-2</v>
      </c>
      <c r="H23" s="13">
        <v>7.6972563275434251E-3</v>
      </c>
      <c r="I23" s="13">
        <v>3.0892513886996158E-3</v>
      </c>
    </row>
    <row r="26" spans="2:11" x14ac:dyDescent="0.3">
      <c r="B26" t="s">
        <v>23</v>
      </c>
    </row>
    <row r="27" spans="2:11" ht="15" thickBot="1" x14ac:dyDescent="0.35"/>
    <row r="28" spans="2:11" x14ac:dyDescent="0.3">
      <c r="B28" s="4" t="s">
        <v>15</v>
      </c>
      <c r="C28" s="5" t="s">
        <v>0</v>
      </c>
      <c r="D28" s="5" t="s">
        <v>1</v>
      </c>
      <c r="E28" s="5" t="s">
        <v>2</v>
      </c>
      <c r="F28" s="5" t="s">
        <v>3</v>
      </c>
      <c r="G28" s="5" t="s">
        <v>4</v>
      </c>
      <c r="H28" s="5" t="s">
        <v>5</v>
      </c>
      <c r="I28" s="5" t="s">
        <v>6</v>
      </c>
      <c r="J28" s="5" t="s">
        <v>7</v>
      </c>
      <c r="K28" s="40" t="s">
        <v>8</v>
      </c>
    </row>
    <row r="29" spans="2:11" x14ac:dyDescent="0.3">
      <c r="B29" s="15" t="s">
        <v>0</v>
      </c>
      <c r="C29" s="21">
        <v>1</v>
      </c>
      <c r="D29" s="17">
        <v>3.2704555284092025E-3</v>
      </c>
      <c r="E29" s="17">
        <v>-4.2979984811257678E-2</v>
      </c>
      <c r="F29" s="17">
        <v>-2.4273272583796912E-2</v>
      </c>
      <c r="G29" s="17">
        <v>6.3263149297963991E-2</v>
      </c>
      <c r="H29" s="17">
        <v>-0.33415578705979182</v>
      </c>
      <c r="I29" s="17">
        <v>6.240713252966263E-2</v>
      </c>
      <c r="J29" s="17">
        <v>-0.29265078399556571</v>
      </c>
      <c r="K29" s="11">
        <v>-5.2658941940251086E-3</v>
      </c>
    </row>
    <row r="30" spans="2:11" x14ac:dyDescent="0.3">
      <c r="B30" s="3" t="s">
        <v>1</v>
      </c>
      <c r="C30" s="12">
        <v>3.2704555284092025E-3</v>
      </c>
      <c r="D30" s="22">
        <v>1</v>
      </c>
      <c r="E30" s="12">
        <v>-1.8380554074158964E-2</v>
      </c>
      <c r="F30" s="12">
        <v>-2.7682571161050398E-2</v>
      </c>
      <c r="G30" s="12">
        <v>2.4827374795989773E-2</v>
      </c>
      <c r="H30" s="12">
        <v>-3.2416225326947774E-2</v>
      </c>
      <c r="I30" s="12">
        <v>2.5227869083105446E-2</v>
      </c>
      <c r="J30" s="12">
        <v>-2.0422460071790948E-2</v>
      </c>
      <c r="K30" s="43">
        <v>8.4149364332257084E-3</v>
      </c>
    </row>
    <row r="31" spans="2:11" x14ac:dyDescent="0.3">
      <c r="B31" s="3" t="s">
        <v>2</v>
      </c>
      <c r="C31" s="12">
        <v>-4.2979984811257678E-2</v>
      </c>
      <c r="D31" s="12">
        <v>-1.8380554074158964E-2</v>
      </c>
      <c r="E31" s="22">
        <v>1</v>
      </c>
      <c r="F31" s="12">
        <v>0.52064593346337373</v>
      </c>
      <c r="G31" s="12">
        <v>-0.38554480844572991</v>
      </c>
      <c r="H31" s="12">
        <v>0.37728162448505687</v>
      </c>
      <c r="I31" s="12">
        <v>-0.38480941645082717</v>
      </c>
      <c r="J31" s="12">
        <v>0.93421996002345931</v>
      </c>
      <c r="K31" s="43">
        <v>0.30542368911328444</v>
      </c>
    </row>
    <row r="32" spans="2:11" x14ac:dyDescent="0.3">
      <c r="B32" s="3" t="s">
        <v>3</v>
      </c>
      <c r="C32" s="12">
        <v>-2.4273272583796912E-2</v>
      </c>
      <c r="D32" s="12">
        <v>-2.7682571161050398E-2</v>
      </c>
      <c r="E32" s="12">
        <v>0.52064593346337373</v>
      </c>
      <c r="F32" s="22">
        <v>1</v>
      </c>
      <c r="G32" s="12">
        <v>0.35204436889459517</v>
      </c>
      <c r="H32" s="12">
        <v>0.27019724210094193</v>
      </c>
      <c r="I32" s="12">
        <v>0.35268576487996722</v>
      </c>
      <c r="J32" s="12">
        <v>0.51406424867129485</v>
      </c>
      <c r="K32" s="43">
        <v>-0.44460240270917256</v>
      </c>
    </row>
    <row r="33" spans="2:11" x14ac:dyDescent="0.3">
      <c r="B33" s="3" t="s">
        <v>4</v>
      </c>
      <c r="C33" s="12">
        <v>6.3263149297963991E-2</v>
      </c>
      <c r="D33" s="12">
        <v>2.4827374795989773E-2</v>
      </c>
      <c r="E33" s="12">
        <v>-0.38554480844572991</v>
      </c>
      <c r="F33" s="12">
        <v>0.35204436889459517</v>
      </c>
      <c r="G33" s="22">
        <v>1</v>
      </c>
      <c r="H33" s="12">
        <v>-8.4391135796361164E-2</v>
      </c>
      <c r="I33" s="12">
        <v>0.9999505791391351</v>
      </c>
      <c r="J33" s="12">
        <v>-0.35035407925831624</v>
      </c>
      <c r="K33" s="43">
        <v>-0.5234155295239401</v>
      </c>
    </row>
    <row r="34" spans="2:11" x14ac:dyDescent="0.3">
      <c r="B34" s="3" t="s">
        <v>5</v>
      </c>
      <c r="C34" s="12">
        <v>-0.33415578705979182</v>
      </c>
      <c r="D34" s="12">
        <v>-3.2416225326947774E-2</v>
      </c>
      <c r="E34" s="12">
        <v>0.37728162448505687</v>
      </c>
      <c r="F34" s="12">
        <v>0.27019724210094193</v>
      </c>
      <c r="G34" s="12">
        <v>-8.4391135796361164E-2</v>
      </c>
      <c r="H34" s="22">
        <v>1</v>
      </c>
      <c r="I34" s="12">
        <v>-8.4437506302499132E-2</v>
      </c>
      <c r="J34" s="12">
        <v>0.59628184081178537</v>
      </c>
      <c r="K34" s="43">
        <v>6.9198892248631211E-2</v>
      </c>
    </row>
    <row r="35" spans="2:11" x14ac:dyDescent="0.3">
      <c r="B35" s="3" t="s">
        <v>6</v>
      </c>
      <c r="C35" s="12">
        <v>6.240713252966263E-2</v>
      </c>
      <c r="D35" s="12">
        <v>2.5227869083105446E-2</v>
      </c>
      <c r="E35" s="12">
        <v>-0.38480941645082717</v>
      </c>
      <c r="F35" s="12">
        <v>0.35268576487996722</v>
      </c>
      <c r="G35" s="12">
        <v>0.9999505791391351</v>
      </c>
      <c r="H35" s="12">
        <v>-8.4437506302499132E-2</v>
      </c>
      <c r="I35" s="22">
        <v>1</v>
      </c>
      <c r="J35" s="12">
        <v>-0.34959682592868585</v>
      </c>
      <c r="K35" s="43">
        <v>-0.52395988624354306</v>
      </c>
    </row>
    <row r="36" spans="2:11" x14ac:dyDescent="0.3">
      <c r="B36" s="3" t="s">
        <v>7</v>
      </c>
      <c r="C36" s="12">
        <v>-0.29265078399556571</v>
      </c>
      <c r="D36" s="12">
        <v>-2.0422460071790948E-2</v>
      </c>
      <c r="E36" s="12">
        <v>0.93421996002345931</v>
      </c>
      <c r="F36" s="12">
        <v>0.51406424867129485</v>
      </c>
      <c r="G36" s="12">
        <v>-0.35035407925831624</v>
      </c>
      <c r="H36" s="12">
        <v>0.59628184081178537</v>
      </c>
      <c r="I36" s="12">
        <v>-0.34959682592868585</v>
      </c>
      <c r="J36" s="22">
        <v>1</v>
      </c>
      <c r="K36" s="43">
        <v>0.26779847231995807</v>
      </c>
    </row>
    <row r="37" spans="2:11" ht="15" thickBot="1" x14ac:dyDescent="0.35">
      <c r="B37" s="41" t="s">
        <v>8</v>
      </c>
      <c r="C37" s="42">
        <v>-5.2658941940251086E-3</v>
      </c>
      <c r="D37" s="42">
        <v>8.4149364332257084E-3</v>
      </c>
      <c r="E37" s="42">
        <v>0.30542368911328444</v>
      </c>
      <c r="F37" s="42">
        <v>-0.44460240270917256</v>
      </c>
      <c r="G37" s="42">
        <v>-0.5234155295239401</v>
      </c>
      <c r="H37" s="42">
        <v>6.9198892248631211E-2</v>
      </c>
      <c r="I37" s="42">
        <v>-0.52395988624354306</v>
      </c>
      <c r="J37" s="42">
        <v>0.26779847231995807</v>
      </c>
      <c r="K37" s="44">
        <v>1</v>
      </c>
    </row>
    <row r="40" spans="2:11" x14ac:dyDescent="0.3">
      <c r="B40" s="2" t="s">
        <v>487</v>
      </c>
    </row>
    <row r="42" spans="2:11" x14ac:dyDescent="0.3">
      <c r="B42" t="s">
        <v>488</v>
      </c>
    </row>
    <row r="43" spans="2:11" ht="15" thickBot="1" x14ac:dyDescent="0.35"/>
    <row r="44" spans="2:11" x14ac:dyDescent="0.3">
      <c r="B44" s="4" t="s">
        <v>489</v>
      </c>
      <c r="C44" s="5" t="s">
        <v>490</v>
      </c>
    </row>
    <row r="45" spans="2:11" x14ac:dyDescent="0.3">
      <c r="B45" s="15" t="s">
        <v>16</v>
      </c>
      <c r="C45" s="17">
        <v>403</v>
      </c>
    </row>
    <row r="46" spans="2:11" x14ac:dyDescent="0.3">
      <c r="B46" s="3" t="s">
        <v>27</v>
      </c>
      <c r="C46" s="12">
        <v>386</v>
      </c>
    </row>
    <row r="47" spans="2:11" x14ac:dyDescent="0.3">
      <c r="B47" s="3" t="s">
        <v>491</v>
      </c>
      <c r="C47" s="12">
        <v>25751.941827036182</v>
      </c>
    </row>
    <row r="48" spans="2:11" x14ac:dyDescent="0.3">
      <c r="B48" s="3" t="s">
        <v>30</v>
      </c>
      <c r="C48" s="12">
        <v>66.714875199575602</v>
      </c>
    </row>
    <row r="49" spans="2:6" x14ac:dyDescent="0.3">
      <c r="B49" s="3" t="s">
        <v>31</v>
      </c>
      <c r="C49" s="12">
        <v>8.1679174334450515</v>
      </c>
    </row>
    <row r="50" spans="2:6" x14ac:dyDescent="0.3">
      <c r="B50" s="3" t="s">
        <v>35</v>
      </c>
      <c r="C50" s="12">
        <v>1711.4034870804369</v>
      </c>
    </row>
    <row r="51" spans="2:6" x14ac:dyDescent="0.3">
      <c r="B51" s="3" t="s">
        <v>36</v>
      </c>
      <c r="C51" s="12">
        <v>1713.1847370804369</v>
      </c>
    </row>
    <row r="52" spans="2:6" ht="15" thickBot="1" x14ac:dyDescent="0.35">
      <c r="B52" s="7" t="s">
        <v>492</v>
      </c>
      <c r="C52" s="13">
        <v>4</v>
      </c>
    </row>
    <row r="55" spans="2:6" x14ac:dyDescent="0.3">
      <c r="B55" t="s">
        <v>493</v>
      </c>
    </row>
    <row r="56" spans="2:6" ht="15" thickBot="1" x14ac:dyDescent="0.35"/>
    <row r="57" spans="2:6" ht="43.2" x14ac:dyDescent="0.3">
      <c r="B57" s="4" t="s">
        <v>494</v>
      </c>
      <c r="C57" s="5" t="s">
        <v>54</v>
      </c>
      <c r="D57" s="5" t="s">
        <v>55</v>
      </c>
      <c r="E57" s="5" t="s">
        <v>58</v>
      </c>
      <c r="F57" s="5" t="s">
        <v>59</v>
      </c>
    </row>
    <row r="58" spans="2:6" x14ac:dyDescent="0.3">
      <c r="B58" s="15" t="s">
        <v>495</v>
      </c>
      <c r="C58" s="17">
        <v>86.515495853195347</v>
      </c>
      <c r="D58" s="17">
        <v>40.444060628089829</v>
      </c>
      <c r="E58" s="17">
        <v>6.9972653685465787</v>
      </c>
      <c r="F58" s="17">
        <v>166.03372633784412</v>
      </c>
    </row>
    <row r="59" spans="2:6" x14ac:dyDescent="0.3">
      <c r="B59" s="3" t="s">
        <v>496</v>
      </c>
      <c r="C59" s="12">
        <v>-191.29246661140178</v>
      </c>
      <c r="D59" s="12">
        <v>100.59497165007529</v>
      </c>
      <c r="E59" s="12">
        <v>-389.07513276910493</v>
      </c>
      <c r="F59" s="12">
        <v>6.4901995463013691</v>
      </c>
    </row>
    <row r="60" spans="2:6" x14ac:dyDescent="0.3">
      <c r="B60" s="3" t="s">
        <v>497</v>
      </c>
      <c r="C60" s="12">
        <v>-5.2963079174231087</v>
      </c>
      <c r="D60" s="12">
        <v>1.1645509214822383</v>
      </c>
      <c r="E60" s="12">
        <v>-7.5859649683577679</v>
      </c>
      <c r="F60" s="12">
        <v>-3.006650866488449</v>
      </c>
    </row>
    <row r="61" spans="2:6" x14ac:dyDescent="0.3">
      <c r="B61" s="3" t="s">
        <v>498</v>
      </c>
      <c r="C61" s="12">
        <v>0.86640506302733256</v>
      </c>
      <c r="D61" s="12">
        <v>0.54125631916294414</v>
      </c>
      <c r="E61" s="12">
        <v>-0.19777454876414491</v>
      </c>
      <c r="F61" s="12">
        <v>1.93058467481881</v>
      </c>
    </row>
    <row r="62" spans="2:6" x14ac:dyDescent="0.3">
      <c r="B62" s="3" t="s">
        <v>499</v>
      </c>
      <c r="C62" s="12">
        <v>-7.0268334391297111</v>
      </c>
      <c r="D62" s="12">
        <v>0.34198762965451218</v>
      </c>
      <c r="E62" s="12">
        <v>-7.699225150927286</v>
      </c>
      <c r="F62" s="12">
        <v>-6.3544417273321363</v>
      </c>
    </row>
    <row r="63" spans="2:6" x14ac:dyDescent="0.3">
      <c r="B63" s="3" t="s">
        <v>500</v>
      </c>
      <c r="C63" s="12">
        <v>12.283408544028005</v>
      </c>
      <c r="D63" s="12">
        <v>11.428974769222721</v>
      </c>
      <c r="E63" s="12">
        <v>-10.187427365833281</v>
      </c>
      <c r="F63" s="12">
        <v>34.754244453889292</v>
      </c>
    </row>
    <row r="64" spans="2:6" x14ac:dyDescent="0.3">
      <c r="B64" s="3" t="s">
        <v>501</v>
      </c>
      <c r="C64" s="12">
        <v>-5.0607424440255094E-2</v>
      </c>
      <c r="D64" s="12">
        <v>1.5078497427966713</v>
      </c>
      <c r="E64" s="12">
        <v>-3.0152341587956135</v>
      </c>
      <c r="F64" s="12">
        <v>2.9140193099151031</v>
      </c>
    </row>
    <row r="65" spans="2:6" x14ac:dyDescent="0.3">
      <c r="B65" s="3" t="s">
        <v>502</v>
      </c>
      <c r="C65" s="12">
        <v>-18.011563376838033</v>
      </c>
      <c r="D65" s="12">
        <v>18.198418280849655</v>
      </c>
      <c r="E65" s="12">
        <v>-53.791996815996271</v>
      </c>
      <c r="F65" s="12">
        <v>17.768870062320204</v>
      </c>
    </row>
    <row r="66" spans="2:6" x14ac:dyDescent="0.3">
      <c r="B66" s="3" t="s">
        <v>503</v>
      </c>
      <c r="C66" s="12">
        <v>7184.2764028173551</v>
      </c>
      <c r="D66" s="12">
        <v>3049.202227796548</v>
      </c>
      <c r="E66" s="12">
        <v>1189.1522293601429</v>
      </c>
      <c r="F66" s="12">
        <v>13179.400576274567</v>
      </c>
    </row>
    <row r="67" spans="2:6" x14ac:dyDescent="0.3">
      <c r="B67" s="3" t="s">
        <v>504</v>
      </c>
      <c r="C67" s="12">
        <v>85.99482579831971</v>
      </c>
      <c r="D67" s="12">
        <v>45.190130340379149</v>
      </c>
      <c r="E67" s="12">
        <v>-2.8547888108973041</v>
      </c>
      <c r="F67" s="12">
        <v>174.84444040753672</v>
      </c>
    </row>
    <row r="68" spans="2:6" x14ac:dyDescent="0.3">
      <c r="B68" s="3" t="s">
        <v>505</v>
      </c>
      <c r="C68" s="12">
        <v>0.74155582442162671</v>
      </c>
      <c r="D68" s="12">
        <v>0.1626852309069555</v>
      </c>
      <c r="E68" s="12">
        <v>0.42169571426436969</v>
      </c>
      <c r="F68" s="12">
        <v>1.0614159345788838</v>
      </c>
    </row>
    <row r="69" spans="2:6" x14ac:dyDescent="0.3">
      <c r="B69" s="3" t="s">
        <v>506</v>
      </c>
      <c r="C69" s="12">
        <v>5.5317022759497451E-4</v>
      </c>
      <c r="D69" s="12">
        <v>6.7294597926735337E-3</v>
      </c>
      <c r="E69" s="12">
        <v>-1.2677814162220096E-2</v>
      </c>
      <c r="F69" s="12">
        <v>1.3784154617410045E-2</v>
      </c>
    </row>
    <row r="70" spans="2:6" x14ac:dyDescent="0.3">
      <c r="B70" s="3" t="s">
        <v>507</v>
      </c>
      <c r="C70" s="12">
        <v>0.13638829718500742</v>
      </c>
      <c r="D70" s="12">
        <v>8.5630155475380325E-3</v>
      </c>
      <c r="E70" s="12">
        <v>0.11955230610552021</v>
      </c>
      <c r="F70" s="12">
        <v>0.15322428826449463</v>
      </c>
    </row>
    <row r="71" spans="2:6" x14ac:dyDescent="0.3">
      <c r="B71" s="3" t="s">
        <v>508</v>
      </c>
      <c r="C71" s="12">
        <v>-2.6110789472689566</v>
      </c>
      <c r="D71" s="12">
        <v>3.3651639939385039</v>
      </c>
      <c r="E71" s="12">
        <v>-9.227424633952829</v>
      </c>
      <c r="F71" s="12">
        <v>4.0052667394149157</v>
      </c>
    </row>
    <row r="72" spans="2:6" x14ac:dyDescent="0.3">
      <c r="B72" s="3" t="s">
        <v>509</v>
      </c>
      <c r="C72" s="12">
        <v>0.46833862524062486</v>
      </c>
      <c r="D72" s="12">
        <v>0.24329258535781453</v>
      </c>
      <c r="E72" s="12">
        <v>-1.0005922197130812E-2</v>
      </c>
      <c r="F72" s="12">
        <v>0.94668317267838054</v>
      </c>
    </row>
    <row r="73" spans="2:6" x14ac:dyDescent="0.3">
      <c r="B73" s="3" t="s">
        <v>510</v>
      </c>
      <c r="C73" s="12">
        <v>6.5937823091071399</v>
      </c>
      <c r="D73" s="12">
        <v>8.5123613604649346</v>
      </c>
      <c r="E73" s="12">
        <v>-10.142616116721211</v>
      </c>
      <c r="F73" s="12">
        <v>23.330180734935492</v>
      </c>
    </row>
    <row r="74" spans="2:6" ht="15" thickBot="1" x14ac:dyDescent="0.35">
      <c r="B74" s="7" t="s">
        <v>511</v>
      </c>
      <c r="C74" s="13">
        <v>-406707.55029069475</v>
      </c>
      <c r="D74" s="13">
        <v>196254.91249771509</v>
      </c>
      <c r="E74" s="13">
        <v>-792569.97664901835</v>
      </c>
      <c r="F74" s="13">
        <v>-20845.123932371149</v>
      </c>
    </row>
    <row r="77" spans="2:6" x14ac:dyDescent="0.3">
      <c r="B77" t="s">
        <v>512</v>
      </c>
    </row>
    <row r="79" spans="2:6" x14ac:dyDescent="0.3">
      <c r="B79" t="s">
        <v>513</v>
      </c>
    </row>
    <row r="81" spans="2:13" x14ac:dyDescent="0.3">
      <c r="B81" t="s">
        <v>514</v>
      </c>
    </row>
    <row r="82" spans="2:13" ht="15" thickBot="1" x14ac:dyDescent="0.35"/>
    <row r="83" spans="2:13" ht="28.8" x14ac:dyDescent="0.3">
      <c r="B83" s="4" t="s">
        <v>16</v>
      </c>
      <c r="C83" s="5" t="s">
        <v>0</v>
      </c>
      <c r="D83" s="5" t="s">
        <v>1</v>
      </c>
      <c r="E83" s="5" t="s">
        <v>2</v>
      </c>
      <c r="F83" s="5" t="s">
        <v>3</v>
      </c>
      <c r="G83" s="5" t="s">
        <v>4</v>
      </c>
      <c r="H83" s="5" t="s">
        <v>5</v>
      </c>
      <c r="I83" s="5" t="s">
        <v>6</v>
      </c>
      <c r="J83" s="5" t="s">
        <v>7</v>
      </c>
      <c r="K83" s="5" t="s">
        <v>8</v>
      </c>
      <c r="L83" s="5" t="s">
        <v>473</v>
      </c>
      <c r="M83" s="5" t="s">
        <v>515</v>
      </c>
    </row>
    <row r="84" spans="2:13" x14ac:dyDescent="0.3">
      <c r="B84" s="15" t="s">
        <v>70</v>
      </c>
      <c r="C84" s="38">
        <v>0.6</v>
      </c>
      <c r="D84" s="38">
        <v>4</v>
      </c>
      <c r="E84" s="38">
        <v>20</v>
      </c>
      <c r="F84" s="38">
        <v>13.8</v>
      </c>
      <c r="G84" s="38">
        <v>31.999477370000001</v>
      </c>
      <c r="H84" s="38">
        <v>1.88</v>
      </c>
      <c r="I84" s="38">
        <v>20.12</v>
      </c>
      <c r="J84" s="38">
        <v>6.9699999999999996E-3</v>
      </c>
      <c r="K84" s="38">
        <v>-2.6523485720000002</v>
      </c>
      <c r="L84" s="17">
        <v>-1.9224670523719283</v>
      </c>
      <c r="M84" s="17">
        <v>-0.72988151962807191</v>
      </c>
    </row>
    <row r="85" spans="2:13" x14ac:dyDescent="0.3">
      <c r="B85" s="3" t="s">
        <v>71</v>
      </c>
      <c r="C85" s="9">
        <v>1</v>
      </c>
      <c r="D85" s="9">
        <v>6</v>
      </c>
      <c r="E85" s="9">
        <v>30</v>
      </c>
      <c r="F85" s="9">
        <v>7.2</v>
      </c>
      <c r="G85" s="9">
        <v>4.1669299559999997</v>
      </c>
      <c r="H85" s="9">
        <v>7.6656000000000004</v>
      </c>
      <c r="I85" s="9">
        <v>2.62</v>
      </c>
      <c r="J85" s="9">
        <v>9.1083599999999994E-3</v>
      </c>
      <c r="K85" s="9">
        <v>8.5512575000000002</v>
      </c>
      <c r="L85" s="12">
        <v>21.850318065033356</v>
      </c>
      <c r="M85" s="12">
        <v>-13.299060565033356</v>
      </c>
    </row>
    <row r="86" spans="2:13" x14ac:dyDescent="0.3">
      <c r="B86" s="3" t="s">
        <v>72</v>
      </c>
      <c r="C86" s="9">
        <v>0.6</v>
      </c>
      <c r="D86" s="9">
        <v>4</v>
      </c>
      <c r="E86" s="9">
        <v>10</v>
      </c>
      <c r="F86" s="9">
        <v>3.2</v>
      </c>
      <c r="G86" s="9">
        <v>4.0078868280000002</v>
      </c>
      <c r="H86" s="9">
        <v>0.94</v>
      </c>
      <c r="I86" s="9">
        <v>2.52</v>
      </c>
      <c r="J86" s="9">
        <v>4.0000000000000001E-3</v>
      </c>
      <c r="K86" s="9">
        <v>4.7125161450000004</v>
      </c>
      <c r="L86" s="12">
        <v>7.3763255001827268</v>
      </c>
      <c r="M86" s="12">
        <v>-2.6638093551827264</v>
      </c>
    </row>
    <row r="87" spans="2:13" x14ac:dyDescent="0.3">
      <c r="B87" s="3" t="s">
        <v>73</v>
      </c>
      <c r="C87" s="9">
        <v>1.6666666670000001</v>
      </c>
      <c r="D87" s="9">
        <v>4</v>
      </c>
      <c r="E87" s="9">
        <v>60</v>
      </c>
      <c r="F87" s="9">
        <v>18.399999999999999</v>
      </c>
      <c r="G87" s="9">
        <v>3.292192751</v>
      </c>
      <c r="H87" s="9">
        <v>3.24</v>
      </c>
      <c r="I87" s="9">
        <v>2.0699999999999998</v>
      </c>
      <c r="J87" s="9">
        <v>1.205E-2</v>
      </c>
      <c r="K87" s="9">
        <v>5.2274105290000001</v>
      </c>
      <c r="L87" s="12">
        <v>3.4833846931112546</v>
      </c>
      <c r="M87" s="12">
        <v>1.7440258358887455</v>
      </c>
    </row>
    <row r="88" spans="2:13" x14ac:dyDescent="0.3">
      <c r="B88" s="3" t="s">
        <v>74</v>
      </c>
      <c r="C88" s="9">
        <v>1</v>
      </c>
      <c r="D88" s="9">
        <v>6</v>
      </c>
      <c r="E88" s="9">
        <v>15</v>
      </c>
      <c r="F88" s="9">
        <v>10</v>
      </c>
      <c r="G88" s="9">
        <v>23.68152177</v>
      </c>
      <c r="H88" s="9">
        <v>6.5609999999999999</v>
      </c>
      <c r="I88" s="9">
        <v>14.89</v>
      </c>
      <c r="J88" s="9">
        <v>6.6531000000000003E-3</v>
      </c>
      <c r="K88" s="9">
        <v>-1.0631378490000001</v>
      </c>
      <c r="L88" s="12">
        <v>2.5388570326609958</v>
      </c>
      <c r="M88" s="12">
        <v>-3.6019948816609961</v>
      </c>
    </row>
    <row r="89" spans="2:13" x14ac:dyDescent="0.3">
      <c r="B89" s="3" t="s">
        <v>75</v>
      </c>
      <c r="C89" s="9">
        <v>0.6</v>
      </c>
      <c r="D89" s="9">
        <v>4</v>
      </c>
      <c r="E89" s="9">
        <v>10</v>
      </c>
      <c r="F89" s="9">
        <v>9.6</v>
      </c>
      <c r="G89" s="9">
        <v>35.403000310000003</v>
      </c>
      <c r="H89" s="9">
        <v>0.94</v>
      </c>
      <c r="I89" s="9">
        <v>22.26</v>
      </c>
      <c r="J89" s="9">
        <v>4.0000000000000001E-3</v>
      </c>
      <c r="K89" s="9">
        <v>-1.8012541989999999</v>
      </c>
      <c r="L89" s="12">
        <v>-1.6478402710232132</v>
      </c>
      <c r="M89" s="12">
        <v>-0.15341392797678677</v>
      </c>
    </row>
    <row r="90" spans="2:13" x14ac:dyDescent="0.3">
      <c r="B90" s="3" t="s">
        <v>76</v>
      </c>
      <c r="C90" s="9">
        <v>1.6666666670000001</v>
      </c>
      <c r="D90" s="9">
        <v>4</v>
      </c>
      <c r="E90" s="9">
        <v>60</v>
      </c>
      <c r="F90" s="9">
        <v>13.8</v>
      </c>
      <c r="G90" s="9">
        <v>3.133149623</v>
      </c>
      <c r="H90" s="9">
        <v>3.24</v>
      </c>
      <c r="I90" s="9">
        <v>1.97</v>
      </c>
      <c r="J90" s="9">
        <v>1.205E-2</v>
      </c>
      <c r="K90" s="9">
        <v>9.3266259460000001</v>
      </c>
      <c r="L90" s="12">
        <v>15.456939179345063</v>
      </c>
      <c r="M90" s="12">
        <v>-6.1303132333450634</v>
      </c>
    </row>
    <row r="91" spans="2:13" x14ac:dyDescent="0.3">
      <c r="B91" s="3" t="s">
        <v>77</v>
      </c>
      <c r="C91" s="9">
        <v>1.6666666670000001</v>
      </c>
      <c r="D91" s="9">
        <v>6</v>
      </c>
      <c r="E91" s="9">
        <v>60</v>
      </c>
      <c r="F91" s="9">
        <v>27.6</v>
      </c>
      <c r="G91" s="9">
        <v>1.5109097170000001</v>
      </c>
      <c r="H91" s="9">
        <v>3.24</v>
      </c>
      <c r="I91" s="9">
        <v>0.95</v>
      </c>
      <c r="J91" s="9">
        <v>1.204998E-2</v>
      </c>
      <c r="K91" s="9">
        <v>2.3933102380000002</v>
      </c>
      <c r="L91" s="12">
        <v>-0.87591929870960428</v>
      </c>
      <c r="M91" s="12">
        <v>3.2692295367096045</v>
      </c>
    </row>
    <row r="92" spans="2:13" x14ac:dyDescent="0.3">
      <c r="B92" s="3" t="s">
        <v>78</v>
      </c>
      <c r="C92" s="9">
        <v>0.6</v>
      </c>
      <c r="D92" s="9">
        <v>1</v>
      </c>
      <c r="E92" s="9">
        <v>20</v>
      </c>
      <c r="F92" s="9">
        <v>2.2999999999999998</v>
      </c>
      <c r="G92" s="9">
        <v>0</v>
      </c>
      <c r="H92" s="9">
        <v>1.88</v>
      </c>
      <c r="I92" s="9">
        <v>0</v>
      </c>
      <c r="J92" s="9">
        <v>6.9699999999999996E-3</v>
      </c>
      <c r="K92" s="9">
        <v>38.591876030000002</v>
      </c>
      <c r="L92" s="12">
        <v>32.128889391265432</v>
      </c>
      <c r="M92" s="12">
        <v>6.46298663873457</v>
      </c>
    </row>
    <row r="93" spans="2:13" x14ac:dyDescent="0.3">
      <c r="B93" s="3" t="s">
        <v>79</v>
      </c>
      <c r="C93" s="9">
        <v>1</v>
      </c>
      <c r="D93" s="9">
        <v>1</v>
      </c>
      <c r="E93" s="9">
        <v>10</v>
      </c>
      <c r="F93" s="9">
        <v>5.4</v>
      </c>
      <c r="G93" s="9">
        <v>5.3279447910000002</v>
      </c>
      <c r="H93" s="9">
        <v>5.8784999999999998</v>
      </c>
      <c r="I93" s="9">
        <v>3.35</v>
      </c>
      <c r="J93" s="9">
        <v>5.5425099999999996E-3</v>
      </c>
      <c r="K93" s="9">
        <v>1.622004843</v>
      </c>
      <c r="L93" s="12">
        <v>-0.3888511331090605</v>
      </c>
      <c r="M93" s="12">
        <v>2.0108559761090605</v>
      </c>
    </row>
    <row r="94" spans="2:13" x14ac:dyDescent="0.3">
      <c r="B94" s="3" t="s">
        <v>80</v>
      </c>
      <c r="C94" s="9">
        <v>1</v>
      </c>
      <c r="D94" s="9">
        <v>4</v>
      </c>
      <c r="E94" s="9">
        <v>20</v>
      </c>
      <c r="F94" s="9">
        <v>8.4</v>
      </c>
      <c r="G94" s="9">
        <v>8.8268936090000008</v>
      </c>
      <c r="H94" s="9">
        <v>7.0444000000000004</v>
      </c>
      <c r="I94" s="9">
        <v>5.55</v>
      </c>
      <c r="J94" s="9">
        <v>7.5770400000000002E-3</v>
      </c>
      <c r="K94" s="9">
        <v>2.1826909890000001</v>
      </c>
      <c r="L94" s="12">
        <v>2.1404298828941606</v>
      </c>
      <c r="M94" s="12">
        <v>4.2261106105839552E-2</v>
      </c>
    </row>
    <row r="95" spans="2:13" x14ac:dyDescent="0.3">
      <c r="B95" s="3" t="s">
        <v>81</v>
      </c>
      <c r="C95" s="9">
        <v>1.6666666670000001</v>
      </c>
      <c r="D95" s="9">
        <v>6</v>
      </c>
      <c r="E95" s="9">
        <v>60</v>
      </c>
      <c r="F95" s="9">
        <v>23</v>
      </c>
      <c r="G95" s="9">
        <v>0.87473720399999999</v>
      </c>
      <c r="H95" s="9">
        <v>3.24</v>
      </c>
      <c r="I95" s="9">
        <v>0.55000000000000004</v>
      </c>
      <c r="J95" s="9">
        <v>1.204998E-2</v>
      </c>
      <c r="K95" s="9">
        <v>3.4642517960000001</v>
      </c>
      <c r="L95" s="12">
        <v>-0.90144632614649112</v>
      </c>
      <c r="M95" s="12">
        <v>4.3656981221464912</v>
      </c>
    </row>
    <row r="96" spans="2:13" x14ac:dyDescent="0.3">
      <c r="B96" s="3" t="s">
        <v>82</v>
      </c>
      <c r="C96" s="9">
        <v>1.6666666670000001</v>
      </c>
      <c r="D96" s="9">
        <v>2</v>
      </c>
      <c r="E96" s="9">
        <v>10</v>
      </c>
      <c r="F96" s="9">
        <v>9.8000000000000007</v>
      </c>
      <c r="G96" s="9">
        <v>28.96175362</v>
      </c>
      <c r="H96" s="9">
        <v>0.54</v>
      </c>
      <c r="I96" s="9">
        <v>18.21</v>
      </c>
      <c r="J96" s="9">
        <v>2.5500000000000002E-3</v>
      </c>
      <c r="K96" s="9">
        <v>-0.980954522</v>
      </c>
      <c r="L96" s="12">
        <v>-8.1628504031892088</v>
      </c>
      <c r="M96" s="12">
        <v>7.1818958811892086</v>
      </c>
    </row>
    <row r="97" spans="2:13" x14ac:dyDescent="0.3">
      <c r="B97" s="3" t="s">
        <v>83</v>
      </c>
      <c r="C97" s="9">
        <v>1.6666666670000001</v>
      </c>
      <c r="D97" s="9">
        <v>1</v>
      </c>
      <c r="E97" s="9">
        <v>20</v>
      </c>
      <c r="F97" s="9">
        <v>9.1999999999999993</v>
      </c>
      <c r="G97" s="9">
        <v>6.9501846970000001</v>
      </c>
      <c r="H97" s="9">
        <v>1.08</v>
      </c>
      <c r="I97" s="9">
        <v>4.37</v>
      </c>
      <c r="J97" s="9">
        <v>4.8399999999999997E-3</v>
      </c>
      <c r="K97" s="9">
        <v>2.0166808340000002</v>
      </c>
      <c r="L97" s="12">
        <v>-1.3490838685384361</v>
      </c>
      <c r="M97" s="12">
        <v>3.3657647025384363</v>
      </c>
    </row>
    <row r="98" spans="2:13" x14ac:dyDescent="0.3">
      <c r="B98" s="3" t="s">
        <v>84</v>
      </c>
      <c r="C98" s="9">
        <v>1</v>
      </c>
      <c r="D98" s="9">
        <v>1</v>
      </c>
      <c r="E98" s="9">
        <v>30</v>
      </c>
      <c r="F98" s="9">
        <v>25.6</v>
      </c>
      <c r="G98" s="9">
        <v>32.667458510000003</v>
      </c>
      <c r="H98" s="9">
        <v>7.6656000000000004</v>
      </c>
      <c r="I98" s="9">
        <v>20.54</v>
      </c>
      <c r="J98" s="9">
        <v>9.1083599999999994E-3</v>
      </c>
      <c r="K98" s="9">
        <v>-1.883711527</v>
      </c>
      <c r="L98" s="12">
        <v>-1.7973153553297649</v>
      </c>
      <c r="M98" s="12">
        <v>-8.6396171670235056E-2</v>
      </c>
    </row>
    <row r="99" spans="2:13" x14ac:dyDescent="0.3">
      <c r="B99" s="3" t="s">
        <v>85</v>
      </c>
      <c r="C99" s="9">
        <v>1.6666666670000001</v>
      </c>
      <c r="D99" s="9">
        <v>2</v>
      </c>
      <c r="E99" s="9">
        <v>10</v>
      </c>
      <c r="F99" s="9">
        <v>9.6</v>
      </c>
      <c r="G99" s="9">
        <v>28.341485429999999</v>
      </c>
      <c r="H99" s="9">
        <v>0.54</v>
      </c>
      <c r="I99" s="9">
        <v>17.82</v>
      </c>
      <c r="J99" s="9">
        <v>2.5500000000000002E-3</v>
      </c>
      <c r="K99" s="9">
        <v>-0.955468447</v>
      </c>
      <c r="L99" s="12">
        <v>-7.7284573030929504</v>
      </c>
      <c r="M99" s="12">
        <v>6.7729888560929501</v>
      </c>
    </row>
    <row r="100" spans="2:13" x14ac:dyDescent="0.3">
      <c r="B100" s="3" t="s">
        <v>86</v>
      </c>
      <c r="C100" s="9">
        <v>0.6</v>
      </c>
      <c r="D100" s="9">
        <v>6</v>
      </c>
      <c r="E100" s="9">
        <v>10</v>
      </c>
      <c r="F100" s="9">
        <v>8</v>
      </c>
      <c r="G100" s="9">
        <v>27.164566279999999</v>
      </c>
      <c r="H100" s="9">
        <v>0.94</v>
      </c>
      <c r="I100" s="9">
        <v>17.079999999999998</v>
      </c>
      <c r="J100" s="9">
        <v>4.00002E-3</v>
      </c>
      <c r="K100" s="9">
        <v>-1.199120535</v>
      </c>
      <c r="L100" s="12">
        <v>4.3114958283801066</v>
      </c>
      <c r="M100" s="12">
        <v>-5.5106163633801071</v>
      </c>
    </row>
    <row r="101" spans="2:13" x14ac:dyDescent="0.3">
      <c r="B101" s="3" t="s">
        <v>87</v>
      </c>
      <c r="C101" s="9">
        <v>1.6666666670000001</v>
      </c>
      <c r="D101" s="9">
        <v>6</v>
      </c>
      <c r="E101" s="9">
        <v>60</v>
      </c>
      <c r="F101" s="9">
        <v>4.5999999999999996</v>
      </c>
      <c r="G101" s="9">
        <v>0</v>
      </c>
      <c r="H101" s="9">
        <v>3.24</v>
      </c>
      <c r="I101" s="9">
        <v>0</v>
      </c>
      <c r="J101" s="9">
        <v>1.204998E-2</v>
      </c>
      <c r="K101" s="9">
        <v>86.831721079999994</v>
      </c>
      <c r="L101" s="12">
        <v>58.293749057167446</v>
      </c>
      <c r="M101" s="12">
        <v>28.537972022832548</v>
      </c>
    </row>
    <row r="102" spans="2:13" x14ac:dyDescent="0.3">
      <c r="B102" s="3" t="s">
        <v>88</v>
      </c>
      <c r="C102" s="9">
        <v>1.6666666670000001</v>
      </c>
      <c r="D102" s="9">
        <v>4</v>
      </c>
      <c r="E102" s="9">
        <v>20</v>
      </c>
      <c r="F102" s="9">
        <v>2.2999999999999998</v>
      </c>
      <c r="G102" s="9">
        <v>1.1928234609999999</v>
      </c>
      <c r="H102" s="9">
        <v>1.08</v>
      </c>
      <c r="I102" s="9">
        <v>0.75</v>
      </c>
      <c r="J102" s="9">
        <v>4.8399999999999997E-3</v>
      </c>
      <c r="K102" s="9">
        <v>38.405573400000002</v>
      </c>
      <c r="L102" s="12">
        <v>26.231338084782607</v>
      </c>
      <c r="M102" s="12">
        <v>12.174235315217395</v>
      </c>
    </row>
    <row r="103" spans="2:13" x14ac:dyDescent="0.3">
      <c r="B103" s="3" t="s">
        <v>89</v>
      </c>
      <c r="C103" s="9">
        <v>1.6666666670000001</v>
      </c>
      <c r="D103" s="9">
        <v>4</v>
      </c>
      <c r="E103" s="9">
        <v>20</v>
      </c>
      <c r="F103" s="9">
        <v>17</v>
      </c>
      <c r="G103" s="9">
        <v>44.516171550000003</v>
      </c>
      <c r="H103" s="9">
        <v>1.08</v>
      </c>
      <c r="I103" s="9">
        <v>27.99</v>
      </c>
      <c r="J103" s="9">
        <v>4.8399999999999997E-3</v>
      </c>
      <c r="K103" s="9">
        <v>-4.0432285129999999</v>
      </c>
      <c r="L103" s="12">
        <v>-5.3532175945021052</v>
      </c>
      <c r="M103" s="12">
        <v>1.3099890815021054</v>
      </c>
    </row>
    <row r="104" spans="2:13" x14ac:dyDescent="0.3">
      <c r="B104" s="3" t="s">
        <v>90</v>
      </c>
      <c r="C104" s="9">
        <v>1.6666666670000001</v>
      </c>
      <c r="D104" s="9">
        <v>6</v>
      </c>
      <c r="E104" s="9">
        <v>20</v>
      </c>
      <c r="F104" s="9">
        <v>13.8</v>
      </c>
      <c r="G104" s="9">
        <v>24.524450349999999</v>
      </c>
      <c r="H104" s="9">
        <v>1.08</v>
      </c>
      <c r="I104" s="9">
        <v>15.42</v>
      </c>
      <c r="J104" s="9">
        <v>4.8400200000000004E-3</v>
      </c>
      <c r="K104" s="9">
        <v>-1.1155772479999999</v>
      </c>
      <c r="L104" s="12">
        <v>-5.302131237743362</v>
      </c>
      <c r="M104" s="12">
        <v>4.1865539897433619</v>
      </c>
    </row>
    <row r="105" spans="2:13" x14ac:dyDescent="0.3">
      <c r="B105" s="3" t="s">
        <v>91</v>
      </c>
      <c r="C105" s="9">
        <v>1</v>
      </c>
      <c r="D105" s="9">
        <v>6</v>
      </c>
      <c r="E105" s="9">
        <v>20</v>
      </c>
      <c r="F105" s="9">
        <v>14</v>
      </c>
      <c r="G105" s="9">
        <v>19.228314189999999</v>
      </c>
      <c r="H105" s="9">
        <v>7.0444000000000004</v>
      </c>
      <c r="I105" s="9">
        <v>12.09</v>
      </c>
      <c r="J105" s="9">
        <v>7.5770400000000002E-3</v>
      </c>
      <c r="K105" s="9">
        <v>-0.27178638300000002</v>
      </c>
      <c r="L105" s="12">
        <v>-7.1472955998583743</v>
      </c>
      <c r="M105" s="12">
        <v>6.875509216858374</v>
      </c>
    </row>
    <row r="106" spans="2:13" x14ac:dyDescent="0.3">
      <c r="B106" s="3" t="s">
        <v>92</v>
      </c>
      <c r="C106" s="9">
        <v>0.6</v>
      </c>
      <c r="D106" s="9">
        <v>1</v>
      </c>
      <c r="E106" s="9">
        <v>40</v>
      </c>
      <c r="F106" s="9">
        <v>23.4</v>
      </c>
      <c r="G106" s="9">
        <v>14.80691522</v>
      </c>
      <c r="H106" s="9">
        <v>3.76</v>
      </c>
      <c r="I106" s="9">
        <v>9.31</v>
      </c>
      <c r="J106" s="9">
        <v>9.2599999999999991E-3</v>
      </c>
      <c r="K106" s="9">
        <v>0.38197231199999998</v>
      </c>
      <c r="L106" s="12">
        <v>-4.7295989907201488</v>
      </c>
      <c r="M106" s="12">
        <v>5.111571302720149</v>
      </c>
    </row>
    <row r="107" spans="2:13" x14ac:dyDescent="0.3">
      <c r="B107" s="3" t="s">
        <v>93</v>
      </c>
      <c r="C107" s="9">
        <v>0.6</v>
      </c>
      <c r="D107" s="9">
        <v>4</v>
      </c>
      <c r="E107" s="9">
        <v>15</v>
      </c>
      <c r="F107" s="9">
        <v>1.9</v>
      </c>
      <c r="G107" s="9">
        <v>0</v>
      </c>
      <c r="H107" s="9">
        <v>1.41</v>
      </c>
      <c r="I107" s="9">
        <v>0</v>
      </c>
      <c r="J107" s="9">
        <v>5.7099999999999998E-3</v>
      </c>
      <c r="K107" s="9">
        <v>31.810235769999998</v>
      </c>
      <c r="L107" s="12">
        <v>22.26136433194764</v>
      </c>
      <c r="M107" s="12">
        <v>9.5488714380523589</v>
      </c>
    </row>
    <row r="108" spans="2:13" x14ac:dyDescent="0.3">
      <c r="B108" s="3" t="s">
        <v>94</v>
      </c>
      <c r="C108" s="9">
        <v>1.6666666670000001</v>
      </c>
      <c r="D108" s="9">
        <v>2</v>
      </c>
      <c r="E108" s="9">
        <v>60</v>
      </c>
      <c r="F108" s="9">
        <v>32.5</v>
      </c>
      <c r="G108" s="9">
        <v>13.963986650000001</v>
      </c>
      <c r="H108" s="9">
        <v>3.24</v>
      </c>
      <c r="I108" s="9">
        <v>8.7799999999999994</v>
      </c>
      <c r="J108" s="9">
        <v>1.205E-2</v>
      </c>
      <c r="K108" s="9">
        <v>0.588666358</v>
      </c>
      <c r="L108" s="12">
        <v>13.420689680461614</v>
      </c>
      <c r="M108" s="12">
        <v>-12.832023322461614</v>
      </c>
    </row>
    <row r="109" spans="2:13" x14ac:dyDescent="0.3">
      <c r="B109" s="3" t="s">
        <v>95</v>
      </c>
      <c r="C109" s="9">
        <v>1</v>
      </c>
      <c r="D109" s="9">
        <v>2</v>
      </c>
      <c r="E109" s="9">
        <v>10</v>
      </c>
      <c r="F109" s="9">
        <v>7.2</v>
      </c>
      <c r="G109" s="9">
        <v>18.305864039999999</v>
      </c>
      <c r="H109" s="9">
        <v>5.8784999999999998</v>
      </c>
      <c r="I109" s="9">
        <v>11.51</v>
      </c>
      <c r="J109" s="9">
        <v>5.5424999999999997E-3</v>
      </c>
      <c r="K109" s="9">
        <v>-0.13829327699999999</v>
      </c>
      <c r="L109" s="12">
        <v>-1.8946186430319809</v>
      </c>
      <c r="M109" s="12">
        <v>1.7563253660319809</v>
      </c>
    </row>
    <row r="110" spans="2:13" x14ac:dyDescent="0.3">
      <c r="B110" s="3" t="s">
        <v>96</v>
      </c>
      <c r="C110" s="9">
        <v>1.6666666670000001</v>
      </c>
      <c r="D110" s="9">
        <v>4</v>
      </c>
      <c r="E110" s="9">
        <v>10</v>
      </c>
      <c r="F110" s="9">
        <v>1.6</v>
      </c>
      <c r="G110" s="9">
        <v>0</v>
      </c>
      <c r="H110" s="9">
        <v>0.54</v>
      </c>
      <c r="I110" s="9">
        <v>0</v>
      </c>
      <c r="J110" s="9">
        <v>2.5500000000000002E-3</v>
      </c>
      <c r="K110" s="9">
        <v>19.93662346</v>
      </c>
      <c r="L110" s="12">
        <v>10.85901253336894</v>
      </c>
      <c r="M110" s="12">
        <v>9.0776109266310598</v>
      </c>
    </row>
    <row r="111" spans="2:13" x14ac:dyDescent="0.3">
      <c r="B111" s="3" t="s">
        <v>97</v>
      </c>
      <c r="C111" s="9">
        <v>0.6</v>
      </c>
      <c r="D111" s="9">
        <v>4</v>
      </c>
      <c r="E111" s="9">
        <v>60</v>
      </c>
      <c r="F111" s="9">
        <v>9.1999999999999993</v>
      </c>
      <c r="G111" s="9">
        <v>0.28274333899999998</v>
      </c>
      <c r="H111" s="9">
        <v>5.64</v>
      </c>
      <c r="I111" s="9">
        <v>0.4</v>
      </c>
      <c r="J111" s="9">
        <v>1.379E-2</v>
      </c>
      <c r="K111" s="9">
        <v>21.67812185</v>
      </c>
      <c r="L111" s="12">
        <v>27.707496122475177</v>
      </c>
      <c r="M111" s="12">
        <v>-6.0293742724751773</v>
      </c>
    </row>
    <row r="112" spans="2:13" x14ac:dyDescent="0.3">
      <c r="B112" s="3" t="s">
        <v>98</v>
      </c>
      <c r="C112" s="9">
        <v>1.6666666670000001</v>
      </c>
      <c r="D112" s="9">
        <v>1</v>
      </c>
      <c r="E112" s="9">
        <v>40</v>
      </c>
      <c r="F112" s="9">
        <v>3.9</v>
      </c>
      <c r="G112" s="9">
        <v>0</v>
      </c>
      <c r="H112" s="9">
        <v>2.16</v>
      </c>
      <c r="I112" s="9">
        <v>0</v>
      </c>
      <c r="J112" s="9">
        <v>8.7799999999999996E-3</v>
      </c>
      <c r="K112" s="9">
        <v>53.688632269999999</v>
      </c>
      <c r="L112" s="12">
        <v>46.026853835615782</v>
      </c>
      <c r="M112" s="12">
        <v>7.6617784343842175</v>
      </c>
    </row>
    <row r="113" spans="2:13" x14ac:dyDescent="0.3">
      <c r="B113" s="3" t="s">
        <v>99</v>
      </c>
      <c r="C113" s="9">
        <v>0.6</v>
      </c>
      <c r="D113" s="9">
        <v>4</v>
      </c>
      <c r="E113" s="9">
        <v>40</v>
      </c>
      <c r="F113" s="9">
        <v>3.9</v>
      </c>
      <c r="G113" s="9">
        <v>0</v>
      </c>
      <c r="H113" s="9">
        <v>3.76</v>
      </c>
      <c r="I113" s="9">
        <v>0</v>
      </c>
      <c r="J113" s="9">
        <v>9.2599999999999991E-3</v>
      </c>
      <c r="K113" s="9">
        <v>53.688632269999999</v>
      </c>
      <c r="L113" s="12">
        <v>41.672008550715177</v>
      </c>
      <c r="M113" s="12">
        <v>12.016623719284823</v>
      </c>
    </row>
    <row r="114" spans="2:13" x14ac:dyDescent="0.3">
      <c r="B114" s="3" t="s">
        <v>100</v>
      </c>
      <c r="C114" s="9">
        <v>1</v>
      </c>
      <c r="D114" s="9">
        <v>1</v>
      </c>
      <c r="E114" s="9">
        <v>40</v>
      </c>
      <c r="F114" s="9">
        <v>4.0999999999999996</v>
      </c>
      <c r="G114" s="9">
        <v>0</v>
      </c>
      <c r="H114" s="9">
        <v>7.9885999999999999</v>
      </c>
      <c r="I114" s="9">
        <v>0</v>
      </c>
      <c r="J114" s="9">
        <v>1.0389860000000001E-2</v>
      </c>
      <c r="K114" s="9">
        <v>49.816643599999999</v>
      </c>
      <c r="L114" s="12">
        <v>45.910948524639295</v>
      </c>
      <c r="M114" s="12">
        <v>3.905695075360704</v>
      </c>
    </row>
    <row r="115" spans="2:13" x14ac:dyDescent="0.3">
      <c r="B115" s="3" t="s">
        <v>101</v>
      </c>
      <c r="C115" s="9">
        <v>0.6</v>
      </c>
      <c r="D115" s="9">
        <v>1</v>
      </c>
      <c r="E115" s="9">
        <v>15</v>
      </c>
      <c r="F115" s="9">
        <v>7.6</v>
      </c>
      <c r="G115" s="9">
        <v>5.4074663550000004</v>
      </c>
      <c r="H115" s="9">
        <v>1.41</v>
      </c>
      <c r="I115" s="9">
        <v>3.4</v>
      </c>
      <c r="J115" s="9">
        <v>5.7099999999999998E-3</v>
      </c>
      <c r="K115" s="9">
        <v>1.7908950480000001</v>
      </c>
      <c r="L115" s="12">
        <v>-0.58340343217748925</v>
      </c>
      <c r="M115" s="12">
        <v>2.3742984801774893</v>
      </c>
    </row>
    <row r="116" spans="2:13" x14ac:dyDescent="0.3">
      <c r="B116" s="3" t="s">
        <v>102</v>
      </c>
      <c r="C116" s="9">
        <v>0.6</v>
      </c>
      <c r="D116" s="9">
        <v>1</v>
      </c>
      <c r="E116" s="9">
        <v>40</v>
      </c>
      <c r="F116" s="9">
        <v>7.8</v>
      </c>
      <c r="G116" s="9">
        <v>0.94719018499999996</v>
      </c>
      <c r="H116" s="9">
        <v>3.76</v>
      </c>
      <c r="I116" s="9">
        <v>1.34</v>
      </c>
      <c r="J116" s="9">
        <v>9.2599999999999991E-3</v>
      </c>
      <c r="K116" s="9">
        <v>13.215319020000001</v>
      </c>
      <c r="L116" s="12">
        <v>22.252787393293552</v>
      </c>
      <c r="M116" s="12">
        <v>-9.0374683732935512</v>
      </c>
    </row>
    <row r="117" spans="2:13" x14ac:dyDescent="0.3">
      <c r="B117" s="3" t="s">
        <v>103</v>
      </c>
      <c r="C117" s="9">
        <v>0.6</v>
      </c>
      <c r="D117" s="9">
        <v>2</v>
      </c>
      <c r="E117" s="9">
        <v>60</v>
      </c>
      <c r="F117" s="9">
        <v>9.1999999999999993</v>
      </c>
      <c r="G117" s="9">
        <v>1.574526968</v>
      </c>
      <c r="H117" s="9">
        <v>5.64</v>
      </c>
      <c r="I117" s="9">
        <v>0.99</v>
      </c>
      <c r="J117" s="9">
        <v>1.379E-2</v>
      </c>
      <c r="K117" s="9">
        <v>21.52533506</v>
      </c>
      <c r="L117" s="12">
        <v>33.785208513616993</v>
      </c>
      <c r="M117" s="12">
        <v>-12.259873453616994</v>
      </c>
    </row>
    <row r="118" spans="2:13" x14ac:dyDescent="0.3">
      <c r="B118" s="3" t="s">
        <v>104</v>
      </c>
      <c r="C118" s="9">
        <v>1</v>
      </c>
      <c r="D118" s="9">
        <v>2</v>
      </c>
      <c r="E118" s="9">
        <v>30</v>
      </c>
      <c r="F118" s="9">
        <v>10.8</v>
      </c>
      <c r="G118" s="9">
        <v>7.7613046509999997</v>
      </c>
      <c r="H118" s="9">
        <v>7.6656000000000004</v>
      </c>
      <c r="I118" s="9">
        <v>4.88</v>
      </c>
      <c r="J118" s="9">
        <v>9.1083599999999994E-3</v>
      </c>
      <c r="K118" s="9">
        <v>3.2130864840000002</v>
      </c>
      <c r="L118" s="12">
        <v>6.1079535262580222</v>
      </c>
      <c r="M118" s="12">
        <v>-2.894867042258022</v>
      </c>
    </row>
    <row r="119" spans="2:13" x14ac:dyDescent="0.3">
      <c r="B119" s="3" t="s">
        <v>105</v>
      </c>
      <c r="C119" s="9">
        <v>1</v>
      </c>
      <c r="D119" s="9">
        <v>2</v>
      </c>
      <c r="E119" s="9">
        <v>20</v>
      </c>
      <c r="F119" s="9">
        <v>5.6</v>
      </c>
      <c r="G119" s="9">
        <v>4.0237911410000002</v>
      </c>
      <c r="H119" s="9">
        <v>7.0444000000000004</v>
      </c>
      <c r="I119" s="9">
        <v>2.5299999999999998</v>
      </c>
      <c r="J119" s="9">
        <v>7.5770400000000002E-3</v>
      </c>
      <c r="K119" s="9">
        <v>6.3091121550000002</v>
      </c>
      <c r="L119" s="12">
        <v>13.824733561408941</v>
      </c>
      <c r="M119" s="12">
        <v>-7.5156214064089406</v>
      </c>
    </row>
    <row r="120" spans="2:13" x14ac:dyDescent="0.3">
      <c r="B120" s="3" t="s">
        <v>106</v>
      </c>
      <c r="C120" s="9">
        <v>0.6</v>
      </c>
      <c r="D120" s="9">
        <v>1</v>
      </c>
      <c r="E120" s="9">
        <v>20</v>
      </c>
      <c r="F120" s="9">
        <v>4.5999999999999996</v>
      </c>
      <c r="G120" s="9">
        <v>1.5268140299999999</v>
      </c>
      <c r="H120" s="9">
        <v>1.88</v>
      </c>
      <c r="I120" s="9">
        <v>0.96</v>
      </c>
      <c r="J120" s="9">
        <v>6.9699999999999996E-3</v>
      </c>
      <c r="K120" s="9">
        <v>9.5716594500000003</v>
      </c>
      <c r="L120" s="12">
        <v>19.585018568707838</v>
      </c>
      <c r="M120" s="12">
        <v>-10.013359118707838</v>
      </c>
    </row>
    <row r="121" spans="2:13" x14ac:dyDescent="0.3">
      <c r="B121" s="3" t="s">
        <v>107</v>
      </c>
      <c r="C121" s="9">
        <v>1.6666666670000001</v>
      </c>
      <c r="D121" s="9">
        <v>6</v>
      </c>
      <c r="E121" s="9">
        <v>10</v>
      </c>
      <c r="F121" s="9">
        <v>9.6</v>
      </c>
      <c r="G121" s="9">
        <v>37.820455860000003</v>
      </c>
      <c r="H121" s="9">
        <v>0.54</v>
      </c>
      <c r="I121" s="9">
        <v>23.78</v>
      </c>
      <c r="J121" s="9">
        <v>2.5500000000000002E-3</v>
      </c>
      <c r="K121" s="9">
        <v>-2.1338590549999998</v>
      </c>
      <c r="L121" s="12">
        <v>1.2067059503210245</v>
      </c>
      <c r="M121" s="12">
        <v>-3.3405650053210243</v>
      </c>
    </row>
    <row r="122" spans="2:13" x14ac:dyDescent="0.3">
      <c r="B122" s="3" t="s">
        <v>108</v>
      </c>
      <c r="C122" s="9">
        <v>0.6</v>
      </c>
      <c r="D122" s="9">
        <v>6</v>
      </c>
      <c r="E122" s="9">
        <v>10</v>
      </c>
      <c r="F122" s="9">
        <v>6.4</v>
      </c>
      <c r="G122" s="9">
        <v>17.431126840000001</v>
      </c>
      <c r="H122" s="9">
        <v>0.94</v>
      </c>
      <c r="I122" s="9">
        <v>10.96</v>
      </c>
      <c r="J122" s="9">
        <v>4.00002E-3</v>
      </c>
      <c r="K122" s="9">
        <v>-3.8517822E-2</v>
      </c>
      <c r="L122" s="12">
        <v>4.9479796106444569</v>
      </c>
      <c r="M122" s="12">
        <v>-4.9864974326444571</v>
      </c>
    </row>
    <row r="123" spans="2:13" x14ac:dyDescent="0.3">
      <c r="B123" s="3" t="s">
        <v>109</v>
      </c>
      <c r="C123" s="9">
        <v>0.6</v>
      </c>
      <c r="D123" s="9">
        <v>4</v>
      </c>
      <c r="E123" s="9">
        <v>10</v>
      </c>
      <c r="F123" s="9">
        <v>6.4</v>
      </c>
      <c r="G123" s="9">
        <v>18.43309855</v>
      </c>
      <c r="H123" s="9">
        <v>0.94</v>
      </c>
      <c r="I123" s="9">
        <v>11.59</v>
      </c>
      <c r="J123" s="9">
        <v>4.0000000000000001E-3</v>
      </c>
      <c r="K123" s="9">
        <v>-0.19043934200000001</v>
      </c>
      <c r="L123" s="12">
        <v>1.5153483295446648</v>
      </c>
      <c r="M123" s="12">
        <v>-1.7057876715446647</v>
      </c>
    </row>
    <row r="124" spans="2:13" x14ac:dyDescent="0.3">
      <c r="B124" s="3" t="s">
        <v>110</v>
      </c>
      <c r="C124" s="9">
        <v>1.6666666670000001</v>
      </c>
      <c r="D124" s="9">
        <v>4</v>
      </c>
      <c r="E124" s="9">
        <v>40</v>
      </c>
      <c r="F124" s="9">
        <v>15.6</v>
      </c>
      <c r="G124" s="9">
        <v>12.119086360000001</v>
      </c>
      <c r="H124" s="9">
        <v>2.16</v>
      </c>
      <c r="I124" s="9">
        <v>7.62</v>
      </c>
      <c r="J124" s="9">
        <v>8.7799999999999996E-3</v>
      </c>
      <c r="K124" s="9">
        <v>1.6833985899999999</v>
      </c>
      <c r="L124" s="12">
        <v>1.1488448497384915</v>
      </c>
      <c r="M124" s="12">
        <v>0.53455374026150837</v>
      </c>
    </row>
    <row r="125" spans="2:13" x14ac:dyDescent="0.3">
      <c r="B125" s="3" t="s">
        <v>111</v>
      </c>
      <c r="C125" s="9">
        <v>0.6</v>
      </c>
      <c r="D125" s="9">
        <v>2</v>
      </c>
      <c r="E125" s="9">
        <v>20</v>
      </c>
      <c r="F125" s="9">
        <v>9.1999999999999993</v>
      </c>
      <c r="G125" s="9">
        <v>13.12105807</v>
      </c>
      <c r="H125" s="9">
        <v>1.88</v>
      </c>
      <c r="I125" s="9">
        <v>8.25</v>
      </c>
      <c r="J125" s="9">
        <v>6.9699999999999996E-3</v>
      </c>
      <c r="K125" s="9">
        <v>1.0030785849999999</v>
      </c>
      <c r="L125" s="12">
        <v>3.2307327323734967</v>
      </c>
      <c r="M125" s="12">
        <v>-2.2276541473734968</v>
      </c>
    </row>
    <row r="126" spans="2:13" x14ac:dyDescent="0.3">
      <c r="B126" s="3" t="s">
        <v>112</v>
      </c>
      <c r="C126" s="9">
        <v>1.6666666670000001</v>
      </c>
      <c r="D126" s="9">
        <v>4</v>
      </c>
      <c r="E126" s="9">
        <v>15</v>
      </c>
      <c r="F126" s="9">
        <v>3.8</v>
      </c>
      <c r="G126" s="9">
        <v>4.7076765910000002</v>
      </c>
      <c r="H126" s="9">
        <v>0.81</v>
      </c>
      <c r="I126" s="9">
        <v>2.96</v>
      </c>
      <c r="J126" s="9">
        <v>3.7299999999999998E-3</v>
      </c>
      <c r="K126" s="9">
        <v>7.3545731090000004</v>
      </c>
      <c r="L126" s="12">
        <v>11.458936668258403</v>
      </c>
      <c r="M126" s="12">
        <v>-4.1043635592584025</v>
      </c>
    </row>
    <row r="127" spans="2:13" x14ac:dyDescent="0.3">
      <c r="B127" s="3" t="s">
        <v>113</v>
      </c>
      <c r="C127" s="9">
        <v>1</v>
      </c>
      <c r="D127" s="9">
        <v>2</v>
      </c>
      <c r="E127" s="9">
        <v>20</v>
      </c>
      <c r="F127" s="9">
        <v>14</v>
      </c>
      <c r="G127" s="9">
        <v>25.112909930000001</v>
      </c>
      <c r="H127" s="9">
        <v>7.0444000000000004</v>
      </c>
      <c r="I127" s="9">
        <v>15.79</v>
      </c>
      <c r="J127" s="9">
        <v>7.5770400000000002E-3</v>
      </c>
      <c r="K127" s="9">
        <v>-1.2174162580000001</v>
      </c>
      <c r="L127" s="12">
        <v>-5.1728292896512116</v>
      </c>
      <c r="M127" s="12">
        <v>3.9554130316512115</v>
      </c>
    </row>
    <row r="128" spans="2:13" x14ac:dyDescent="0.3">
      <c r="B128" s="3" t="s">
        <v>114</v>
      </c>
      <c r="C128" s="9">
        <v>0.6</v>
      </c>
      <c r="D128" s="9">
        <v>2</v>
      </c>
      <c r="E128" s="9">
        <v>30</v>
      </c>
      <c r="F128" s="9">
        <v>13.2</v>
      </c>
      <c r="G128" s="9">
        <v>19.053366740000001</v>
      </c>
      <c r="H128" s="9">
        <v>2.82</v>
      </c>
      <c r="I128" s="9">
        <v>11.98</v>
      </c>
      <c r="J128" s="9">
        <v>9.2599999999999991E-3</v>
      </c>
      <c r="K128" s="9">
        <v>-0.610887917</v>
      </c>
      <c r="L128" s="12">
        <v>4.5077629529369574</v>
      </c>
      <c r="M128" s="12">
        <v>-5.1186508699369577</v>
      </c>
    </row>
    <row r="129" spans="2:13" x14ac:dyDescent="0.3">
      <c r="B129" s="3" t="s">
        <v>115</v>
      </c>
      <c r="C129" s="9">
        <v>0.6</v>
      </c>
      <c r="D129" s="9">
        <v>4</v>
      </c>
      <c r="E129" s="9">
        <v>60</v>
      </c>
      <c r="F129" s="9">
        <v>4.5999999999999996</v>
      </c>
      <c r="G129" s="9">
        <v>0</v>
      </c>
      <c r="H129" s="9">
        <v>5.64</v>
      </c>
      <c r="I129" s="9">
        <v>0</v>
      </c>
      <c r="J129" s="9">
        <v>1.379E-2</v>
      </c>
      <c r="K129" s="9">
        <v>86.831721079999994</v>
      </c>
      <c r="L129" s="12">
        <v>54.258308634450671</v>
      </c>
      <c r="M129" s="12">
        <v>32.573412445549323</v>
      </c>
    </row>
    <row r="130" spans="2:13" x14ac:dyDescent="0.3">
      <c r="B130" s="3" t="s">
        <v>116</v>
      </c>
      <c r="C130" s="9">
        <v>1</v>
      </c>
      <c r="D130" s="9">
        <v>4</v>
      </c>
      <c r="E130" s="9">
        <v>30</v>
      </c>
      <c r="F130" s="9">
        <v>25.5</v>
      </c>
      <c r="G130" s="9">
        <v>30.838462539999998</v>
      </c>
      <c r="H130" s="9">
        <v>7.6656000000000004</v>
      </c>
      <c r="I130" s="9">
        <v>19.39</v>
      </c>
      <c r="J130" s="9">
        <v>9.1083599999999994E-3</v>
      </c>
      <c r="K130" s="9">
        <v>-1.61303051</v>
      </c>
      <c r="L130" s="12">
        <v>-7.8111219350320695</v>
      </c>
      <c r="M130" s="12">
        <v>6.1980914250320698</v>
      </c>
    </row>
    <row r="131" spans="2:13" x14ac:dyDescent="0.3">
      <c r="B131" s="3" t="s">
        <v>117</v>
      </c>
      <c r="C131" s="9">
        <v>0.6</v>
      </c>
      <c r="D131" s="9">
        <v>6</v>
      </c>
      <c r="E131" s="9">
        <v>10</v>
      </c>
      <c r="F131" s="9">
        <v>4.8</v>
      </c>
      <c r="G131" s="9">
        <v>10.926262899999999</v>
      </c>
      <c r="H131" s="9">
        <v>0.94</v>
      </c>
      <c r="I131" s="9">
        <v>6.87</v>
      </c>
      <c r="J131" s="9">
        <v>4.00002E-3</v>
      </c>
      <c r="K131" s="9">
        <v>1.3179103839999999</v>
      </c>
      <c r="L131" s="12">
        <v>8.3047653301883493</v>
      </c>
      <c r="M131" s="12">
        <v>-6.9868549461883491</v>
      </c>
    </row>
    <row r="132" spans="2:13" x14ac:dyDescent="0.3">
      <c r="B132" s="3" t="s">
        <v>118</v>
      </c>
      <c r="C132" s="9">
        <v>1.6666666670000001</v>
      </c>
      <c r="D132" s="9">
        <v>1</v>
      </c>
      <c r="E132" s="9">
        <v>20</v>
      </c>
      <c r="F132" s="9">
        <v>4.5999999999999996</v>
      </c>
      <c r="G132" s="9">
        <v>2.115273604</v>
      </c>
      <c r="H132" s="9">
        <v>1.08</v>
      </c>
      <c r="I132" s="9">
        <v>1.33</v>
      </c>
      <c r="J132" s="9">
        <v>4.8399999999999997E-3</v>
      </c>
      <c r="K132" s="9">
        <v>9.501502018</v>
      </c>
      <c r="L132" s="12">
        <v>17.870704023807612</v>
      </c>
      <c r="M132" s="12">
        <v>-8.3692020058076118</v>
      </c>
    </row>
    <row r="133" spans="2:13" x14ac:dyDescent="0.3">
      <c r="B133" s="3" t="s">
        <v>119</v>
      </c>
      <c r="C133" s="9">
        <v>1</v>
      </c>
      <c r="D133" s="9">
        <v>2</v>
      </c>
      <c r="E133" s="9">
        <v>30</v>
      </c>
      <c r="F133" s="9">
        <v>21.6</v>
      </c>
      <c r="G133" s="9">
        <v>26.25802045</v>
      </c>
      <c r="H133" s="9">
        <v>7.6656000000000004</v>
      </c>
      <c r="I133" s="9">
        <v>16.510000000000002</v>
      </c>
      <c r="J133" s="9">
        <v>9.1083599999999994E-3</v>
      </c>
      <c r="K133" s="9">
        <v>-1.352229618</v>
      </c>
      <c r="L133" s="12">
        <v>-7.0321779628081273</v>
      </c>
      <c r="M133" s="12">
        <v>5.6799483448081274</v>
      </c>
    </row>
    <row r="134" spans="2:13" x14ac:dyDescent="0.3">
      <c r="B134" s="3" t="s">
        <v>120</v>
      </c>
      <c r="C134" s="9">
        <v>1</v>
      </c>
      <c r="D134" s="9">
        <v>6</v>
      </c>
      <c r="E134" s="9">
        <v>30</v>
      </c>
      <c r="F134" s="9">
        <v>21.6</v>
      </c>
      <c r="G134" s="9">
        <v>16.476868069999998</v>
      </c>
      <c r="H134" s="9">
        <v>7.6656000000000004</v>
      </c>
      <c r="I134" s="9">
        <v>10.36</v>
      </c>
      <c r="J134" s="9">
        <v>9.1083599999999994E-3</v>
      </c>
      <c r="K134" s="9">
        <v>7.9630390999999995E-2</v>
      </c>
      <c r="L134" s="12">
        <v>-12.066474921971739</v>
      </c>
      <c r="M134" s="12">
        <v>12.14610531297174</v>
      </c>
    </row>
    <row r="135" spans="2:13" x14ac:dyDescent="0.3">
      <c r="B135" s="3" t="s">
        <v>121</v>
      </c>
      <c r="C135" s="9">
        <v>0.6</v>
      </c>
      <c r="D135" s="9">
        <v>1</v>
      </c>
      <c r="E135" s="9">
        <v>10</v>
      </c>
      <c r="F135" s="9">
        <v>9.6</v>
      </c>
      <c r="G135" s="9">
        <v>29.534308889999998</v>
      </c>
      <c r="H135" s="9">
        <v>0.94</v>
      </c>
      <c r="I135" s="9">
        <v>18.57</v>
      </c>
      <c r="J135" s="9">
        <v>4.0000000000000001E-3</v>
      </c>
      <c r="K135" s="9">
        <v>-1.085184283</v>
      </c>
      <c r="L135" s="12">
        <v>-0.86973508133048938</v>
      </c>
      <c r="M135" s="12">
        <v>-0.21544920166951065</v>
      </c>
    </row>
    <row r="136" spans="2:13" x14ac:dyDescent="0.3">
      <c r="B136" s="3" t="s">
        <v>122</v>
      </c>
      <c r="C136" s="9">
        <v>0.6</v>
      </c>
      <c r="D136" s="9">
        <v>1</v>
      </c>
      <c r="E136" s="9">
        <v>40</v>
      </c>
      <c r="F136" s="9">
        <v>19.5</v>
      </c>
      <c r="G136" s="9">
        <v>9.5107790600000008</v>
      </c>
      <c r="H136" s="9">
        <v>3.76</v>
      </c>
      <c r="I136" s="9">
        <v>5.98</v>
      </c>
      <c r="J136" s="9">
        <v>9.2599999999999991E-3</v>
      </c>
      <c r="K136" s="9">
        <v>1.488454451</v>
      </c>
      <c r="L136" s="12">
        <v>-4.6668269738030119</v>
      </c>
      <c r="M136" s="12">
        <v>6.1552814248030119</v>
      </c>
    </row>
    <row r="137" spans="2:13" x14ac:dyDescent="0.3">
      <c r="B137" s="3" t="s">
        <v>123</v>
      </c>
      <c r="C137" s="9">
        <v>0.6</v>
      </c>
      <c r="D137" s="9">
        <v>4</v>
      </c>
      <c r="E137" s="9">
        <v>15</v>
      </c>
      <c r="F137" s="9">
        <v>7.6</v>
      </c>
      <c r="G137" s="9">
        <v>12.07137342</v>
      </c>
      <c r="H137" s="9">
        <v>1.41</v>
      </c>
      <c r="I137" s="9">
        <v>7.59</v>
      </c>
      <c r="J137" s="9">
        <v>5.7099999999999998E-3</v>
      </c>
      <c r="K137" s="9">
        <v>1.0051906260000001</v>
      </c>
      <c r="L137" s="12">
        <v>0.53760713944276439</v>
      </c>
      <c r="M137" s="12">
        <v>0.46758348655723569</v>
      </c>
    </row>
    <row r="138" spans="2:13" x14ac:dyDescent="0.3">
      <c r="B138" s="3" t="s">
        <v>124</v>
      </c>
      <c r="C138" s="9">
        <v>0.6</v>
      </c>
      <c r="D138" s="9">
        <v>4</v>
      </c>
      <c r="E138" s="9">
        <v>10</v>
      </c>
      <c r="F138" s="9">
        <v>4.8</v>
      </c>
      <c r="G138" s="9">
        <v>10.4332292</v>
      </c>
      <c r="H138" s="9">
        <v>0.94</v>
      </c>
      <c r="I138" s="9">
        <v>6.56</v>
      </c>
      <c r="J138" s="9">
        <v>4.0000000000000001E-3</v>
      </c>
      <c r="K138" s="9">
        <v>1.3970597389999999</v>
      </c>
      <c r="L138" s="12">
        <v>3.6388827864811191</v>
      </c>
      <c r="M138" s="12">
        <v>-2.2418230474811192</v>
      </c>
    </row>
    <row r="139" spans="2:13" x14ac:dyDescent="0.3">
      <c r="B139" s="3" t="s">
        <v>125</v>
      </c>
      <c r="C139" s="9">
        <v>1</v>
      </c>
      <c r="D139" s="9">
        <v>4</v>
      </c>
      <c r="E139" s="9">
        <v>60</v>
      </c>
      <c r="F139" s="9">
        <v>18.8</v>
      </c>
      <c r="G139" s="9">
        <v>1.6699528450000001</v>
      </c>
      <c r="H139" s="9">
        <v>7.9885999999999999</v>
      </c>
      <c r="I139" s="9">
        <v>1.05</v>
      </c>
      <c r="J139" s="9">
        <v>1.2535040000000001E-2</v>
      </c>
      <c r="K139" s="9">
        <v>5.2805623309999996</v>
      </c>
      <c r="L139" s="12">
        <v>-0.80317846305350571</v>
      </c>
      <c r="M139" s="12">
        <v>6.0837407940535053</v>
      </c>
    </row>
    <row r="140" spans="2:13" x14ac:dyDescent="0.3">
      <c r="B140" s="3" t="s">
        <v>126</v>
      </c>
      <c r="C140" s="9">
        <v>1</v>
      </c>
      <c r="D140" s="9">
        <v>6</v>
      </c>
      <c r="E140" s="9">
        <v>10</v>
      </c>
      <c r="F140" s="9">
        <v>9</v>
      </c>
      <c r="G140" s="9">
        <v>37.041144529999997</v>
      </c>
      <c r="H140" s="9">
        <v>5.8784999999999998</v>
      </c>
      <c r="I140" s="9">
        <v>23.29</v>
      </c>
      <c r="J140" s="9">
        <v>5.5424999999999997E-3</v>
      </c>
      <c r="K140" s="9">
        <v>-2.3618366659999999</v>
      </c>
      <c r="L140" s="12">
        <v>5.4803810818501919</v>
      </c>
      <c r="M140" s="12">
        <v>-7.8422177478501922</v>
      </c>
    </row>
    <row r="141" spans="2:13" x14ac:dyDescent="0.3">
      <c r="B141" s="3" t="s">
        <v>127</v>
      </c>
      <c r="C141" s="9">
        <v>0.6</v>
      </c>
      <c r="D141" s="9">
        <v>1</v>
      </c>
      <c r="E141" s="9">
        <v>10</v>
      </c>
      <c r="F141" s="9">
        <v>6.4</v>
      </c>
      <c r="G141" s="9">
        <v>16.683624139999999</v>
      </c>
      <c r="H141" s="9">
        <v>0.94</v>
      </c>
      <c r="I141" s="9">
        <v>10.49</v>
      </c>
      <c r="J141" s="9">
        <v>4.0000000000000001E-3</v>
      </c>
      <c r="K141" s="9">
        <v>6.9291757999999995E-2</v>
      </c>
      <c r="L141" s="12">
        <v>4.8681049090767345</v>
      </c>
      <c r="M141" s="12">
        <v>-4.7988131510767342</v>
      </c>
    </row>
    <row r="142" spans="2:13" x14ac:dyDescent="0.3">
      <c r="B142" s="3" t="s">
        <v>128</v>
      </c>
      <c r="C142" s="9">
        <v>1.6666666670000001</v>
      </c>
      <c r="D142" s="9">
        <v>4</v>
      </c>
      <c r="E142" s="9">
        <v>40</v>
      </c>
      <c r="F142" s="9">
        <v>3.9</v>
      </c>
      <c r="G142" s="9">
        <v>0.95425876899999995</v>
      </c>
      <c r="H142" s="9">
        <v>2.16</v>
      </c>
      <c r="I142" s="9">
        <v>0.6</v>
      </c>
      <c r="J142" s="9">
        <v>8.7799999999999996E-3</v>
      </c>
      <c r="K142" s="9">
        <v>53.52275556</v>
      </c>
      <c r="L142" s="12">
        <v>42.171967297903052</v>
      </c>
      <c r="M142" s="12">
        <v>11.350788262096948</v>
      </c>
    </row>
    <row r="143" spans="2:13" x14ac:dyDescent="0.3">
      <c r="B143" s="3" t="s">
        <v>129</v>
      </c>
      <c r="C143" s="9">
        <v>1.6666666670000001</v>
      </c>
      <c r="D143" s="9">
        <v>4</v>
      </c>
      <c r="E143" s="9">
        <v>10</v>
      </c>
      <c r="F143" s="9">
        <v>6.4</v>
      </c>
      <c r="G143" s="9">
        <v>19.085175370000002</v>
      </c>
      <c r="H143" s="9">
        <v>0.54</v>
      </c>
      <c r="I143" s="9">
        <v>12</v>
      </c>
      <c r="J143" s="9">
        <v>2.5500000000000002E-3</v>
      </c>
      <c r="K143" s="9">
        <v>-0.29386874000000002</v>
      </c>
      <c r="L143" s="12">
        <v>-0.90520748912085347</v>
      </c>
      <c r="M143" s="12">
        <v>0.61133874912085351</v>
      </c>
    </row>
    <row r="144" spans="2:13" x14ac:dyDescent="0.3">
      <c r="B144" s="3" t="s">
        <v>130</v>
      </c>
      <c r="C144" s="9">
        <v>0.6</v>
      </c>
      <c r="D144" s="9">
        <v>1</v>
      </c>
      <c r="E144" s="9">
        <v>20</v>
      </c>
      <c r="F144" s="9">
        <v>11.5</v>
      </c>
      <c r="G144" s="9">
        <v>7.1251321379999997</v>
      </c>
      <c r="H144" s="9">
        <v>1.88</v>
      </c>
      <c r="I144" s="9">
        <v>4.4800000000000004</v>
      </c>
      <c r="J144" s="9">
        <v>6.9699999999999996E-3</v>
      </c>
      <c r="K144" s="9">
        <v>1.2777786229999999</v>
      </c>
      <c r="L144" s="12">
        <v>-8.5911378306398802</v>
      </c>
      <c r="M144" s="12">
        <v>9.8689164536398799</v>
      </c>
    </row>
    <row r="145" spans="2:13" x14ac:dyDescent="0.3">
      <c r="B145" s="3" t="s">
        <v>131</v>
      </c>
      <c r="C145" s="9">
        <v>0.6</v>
      </c>
      <c r="D145" s="9">
        <v>6</v>
      </c>
      <c r="E145" s="9">
        <v>30</v>
      </c>
      <c r="F145" s="9">
        <v>19.8</v>
      </c>
      <c r="G145" s="9">
        <v>17.940064849999999</v>
      </c>
      <c r="H145" s="9">
        <v>2.82</v>
      </c>
      <c r="I145" s="9">
        <v>11.28</v>
      </c>
      <c r="J145" s="9">
        <v>9.2599799999999993E-3</v>
      </c>
      <c r="K145" s="9">
        <v>-0.10778186100000001</v>
      </c>
      <c r="L145" s="12">
        <v>-10.509502228757562</v>
      </c>
      <c r="M145" s="12">
        <v>10.401720367757562</v>
      </c>
    </row>
    <row r="146" spans="2:13" x14ac:dyDescent="0.3">
      <c r="B146" s="3" t="s">
        <v>132</v>
      </c>
      <c r="C146" s="9">
        <v>1.6666666670000001</v>
      </c>
      <c r="D146" s="9">
        <v>2</v>
      </c>
      <c r="E146" s="9">
        <v>60</v>
      </c>
      <c r="F146" s="9">
        <v>27.6</v>
      </c>
      <c r="G146" s="9">
        <v>12.08727773</v>
      </c>
      <c r="H146" s="9">
        <v>3.24</v>
      </c>
      <c r="I146" s="9">
        <v>7.6</v>
      </c>
      <c r="J146" s="9">
        <v>1.205E-2</v>
      </c>
      <c r="K146" s="9">
        <v>1.21634335</v>
      </c>
      <c r="L146" s="12">
        <v>6.0985057600641781</v>
      </c>
      <c r="M146" s="12">
        <v>-4.8821624100641783</v>
      </c>
    </row>
    <row r="147" spans="2:13" x14ac:dyDescent="0.3">
      <c r="B147" s="3" t="s">
        <v>133</v>
      </c>
      <c r="C147" s="9">
        <v>1.6666666670000001</v>
      </c>
      <c r="D147" s="9">
        <v>2</v>
      </c>
      <c r="E147" s="9">
        <v>30</v>
      </c>
      <c r="F147" s="9">
        <v>23.1</v>
      </c>
      <c r="G147" s="9">
        <v>43.546008469999997</v>
      </c>
      <c r="H147" s="9">
        <v>1.62</v>
      </c>
      <c r="I147" s="9">
        <v>27.38</v>
      </c>
      <c r="J147" s="9">
        <v>6.9100000000000003E-3</v>
      </c>
      <c r="K147" s="9">
        <v>-4.6774985500000001</v>
      </c>
      <c r="L147" s="12">
        <v>0.85165335895883132</v>
      </c>
      <c r="M147" s="12">
        <v>-5.5291519089588315</v>
      </c>
    </row>
    <row r="148" spans="2:13" x14ac:dyDescent="0.3">
      <c r="B148" s="3" t="s">
        <v>134</v>
      </c>
      <c r="C148" s="9">
        <v>0.6</v>
      </c>
      <c r="D148" s="9">
        <v>1</v>
      </c>
      <c r="E148" s="9">
        <v>15</v>
      </c>
      <c r="F148" s="9">
        <v>3.8</v>
      </c>
      <c r="G148" s="9">
        <v>0.88357293400000003</v>
      </c>
      <c r="H148" s="9">
        <v>1.41</v>
      </c>
      <c r="I148" s="9">
        <v>1.25</v>
      </c>
      <c r="J148" s="9">
        <v>5.7099999999999998E-3</v>
      </c>
      <c r="K148" s="9">
        <v>7.8459171339999996</v>
      </c>
      <c r="L148" s="12">
        <v>11.756198121897716</v>
      </c>
      <c r="M148" s="12">
        <v>-3.9102809878977167</v>
      </c>
    </row>
    <row r="149" spans="2:13" x14ac:dyDescent="0.3">
      <c r="B149" s="3" t="s">
        <v>135</v>
      </c>
      <c r="C149" s="9">
        <v>1.6666666670000001</v>
      </c>
      <c r="D149" s="9">
        <v>2</v>
      </c>
      <c r="E149" s="9">
        <v>30</v>
      </c>
      <c r="F149" s="9">
        <v>13.2</v>
      </c>
      <c r="G149" s="9">
        <v>19.260122809999999</v>
      </c>
      <c r="H149" s="9">
        <v>1.62</v>
      </c>
      <c r="I149" s="9">
        <v>12.11</v>
      </c>
      <c r="J149" s="9">
        <v>6.9100000000000003E-3</v>
      </c>
      <c r="K149" s="9">
        <v>-0.68174233699999998</v>
      </c>
      <c r="L149" s="12">
        <v>4.6800295374890517</v>
      </c>
      <c r="M149" s="12">
        <v>-5.3617718744890519</v>
      </c>
    </row>
    <row r="150" spans="2:13" x14ac:dyDescent="0.3">
      <c r="B150" s="3" t="s">
        <v>136</v>
      </c>
      <c r="C150" s="9">
        <v>1</v>
      </c>
      <c r="D150" s="9">
        <v>1</v>
      </c>
      <c r="E150" s="9">
        <v>60</v>
      </c>
      <c r="F150" s="9">
        <v>4.7</v>
      </c>
      <c r="G150" s="9">
        <v>0</v>
      </c>
      <c r="H150" s="9">
        <v>7.9885999999999999</v>
      </c>
      <c r="I150" s="9">
        <v>0</v>
      </c>
      <c r="J150" s="9">
        <v>1.2535019999999999E-2</v>
      </c>
      <c r="K150" s="9">
        <v>85.296061620000003</v>
      </c>
      <c r="L150" s="12">
        <v>56.259967728901941</v>
      </c>
      <c r="M150" s="12">
        <v>29.036093891098062</v>
      </c>
    </row>
    <row r="151" spans="2:13" x14ac:dyDescent="0.3">
      <c r="B151" s="3" t="s">
        <v>137</v>
      </c>
      <c r="C151" s="9">
        <v>0.6</v>
      </c>
      <c r="D151" s="9">
        <v>6</v>
      </c>
      <c r="E151" s="9">
        <v>10</v>
      </c>
      <c r="F151" s="9">
        <v>9.6</v>
      </c>
      <c r="G151" s="9">
        <v>33.00144908</v>
      </c>
      <c r="H151" s="9">
        <v>0.94</v>
      </c>
      <c r="I151" s="9">
        <v>20.75</v>
      </c>
      <c r="J151" s="9">
        <v>4.00002E-3</v>
      </c>
      <c r="K151" s="9">
        <v>-1.492583027</v>
      </c>
      <c r="L151" s="12">
        <v>0.99478012427939189</v>
      </c>
      <c r="M151" s="12">
        <v>-2.4873631512793919</v>
      </c>
    </row>
    <row r="152" spans="2:13" x14ac:dyDescent="0.3">
      <c r="B152" s="3" t="s">
        <v>138</v>
      </c>
      <c r="C152" s="9">
        <v>0.6</v>
      </c>
      <c r="D152" s="9">
        <v>2</v>
      </c>
      <c r="E152" s="9">
        <v>10</v>
      </c>
      <c r="F152" s="9">
        <v>1.6</v>
      </c>
      <c r="G152" s="9">
        <v>0.31101767299999999</v>
      </c>
      <c r="H152" s="9">
        <v>0.94</v>
      </c>
      <c r="I152" s="9">
        <v>0.44</v>
      </c>
      <c r="J152" s="9">
        <v>4.0000000000000001E-3</v>
      </c>
      <c r="K152" s="9">
        <v>19.903498330000001</v>
      </c>
      <c r="L152" s="12">
        <v>12.412637305585541</v>
      </c>
      <c r="M152" s="12">
        <v>7.4908610244144604</v>
      </c>
    </row>
    <row r="153" spans="2:13" x14ac:dyDescent="0.3">
      <c r="B153" s="3" t="s">
        <v>139</v>
      </c>
      <c r="C153" s="9">
        <v>1</v>
      </c>
      <c r="D153" s="9">
        <v>2</v>
      </c>
      <c r="E153" s="9">
        <v>40</v>
      </c>
      <c r="F153" s="9">
        <v>12.3</v>
      </c>
      <c r="G153" s="9">
        <v>6.4889596259999998</v>
      </c>
      <c r="H153" s="9">
        <v>7.9885999999999999</v>
      </c>
      <c r="I153" s="9">
        <v>4.08</v>
      </c>
      <c r="J153" s="9">
        <v>1.0389860000000001E-2</v>
      </c>
      <c r="K153" s="9">
        <v>4.7444077570000003</v>
      </c>
      <c r="L153" s="12">
        <v>9.5992244091625238</v>
      </c>
      <c r="M153" s="12">
        <v>-4.8548166521625236</v>
      </c>
    </row>
    <row r="154" spans="2:13" x14ac:dyDescent="0.3">
      <c r="B154" s="3" t="s">
        <v>140</v>
      </c>
      <c r="C154" s="9">
        <v>0.6</v>
      </c>
      <c r="D154" s="9">
        <v>6</v>
      </c>
      <c r="E154" s="9">
        <v>30</v>
      </c>
      <c r="F154" s="9">
        <v>13.2</v>
      </c>
      <c r="G154" s="9">
        <v>12.134990670000001</v>
      </c>
      <c r="H154" s="9">
        <v>2.82</v>
      </c>
      <c r="I154" s="9">
        <v>7.63</v>
      </c>
      <c r="J154" s="9">
        <v>9.2599799999999993E-3</v>
      </c>
      <c r="K154" s="9">
        <v>1.319095804</v>
      </c>
      <c r="L154" s="12">
        <v>1.3484541688662475</v>
      </c>
      <c r="M154" s="12">
        <v>-2.9358364866247433E-2</v>
      </c>
    </row>
    <row r="155" spans="2:13" x14ac:dyDescent="0.3">
      <c r="B155" s="3" t="s">
        <v>141</v>
      </c>
      <c r="C155" s="9">
        <v>0.6</v>
      </c>
      <c r="D155" s="9">
        <v>2</v>
      </c>
      <c r="E155" s="9">
        <v>15</v>
      </c>
      <c r="F155" s="9">
        <v>5.7</v>
      </c>
      <c r="G155" s="9">
        <v>5.8686914259999998</v>
      </c>
      <c r="H155" s="9">
        <v>1.41</v>
      </c>
      <c r="I155" s="9">
        <v>3.69</v>
      </c>
      <c r="J155" s="9">
        <v>5.7099999999999998E-3</v>
      </c>
      <c r="K155" s="9">
        <v>3.1214443599999999</v>
      </c>
      <c r="L155" s="12">
        <v>6.6691245362261444</v>
      </c>
      <c r="M155" s="12">
        <v>-3.5476801762261445</v>
      </c>
    </row>
    <row r="156" spans="2:13" x14ac:dyDescent="0.3">
      <c r="B156" s="3" t="s">
        <v>142</v>
      </c>
      <c r="C156" s="9">
        <v>0.6</v>
      </c>
      <c r="D156" s="9">
        <v>4</v>
      </c>
      <c r="E156" s="9">
        <v>60</v>
      </c>
      <c r="F156" s="9">
        <v>18.399999999999999</v>
      </c>
      <c r="G156" s="9">
        <v>3.1490539360000001</v>
      </c>
      <c r="H156" s="9">
        <v>5.64</v>
      </c>
      <c r="I156" s="9">
        <v>1.98</v>
      </c>
      <c r="J156" s="9">
        <v>1.379E-2</v>
      </c>
      <c r="K156" s="9">
        <v>5.2443873559999998</v>
      </c>
      <c r="L156" s="12">
        <v>3.5532667723419991</v>
      </c>
      <c r="M156" s="12">
        <v>1.6911205836580008</v>
      </c>
    </row>
    <row r="157" spans="2:13" x14ac:dyDescent="0.3">
      <c r="B157" s="3" t="s">
        <v>143</v>
      </c>
      <c r="C157" s="9">
        <v>1</v>
      </c>
      <c r="D157" s="9">
        <v>6</v>
      </c>
      <c r="E157" s="9">
        <v>40</v>
      </c>
      <c r="F157" s="9">
        <v>8.1999999999999993</v>
      </c>
      <c r="G157" s="9">
        <v>2.115273604</v>
      </c>
      <c r="H157" s="9">
        <v>7.9885999999999999</v>
      </c>
      <c r="I157" s="9">
        <v>1.33</v>
      </c>
      <c r="J157" s="9">
        <v>1.0389839999999999E-2</v>
      </c>
      <c r="K157" s="9">
        <v>12.265092770000001</v>
      </c>
      <c r="L157" s="12">
        <v>25.460099215978268</v>
      </c>
      <c r="M157" s="12">
        <v>-13.195006445978267</v>
      </c>
    </row>
    <row r="158" spans="2:13" x14ac:dyDescent="0.3">
      <c r="B158" s="3" t="s">
        <v>144</v>
      </c>
      <c r="C158" s="9">
        <v>0.6</v>
      </c>
      <c r="D158" s="9">
        <v>1</v>
      </c>
      <c r="E158" s="9">
        <v>40</v>
      </c>
      <c r="F158" s="9">
        <v>27.7</v>
      </c>
      <c r="G158" s="9">
        <v>19.57820907</v>
      </c>
      <c r="H158" s="9">
        <v>3.76</v>
      </c>
      <c r="I158" s="9">
        <v>12.31</v>
      </c>
      <c r="J158" s="9">
        <v>9.2599999999999991E-3</v>
      </c>
      <c r="K158" s="9">
        <v>-0.31983344000000002</v>
      </c>
      <c r="L158" s="12">
        <v>-1.1082125662424573</v>
      </c>
      <c r="M158" s="12">
        <v>0.78837912624245732</v>
      </c>
    </row>
    <row r="159" spans="2:13" x14ac:dyDescent="0.3">
      <c r="B159" s="3" t="s">
        <v>145</v>
      </c>
      <c r="C159" s="9">
        <v>0.6</v>
      </c>
      <c r="D159" s="9">
        <v>1</v>
      </c>
      <c r="E159" s="9">
        <v>40</v>
      </c>
      <c r="F159" s="9">
        <v>11.7</v>
      </c>
      <c r="G159" s="9">
        <v>4.2464515199999999</v>
      </c>
      <c r="H159" s="9">
        <v>3.76</v>
      </c>
      <c r="I159" s="9">
        <v>2.67</v>
      </c>
      <c r="J159" s="9">
        <v>9.2599999999999991E-3</v>
      </c>
      <c r="K159" s="9">
        <v>5.6004287430000002</v>
      </c>
      <c r="L159" s="12">
        <v>12.216570691823719</v>
      </c>
      <c r="M159" s="12">
        <v>-6.616141948823719</v>
      </c>
    </row>
    <row r="160" spans="2:13" x14ac:dyDescent="0.3">
      <c r="B160" s="3" t="s">
        <v>146</v>
      </c>
      <c r="C160" s="9">
        <v>1.6666666670000001</v>
      </c>
      <c r="D160" s="9">
        <v>2</v>
      </c>
      <c r="E160" s="9">
        <v>10</v>
      </c>
      <c r="F160" s="9">
        <v>1.6</v>
      </c>
      <c r="G160" s="9">
        <v>1.574526968</v>
      </c>
      <c r="H160" s="9">
        <v>0.54</v>
      </c>
      <c r="I160" s="9">
        <v>0.99</v>
      </c>
      <c r="J160" s="9">
        <v>2.5500000000000002E-3</v>
      </c>
      <c r="K160" s="9">
        <v>19.768927510000001</v>
      </c>
      <c r="L160" s="12">
        <v>14.051417127227667</v>
      </c>
      <c r="M160" s="12">
        <v>5.7175103827723337</v>
      </c>
    </row>
    <row r="161" spans="2:13" x14ac:dyDescent="0.3">
      <c r="B161" s="3" t="s">
        <v>147</v>
      </c>
      <c r="C161" s="9">
        <v>1.6666666670000001</v>
      </c>
      <c r="D161" s="9">
        <v>6</v>
      </c>
      <c r="E161" s="9">
        <v>10</v>
      </c>
      <c r="F161" s="9">
        <v>6.4</v>
      </c>
      <c r="G161" s="9">
        <v>18.035490729999999</v>
      </c>
      <c r="H161" s="9">
        <v>0.54</v>
      </c>
      <c r="I161" s="9">
        <v>11.34</v>
      </c>
      <c r="J161" s="9">
        <v>2.5500000000000002E-3</v>
      </c>
      <c r="K161" s="9">
        <v>-0.129137113</v>
      </c>
      <c r="L161" s="12">
        <v>2.4946325009122616</v>
      </c>
      <c r="M161" s="12">
        <v>-2.6237696139122617</v>
      </c>
    </row>
    <row r="162" spans="2:13" x14ac:dyDescent="0.3">
      <c r="B162" s="3" t="s">
        <v>148</v>
      </c>
      <c r="C162" s="9">
        <v>1.6666666670000001</v>
      </c>
      <c r="D162" s="9">
        <v>4</v>
      </c>
      <c r="E162" s="9">
        <v>30</v>
      </c>
      <c r="F162" s="9">
        <v>23.5</v>
      </c>
      <c r="G162" s="9">
        <v>34.703210550000001</v>
      </c>
      <c r="H162" s="9">
        <v>1.62</v>
      </c>
      <c r="I162" s="9">
        <v>21.82</v>
      </c>
      <c r="J162" s="9">
        <v>6.9100000000000003E-3</v>
      </c>
      <c r="K162" s="9">
        <v>-2.5669048970000001</v>
      </c>
      <c r="L162" s="12">
        <v>-6.6132230931332536</v>
      </c>
      <c r="M162" s="12">
        <v>4.0463181961332531</v>
      </c>
    </row>
    <row r="163" spans="2:13" x14ac:dyDescent="0.3">
      <c r="B163" s="3" t="s">
        <v>149</v>
      </c>
      <c r="C163" s="9">
        <v>0.6</v>
      </c>
      <c r="D163" s="9">
        <v>1</v>
      </c>
      <c r="E163" s="9">
        <v>60</v>
      </c>
      <c r="F163" s="9">
        <v>23</v>
      </c>
      <c r="G163" s="9">
        <v>9.7493437519999997</v>
      </c>
      <c r="H163" s="9">
        <v>5.64</v>
      </c>
      <c r="I163" s="9">
        <v>6.13</v>
      </c>
      <c r="J163" s="9">
        <v>1.379E-2</v>
      </c>
      <c r="K163" s="9">
        <v>2.353160774</v>
      </c>
      <c r="L163" s="12">
        <v>7.9294998757219304</v>
      </c>
      <c r="M163" s="12">
        <v>-5.5763391017219304</v>
      </c>
    </row>
    <row r="164" spans="2:13" x14ac:dyDescent="0.3">
      <c r="B164" s="3" t="s">
        <v>150</v>
      </c>
      <c r="C164" s="9">
        <v>1</v>
      </c>
      <c r="D164" s="9">
        <v>2</v>
      </c>
      <c r="E164" s="9">
        <v>60</v>
      </c>
      <c r="F164" s="9">
        <v>28.2</v>
      </c>
      <c r="G164" s="9">
        <v>10.71950683</v>
      </c>
      <c r="H164" s="9">
        <v>7.9885999999999999</v>
      </c>
      <c r="I164" s="9">
        <v>6.74</v>
      </c>
      <c r="J164" s="9">
        <v>1.2535019999999999E-2</v>
      </c>
      <c r="K164" s="9">
        <v>1.445601218</v>
      </c>
      <c r="L164" s="12">
        <v>3.2867961660358702</v>
      </c>
      <c r="M164" s="12">
        <v>-1.8411949480358702</v>
      </c>
    </row>
    <row r="165" spans="2:13" x14ac:dyDescent="0.3">
      <c r="B165" s="3" t="s">
        <v>151</v>
      </c>
      <c r="C165" s="9">
        <v>1</v>
      </c>
      <c r="D165" s="9">
        <v>4</v>
      </c>
      <c r="E165" s="9">
        <v>15</v>
      </c>
      <c r="F165" s="9">
        <v>12.5</v>
      </c>
      <c r="G165" s="9">
        <v>35.387096</v>
      </c>
      <c r="H165" s="9">
        <v>6.5609999999999999</v>
      </c>
      <c r="I165" s="9">
        <v>22.25</v>
      </c>
      <c r="J165" s="9">
        <v>6.6530799999999996E-3</v>
      </c>
      <c r="K165" s="9">
        <v>-2.4485007009999999</v>
      </c>
      <c r="L165" s="12">
        <v>-3.3464187772232421</v>
      </c>
      <c r="M165" s="12">
        <v>0.89791807622324216</v>
      </c>
    </row>
    <row r="166" spans="2:13" x14ac:dyDescent="0.3">
      <c r="B166" s="3" t="s">
        <v>152</v>
      </c>
      <c r="C166" s="9">
        <v>1</v>
      </c>
      <c r="D166" s="9">
        <v>4</v>
      </c>
      <c r="E166" s="9">
        <v>10</v>
      </c>
      <c r="F166" s="9">
        <v>10.8</v>
      </c>
      <c r="G166" s="9">
        <v>48.635388570000003</v>
      </c>
      <c r="H166" s="9">
        <v>5.8784999999999998</v>
      </c>
      <c r="I166" s="9">
        <v>30.58</v>
      </c>
      <c r="J166" s="9">
        <v>5.5425200000000004E-3</v>
      </c>
      <c r="K166" s="9">
        <v>-3.1525054809999999</v>
      </c>
      <c r="L166" s="12">
        <v>0.29909817802474592</v>
      </c>
      <c r="M166" s="12">
        <v>-3.4516036590247459</v>
      </c>
    </row>
    <row r="167" spans="2:13" x14ac:dyDescent="0.3">
      <c r="B167" s="3" t="s">
        <v>153</v>
      </c>
      <c r="C167" s="9">
        <v>1.6666666670000001</v>
      </c>
      <c r="D167" s="9">
        <v>6</v>
      </c>
      <c r="E167" s="9">
        <v>30</v>
      </c>
      <c r="F167" s="9">
        <v>16.5</v>
      </c>
      <c r="G167" s="9">
        <v>13.12105807</v>
      </c>
      <c r="H167" s="9">
        <v>1.62</v>
      </c>
      <c r="I167" s="9">
        <v>8.25</v>
      </c>
      <c r="J167" s="9">
        <v>6.9100200000000002E-3</v>
      </c>
      <c r="K167" s="9">
        <v>0.70165761500000001</v>
      </c>
      <c r="L167" s="12">
        <v>-7.6264208340210793</v>
      </c>
      <c r="M167" s="12">
        <v>8.3280784490210795</v>
      </c>
    </row>
    <row r="168" spans="2:13" x14ac:dyDescent="0.3">
      <c r="B168" s="3" t="s">
        <v>154</v>
      </c>
      <c r="C168" s="9">
        <v>1.6666666670000001</v>
      </c>
      <c r="D168" s="9">
        <v>6</v>
      </c>
      <c r="E168" s="9">
        <v>15</v>
      </c>
      <c r="F168" s="9">
        <v>7.6</v>
      </c>
      <c r="G168" s="9">
        <v>18.57623736</v>
      </c>
      <c r="H168" s="9">
        <v>0.81</v>
      </c>
      <c r="I168" s="9">
        <v>11.68</v>
      </c>
      <c r="J168" s="9">
        <v>3.7300200000000001E-3</v>
      </c>
      <c r="K168" s="9">
        <v>-0.33959328500000002</v>
      </c>
      <c r="L168" s="12">
        <v>6.8088562752376802</v>
      </c>
      <c r="M168" s="12">
        <v>-7.1484495602376805</v>
      </c>
    </row>
    <row r="169" spans="2:13" x14ac:dyDescent="0.3">
      <c r="B169" s="3" t="s">
        <v>155</v>
      </c>
      <c r="C169" s="9">
        <v>1</v>
      </c>
      <c r="D169" s="9">
        <v>1</v>
      </c>
      <c r="E169" s="9">
        <v>40</v>
      </c>
      <c r="F169" s="9">
        <v>8.1999999999999993</v>
      </c>
      <c r="G169" s="9">
        <v>2.2902210439999999</v>
      </c>
      <c r="H169" s="9">
        <v>7.9885999999999999</v>
      </c>
      <c r="I169" s="9">
        <v>1.44</v>
      </c>
      <c r="J169" s="9">
        <v>1.0389860000000001E-2</v>
      </c>
      <c r="K169" s="9">
        <v>12.232525040000001</v>
      </c>
      <c r="L169" s="12">
        <v>26.151527081322413</v>
      </c>
      <c r="M169" s="12">
        <v>-13.919002041322413</v>
      </c>
    </row>
    <row r="170" spans="2:13" x14ac:dyDescent="0.3">
      <c r="B170" s="3" t="s">
        <v>156</v>
      </c>
      <c r="C170" s="9">
        <v>0.6</v>
      </c>
      <c r="D170" s="9">
        <v>1</v>
      </c>
      <c r="E170" s="9">
        <v>60</v>
      </c>
      <c r="F170" s="9">
        <v>9.1999999999999993</v>
      </c>
      <c r="G170" s="9">
        <v>1.224632086</v>
      </c>
      <c r="H170" s="9">
        <v>5.64</v>
      </c>
      <c r="I170" s="9">
        <v>0.77</v>
      </c>
      <c r="J170" s="9">
        <v>1.379E-2</v>
      </c>
      <c r="K170" s="9">
        <v>21.59747144</v>
      </c>
      <c r="L170" s="12">
        <v>36.525699165012313</v>
      </c>
      <c r="M170" s="12">
        <v>-14.928227725012313</v>
      </c>
    </row>
    <row r="171" spans="2:13" x14ac:dyDescent="0.3">
      <c r="B171" s="3" t="s">
        <v>157</v>
      </c>
      <c r="C171" s="9">
        <v>1</v>
      </c>
      <c r="D171" s="9">
        <v>1</v>
      </c>
      <c r="E171" s="9">
        <v>15</v>
      </c>
      <c r="F171" s="9">
        <v>12.5</v>
      </c>
      <c r="G171" s="9">
        <v>15.82479124</v>
      </c>
      <c r="H171" s="9">
        <v>6.5609999999999999</v>
      </c>
      <c r="I171" s="9">
        <v>9.9499999999999993</v>
      </c>
      <c r="J171" s="9">
        <v>6.6530699999999996E-3</v>
      </c>
      <c r="K171" s="9">
        <v>0.113305343</v>
      </c>
      <c r="L171" s="12">
        <v>-13.026065840495512</v>
      </c>
      <c r="M171" s="12">
        <v>13.139371183495513</v>
      </c>
    </row>
    <row r="172" spans="2:13" x14ac:dyDescent="0.3">
      <c r="B172" s="3" t="s">
        <v>158</v>
      </c>
      <c r="C172" s="9">
        <v>0.6</v>
      </c>
      <c r="D172" s="9">
        <v>2</v>
      </c>
      <c r="E172" s="9">
        <v>20</v>
      </c>
      <c r="F172" s="9">
        <v>11.5</v>
      </c>
      <c r="G172" s="9">
        <v>17.383413900000001</v>
      </c>
      <c r="H172" s="9">
        <v>1.88</v>
      </c>
      <c r="I172" s="9">
        <v>10.93</v>
      </c>
      <c r="J172" s="9">
        <v>6.9699999999999996E-3</v>
      </c>
      <c r="K172" s="9">
        <v>-3.9018326999999998E-2</v>
      </c>
      <c r="L172" s="12">
        <v>-2.9109045126864999</v>
      </c>
      <c r="M172" s="12">
        <v>2.8718861856864999</v>
      </c>
    </row>
    <row r="173" spans="2:13" x14ac:dyDescent="0.3">
      <c r="B173" s="3" t="s">
        <v>159</v>
      </c>
      <c r="C173" s="9">
        <v>1</v>
      </c>
      <c r="D173" s="9">
        <v>6</v>
      </c>
      <c r="E173" s="9">
        <v>10</v>
      </c>
      <c r="F173" s="9">
        <v>7.2</v>
      </c>
      <c r="G173" s="9">
        <v>25.0811013</v>
      </c>
      <c r="H173" s="9">
        <v>5.8784999999999998</v>
      </c>
      <c r="I173" s="9">
        <v>15.77</v>
      </c>
      <c r="J173" s="9">
        <v>5.5424999999999997E-3</v>
      </c>
      <c r="K173" s="9">
        <v>-1.145252173</v>
      </c>
      <c r="L173" s="12">
        <v>5.8806952938536146</v>
      </c>
      <c r="M173" s="12">
        <v>-7.0259474668536148</v>
      </c>
    </row>
    <row r="174" spans="2:13" x14ac:dyDescent="0.3">
      <c r="B174" s="3" t="s">
        <v>160</v>
      </c>
      <c r="C174" s="9">
        <v>1.6666666670000001</v>
      </c>
      <c r="D174" s="9">
        <v>1</v>
      </c>
      <c r="E174" s="9">
        <v>10</v>
      </c>
      <c r="F174" s="9">
        <v>1.6</v>
      </c>
      <c r="G174" s="9">
        <v>0.76340701499999997</v>
      </c>
      <c r="H174" s="9">
        <v>0.54</v>
      </c>
      <c r="I174" s="9">
        <v>0.48</v>
      </c>
      <c r="J174" s="9">
        <v>2.5500000000000002E-3</v>
      </c>
      <c r="K174" s="9">
        <v>19.897201819999999</v>
      </c>
      <c r="L174" s="12">
        <v>16.353784786962361</v>
      </c>
      <c r="M174" s="12">
        <v>3.5434170330376382</v>
      </c>
    </row>
    <row r="175" spans="2:13" x14ac:dyDescent="0.3">
      <c r="B175" s="3" t="s">
        <v>161</v>
      </c>
      <c r="C175" s="9">
        <v>1</v>
      </c>
      <c r="D175" s="9">
        <v>6</v>
      </c>
      <c r="E175" s="9">
        <v>60</v>
      </c>
      <c r="F175" s="9">
        <v>4.7</v>
      </c>
      <c r="G175" s="9">
        <v>0</v>
      </c>
      <c r="H175" s="9">
        <v>7.9885999999999999</v>
      </c>
      <c r="I175" s="9">
        <v>0</v>
      </c>
      <c r="J175" s="9">
        <v>1.2535019999999999E-2</v>
      </c>
      <c r="K175" s="9">
        <v>85.296061620000003</v>
      </c>
      <c r="L175" s="12">
        <v>55.732881996543327</v>
      </c>
      <c r="M175" s="12">
        <v>29.563179623456676</v>
      </c>
    </row>
    <row r="176" spans="2:13" x14ac:dyDescent="0.3">
      <c r="B176" s="3" t="s">
        <v>162</v>
      </c>
      <c r="C176" s="9">
        <v>1</v>
      </c>
      <c r="D176" s="9">
        <v>4</v>
      </c>
      <c r="E176" s="9">
        <v>15</v>
      </c>
      <c r="F176" s="9">
        <v>2.5</v>
      </c>
      <c r="G176" s="9">
        <v>1.1292062089999999</v>
      </c>
      <c r="H176" s="9">
        <v>6.5609999999999999</v>
      </c>
      <c r="I176" s="9">
        <v>0.71</v>
      </c>
      <c r="J176" s="9">
        <v>6.6530799999999996E-3</v>
      </c>
      <c r="K176" s="9">
        <v>18.760384179999999</v>
      </c>
      <c r="L176" s="12">
        <v>19.00389536915285</v>
      </c>
      <c r="M176" s="12">
        <v>-0.24351118915285141</v>
      </c>
    </row>
    <row r="177" spans="2:13" x14ac:dyDescent="0.3">
      <c r="B177" s="3" t="s">
        <v>163</v>
      </c>
      <c r="C177" s="9">
        <v>1</v>
      </c>
      <c r="D177" s="9">
        <v>1</v>
      </c>
      <c r="E177" s="9">
        <v>15</v>
      </c>
      <c r="F177" s="9">
        <v>5</v>
      </c>
      <c r="G177" s="9">
        <v>2.4969771110000001</v>
      </c>
      <c r="H177" s="9">
        <v>6.5609999999999999</v>
      </c>
      <c r="I177" s="9">
        <v>1.57</v>
      </c>
      <c r="J177" s="9">
        <v>6.6530699999999996E-3</v>
      </c>
      <c r="K177" s="9">
        <v>4.6108279230000004</v>
      </c>
      <c r="L177" s="12">
        <v>10.049295526231408</v>
      </c>
      <c r="M177" s="12">
        <v>-5.4384676032314072</v>
      </c>
    </row>
    <row r="178" spans="2:13" x14ac:dyDescent="0.3">
      <c r="B178" s="3" t="s">
        <v>164</v>
      </c>
      <c r="C178" s="9">
        <v>1.6666666670000001</v>
      </c>
      <c r="D178" s="9">
        <v>6</v>
      </c>
      <c r="E178" s="9">
        <v>10</v>
      </c>
      <c r="F178" s="9">
        <v>8</v>
      </c>
      <c r="G178" s="9">
        <v>27.80073879</v>
      </c>
      <c r="H178" s="9">
        <v>0.54</v>
      </c>
      <c r="I178" s="9">
        <v>17.48</v>
      </c>
      <c r="J178" s="9">
        <v>2.5500000000000002E-3</v>
      </c>
      <c r="K178" s="9">
        <v>-1.2937324640000001</v>
      </c>
      <c r="L178" s="12">
        <v>1.8304931706758949</v>
      </c>
      <c r="M178" s="12">
        <v>-3.124225634675895</v>
      </c>
    </row>
    <row r="179" spans="2:13" x14ac:dyDescent="0.3">
      <c r="B179" s="3" t="s">
        <v>165</v>
      </c>
      <c r="C179" s="9">
        <v>1.6666666670000001</v>
      </c>
      <c r="D179" s="9">
        <v>6</v>
      </c>
      <c r="E179" s="9">
        <v>20</v>
      </c>
      <c r="F179" s="9">
        <v>11.5</v>
      </c>
      <c r="G179" s="9">
        <v>24.254077030000001</v>
      </c>
      <c r="H179" s="9">
        <v>1.08</v>
      </c>
      <c r="I179" s="9">
        <v>15.25</v>
      </c>
      <c r="J179" s="9">
        <v>4.8400200000000004E-3</v>
      </c>
      <c r="K179" s="9">
        <v>-1.537356513</v>
      </c>
      <c r="L179" s="12">
        <v>2.7206748485076044</v>
      </c>
      <c r="M179" s="12">
        <v>-4.2580313615076042</v>
      </c>
    </row>
    <row r="180" spans="2:13" x14ac:dyDescent="0.3">
      <c r="B180" s="3" t="s">
        <v>166</v>
      </c>
      <c r="C180" s="9">
        <v>0.6</v>
      </c>
      <c r="D180" s="9">
        <v>6</v>
      </c>
      <c r="E180" s="9">
        <v>30</v>
      </c>
      <c r="F180" s="9">
        <v>16.5</v>
      </c>
      <c r="G180" s="9">
        <v>15.66574812</v>
      </c>
      <c r="H180" s="9">
        <v>2.82</v>
      </c>
      <c r="I180" s="9">
        <v>9.85</v>
      </c>
      <c r="J180" s="9">
        <v>9.2599799999999993E-3</v>
      </c>
      <c r="K180" s="9">
        <v>0.282318546</v>
      </c>
      <c r="L180" s="12">
        <v>-5.5103490240094075</v>
      </c>
      <c r="M180" s="12">
        <v>5.7926675700094075</v>
      </c>
    </row>
    <row r="181" spans="2:13" x14ac:dyDescent="0.3">
      <c r="B181" s="3" t="s">
        <v>167</v>
      </c>
      <c r="C181" s="9">
        <v>1</v>
      </c>
      <c r="D181" s="9">
        <v>2</v>
      </c>
      <c r="E181" s="9">
        <v>30</v>
      </c>
      <c r="F181" s="9">
        <v>25.7</v>
      </c>
      <c r="G181" s="9">
        <v>36.325450459999999</v>
      </c>
      <c r="H181" s="9">
        <v>7.6656000000000004</v>
      </c>
      <c r="I181" s="9">
        <v>22.84</v>
      </c>
      <c r="J181" s="9">
        <v>9.1083599999999994E-3</v>
      </c>
      <c r="K181" s="9">
        <v>-2.4797646379999998</v>
      </c>
      <c r="L181" s="12">
        <v>-2.4502867931213856</v>
      </c>
      <c r="M181" s="12">
        <v>-2.9477844878614157E-2</v>
      </c>
    </row>
    <row r="182" spans="2:13" x14ac:dyDescent="0.3">
      <c r="B182" s="3" t="s">
        <v>168</v>
      </c>
      <c r="C182" s="9">
        <v>0.6</v>
      </c>
      <c r="D182" s="9">
        <v>1</v>
      </c>
      <c r="E182" s="9">
        <v>60</v>
      </c>
      <c r="F182" s="9">
        <v>27.6</v>
      </c>
      <c r="G182" s="9">
        <v>10.814932710000001</v>
      </c>
      <c r="H182" s="9">
        <v>5.64</v>
      </c>
      <c r="I182" s="9">
        <v>6.8</v>
      </c>
      <c r="J182" s="9">
        <v>1.379E-2</v>
      </c>
      <c r="K182" s="9">
        <v>1.4548107210000001</v>
      </c>
      <c r="L182" s="12">
        <v>8.278973566629972</v>
      </c>
      <c r="M182" s="12">
        <v>-6.8241628456299717</v>
      </c>
    </row>
    <row r="183" spans="2:13" x14ac:dyDescent="0.3">
      <c r="B183" s="3" t="s">
        <v>169</v>
      </c>
      <c r="C183" s="9">
        <v>0.6</v>
      </c>
      <c r="D183" s="9">
        <v>2</v>
      </c>
      <c r="E183" s="9">
        <v>30</v>
      </c>
      <c r="F183" s="9">
        <v>6.6</v>
      </c>
      <c r="G183" s="9">
        <v>4.3259730840000001</v>
      </c>
      <c r="H183" s="9">
        <v>2.82</v>
      </c>
      <c r="I183" s="9">
        <v>2.72</v>
      </c>
      <c r="J183" s="9">
        <v>9.2599999999999991E-3</v>
      </c>
      <c r="K183" s="9">
        <v>9.875438484</v>
      </c>
      <c r="L183" s="12">
        <v>20.425482930497324</v>
      </c>
      <c r="M183" s="12">
        <v>-10.550044446497324</v>
      </c>
    </row>
    <row r="184" spans="2:13" x14ac:dyDescent="0.3">
      <c r="B184" s="3" t="s">
        <v>170</v>
      </c>
      <c r="C184" s="9">
        <v>0.6</v>
      </c>
      <c r="D184" s="9">
        <v>2</v>
      </c>
      <c r="E184" s="9">
        <v>60</v>
      </c>
      <c r="F184" s="9">
        <v>27.6</v>
      </c>
      <c r="G184" s="9">
        <v>12.198607920000001</v>
      </c>
      <c r="H184" s="9">
        <v>5.64</v>
      </c>
      <c r="I184" s="9">
        <v>7.67</v>
      </c>
      <c r="J184" s="9">
        <v>1.379E-2</v>
      </c>
      <c r="K184" s="9">
        <v>1.1942168070000001</v>
      </c>
      <c r="L184" s="12">
        <v>6.39670640469906</v>
      </c>
      <c r="M184" s="12">
        <v>-5.2024895976990599</v>
      </c>
    </row>
    <row r="185" spans="2:13" x14ac:dyDescent="0.3">
      <c r="B185" s="3" t="s">
        <v>171</v>
      </c>
      <c r="C185" s="9">
        <v>1.6666666670000001</v>
      </c>
      <c r="D185" s="9">
        <v>6</v>
      </c>
      <c r="E185" s="9">
        <v>15</v>
      </c>
      <c r="F185" s="9">
        <v>11.4</v>
      </c>
      <c r="G185" s="9">
        <v>33.621717279999999</v>
      </c>
      <c r="H185" s="9">
        <v>0.81</v>
      </c>
      <c r="I185" s="9">
        <v>21.14</v>
      </c>
      <c r="J185" s="9">
        <v>3.7300200000000001E-3</v>
      </c>
      <c r="K185" s="9">
        <v>-2.5054085650000002</v>
      </c>
      <c r="L185" s="12">
        <v>1.000279445330797</v>
      </c>
      <c r="M185" s="12">
        <v>-3.5056880103307972</v>
      </c>
    </row>
    <row r="186" spans="2:13" x14ac:dyDescent="0.3">
      <c r="B186" s="3" t="s">
        <v>172</v>
      </c>
      <c r="C186" s="9">
        <v>1</v>
      </c>
      <c r="D186" s="9">
        <v>4</v>
      </c>
      <c r="E186" s="9">
        <v>20</v>
      </c>
      <c r="F186" s="9">
        <v>11.2</v>
      </c>
      <c r="G186" s="9">
        <v>16.397346509999998</v>
      </c>
      <c r="H186" s="9">
        <v>7.0444000000000004</v>
      </c>
      <c r="I186" s="9">
        <v>10.31</v>
      </c>
      <c r="J186" s="9">
        <v>7.5770400000000002E-3</v>
      </c>
      <c r="K186" s="9">
        <v>0.14643716600000001</v>
      </c>
      <c r="L186" s="12">
        <v>-3.6142461582258179</v>
      </c>
      <c r="M186" s="12">
        <v>3.760683324225818</v>
      </c>
    </row>
    <row r="187" spans="2:13" x14ac:dyDescent="0.3">
      <c r="B187" s="3" t="s">
        <v>173</v>
      </c>
      <c r="C187" s="9">
        <v>0.6</v>
      </c>
      <c r="D187" s="9">
        <v>6</v>
      </c>
      <c r="E187" s="9">
        <v>20</v>
      </c>
      <c r="F187" s="9">
        <v>16.100000000000001</v>
      </c>
      <c r="G187" s="9">
        <v>33.510387090000002</v>
      </c>
      <c r="H187" s="9">
        <v>1.88</v>
      </c>
      <c r="I187" s="9">
        <v>21.07</v>
      </c>
      <c r="J187" s="9">
        <v>6.9700200000000004E-3</v>
      </c>
      <c r="K187" s="9">
        <v>-2.2131582330000001</v>
      </c>
      <c r="L187" s="12">
        <v>-3.4433600928860209</v>
      </c>
      <c r="M187" s="12">
        <v>1.2302018598860207</v>
      </c>
    </row>
    <row r="188" spans="2:13" x14ac:dyDescent="0.3">
      <c r="B188" s="3" t="s">
        <v>174</v>
      </c>
      <c r="C188" s="9">
        <v>1.6666666670000001</v>
      </c>
      <c r="D188" s="9">
        <v>6</v>
      </c>
      <c r="E188" s="9">
        <v>20</v>
      </c>
      <c r="F188" s="9">
        <v>9.1999999999999993</v>
      </c>
      <c r="G188" s="9">
        <v>15.506704989999999</v>
      </c>
      <c r="H188" s="9">
        <v>1.08</v>
      </c>
      <c r="I188" s="9">
        <v>9.75</v>
      </c>
      <c r="J188" s="9">
        <v>4.8400200000000004E-3</v>
      </c>
      <c r="K188" s="9">
        <v>0.44417068399999998</v>
      </c>
      <c r="L188" s="12">
        <v>5.4993330928464896</v>
      </c>
      <c r="M188" s="12">
        <v>-5.0551624088464893</v>
      </c>
    </row>
    <row r="189" spans="2:13" x14ac:dyDescent="0.3">
      <c r="B189" s="3" t="s">
        <v>175</v>
      </c>
      <c r="C189" s="9">
        <v>0.6</v>
      </c>
      <c r="D189" s="9">
        <v>6</v>
      </c>
      <c r="E189" s="9">
        <v>60</v>
      </c>
      <c r="F189" s="9">
        <v>23</v>
      </c>
      <c r="G189" s="9">
        <v>1.307687942</v>
      </c>
      <c r="H189" s="9">
        <v>5.64</v>
      </c>
      <c r="I189" s="9">
        <v>1.85</v>
      </c>
      <c r="J189" s="9">
        <v>1.378998E-2</v>
      </c>
      <c r="K189" s="9">
        <v>3.3712495210000002</v>
      </c>
      <c r="L189" s="12">
        <v>-0.68978923825328309</v>
      </c>
      <c r="M189" s="12">
        <v>4.0610387592532833</v>
      </c>
    </row>
    <row r="190" spans="2:13" x14ac:dyDescent="0.3">
      <c r="B190" s="3" t="s">
        <v>176</v>
      </c>
      <c r="C190" s="9">
        <v>0.6</v>
      </c>
      <c r="D190" s="9">
        <v>6</v>
      </c>
      <c r="E190" s="9">
        <v>60</v>
      </c>
      <c r="F190" s="9">
        <v>13.8</v>
      </c>
      <c r="G190" s="9">
        <v>0</v>
      </c>
      <c r="H190" s="9">
        <v>5.64</v>
      </c>
      <c r="I190" s="9">
        <v>0</v>
      </c>
      <c r="J190" s="9">
        <v>1.378998E-2</v>
      </c>
      <c r="K190" s="9">
        <v>9.6479690090000005</v>
      </c>
      <c r="L190" s="12">
        <v>16.937833249715695</v>
      </c>
      <c r="M190" s="12">
        <v>-7.2898642407156942</v>
      </c>
    </row>
    <row r="191" spans="2:13" x14ac:dyDescent="0.3">
      <c r="B191" s="3" t="s">
        <v>177</v>
      </c>
      <c r="C191" s="9">
        <v>1.6666666670000001</v>
      </c>
      <c r="D191" s="9">
        <v>1</v>
      </c>
      <c r="E191" s="9">
        <v>15</v>
      </c>
      <c r="F191" s="9">
        <v>7.6</v>
      </c>
      <c r="G191" s="9">
        <v>8.4610944139999997</v>
      </c>
      <c r="H191" s="9">
        <v>0.81</v>
      </c>
      <c r="I191" s="9">
        <v>5.32</v>
      </c>
      <c r="J191" s="9">
        <v>3.7299999999999998E-3</v>
      </c>
      <c r="K191" s="9">
        <v>1.5052246789999999</v>
      </c>
      <c r="L191" s="12">
        <v>-1.1839952157438498</v>
      </c>
      <c r="M191" s="12">
        <v>2.6892198947438497</v>
      </c>
    </row>
    <row r="192" spans="2:13" x14ac:dyDescent="0.3">
      <c r="B192" s="3" t="s">
        <v>178</v>
      </c>
      <c r="C192" s="9">
        <v>1.6666666670000001</v>
      </c>
      <c r="D192" s="9">
        <v>2</v>
      </c>
      <c r="E192" s="9">
        <v>20</v>
      </c>
      <c r="F192" s="9">
        <v>2.2999999999999998</v>
      </c>
      <c r="G192" s="9">
        <v>0.90654583</v>
      </c>
      <c r="H192" s="9">
        <v>1.08</v>
      </c>
      <c r="I192" s="9">
        <v>0.56999999999999995</v>
      </c>
      <c r="J192" s="9">
        <v>4.8399999999999997E-3</v>
      </c>
      <c r="K192" s="9">
        <v>38.484267629999998</v>
      </c>
      <c r="L192" s="12">
        <v>27.65348254858587</v>
      </c>
      <c r="M192" s="12">
        <v>10.830785081414128</v>
      </c>
    </row>
    <row r="193" spans="2:13" x14ac:dyDescent="0.3">
      <c r="B193" s="3" t="s">
        <v>179</v>
      </c>
      <c r="C193" s="9">
        <v>0.6</v>
      </c>
      <c r="D193" s="9">
        <v>4</v>
      </c>
      <c r="E193" s="9">
        <v>20</v>
      </c>
      <c r="F193" s="9">
        <v>11.5</v>
      </c>
      <c r="G193" s="9">
        <v>21.07321447</v>
      </c>
      <c r="H193" s="9">
        <v>1.88</v>
      </c>
      <c r="I193" s="9">
        <v>13.25</v>
      </c>
      <c r="J193" s="9">
        <v>6.9699999999999996E-3</v>
      </c>
      <c r="K193" s="9">
        <v>-0.78220983799999999</v>
      </c>
      <c r="L193" s="12">
        <v>-1.6780118913620186</v>
      </c>
      <c r="M193" s="12">
        <v>0.89580205336201857</v>
      </c>
    </row>
    <row r="194" spans="2:13" x14ac:dyDescent="0.3">
      <c r="B194" s="3" t="s">
        <v>180</v>
      </c>
      <c r="C194" s="9">
        <v>1.6666666670000001</v>
      </c>
      <c r="D194" s="9">
        <v>1</v>
      </c>
      <c r="E194" s="9">
        <v>60</v>
      </c>
      <c r="F194" s="9">
        <v>13.8</v>
      </c>
      <c r="G194" s="9">
        <v>3.3240013770000001</v>
      </c>
      <c r="H194" s="9">
        <v>3.24</v>
      </c>
      <c r="I194" s="9">
        <v>2.09</v>
      </c>
      <c r="J194" s="9">
        <v>1.205E-2</v>
      </c>
      <c r="K194" s="9">
        <v>9.2862852159999996</v>
      </c>
      <c r="L194" s="12">
        <v>20.400153186009852</v>
      </c>
      <c r="M194" s="12">
        <v>-11.113867970009853</v>
      </c>
    </row>
    <row r="195" spans="2:13" x14ac:dyDescent="0.3">
      <c r="B195" s="3" t="s">
        <v>181</v>
      </c>
      <c r="C195" s="9">
        <v>1</v>
      </c>
      <c r="D195" s="9">
        <v>1</v>
      </c>
      <c r="E195" s="9">
        <v>40</v>
      </c>
      <c r="F195" s="9">
        <v>29.3</v>
      </c>
      <c r="G195" s="9">
        <v>36.80257984</v>
      </c>
      <c r="H195" s="9">
        <v>7.9885999999999999</v>
      </c>
      <c r="I195" s="9">
        <v>23.14</v>
      </c>
      <c r="J195" s="9">
        <v>1.0389860000000001E-2</v>
      </c>
      <c r="K195" s="9">
        <v>-3.5071893940000001</v>
      </c>
      <c r="L195" s="12">
        <v>13.084279924914782</v>
      </c>
      <c r="M195" s="12">
        <v>-16.591469318914783</v>
      </c>
    </row>
    <row r="196" spans="2:13" x14ac:dyDescent="0.3">
      <c r="B196" s="3" t="s">
        <v>182</v>
      </c>
      <c r="C196" s="9">
        <v>1.6666666670000001</v>
      </c>
      <c r="D196" s="9">
        <v>1</v>
      </c>
      <c r="E196" s="9">
        <v>30</v>
      </c>
      <c r="F196" s="9">
        <v>6.6</v>
      </c>
      <c r="G196" s="9">
        <v>2.481072798</v>
      </c>
      <c r="H196" s="9">
        <v>1.62</v>
      </c>
      <c r="I196" s="9">
        <v>1.56</v>
      </c>
      <c r="J196" s="9">
        <v>6.9100000000000003E-3</v>
      </c>
      <c r="K196" s="9">
        <v>10.32475103</v>
      </c>
      <c r="L196" s="12">
        <v>21.790965705023734</v>
      </c>
      <c r="M196" s="12">
        <v>-11.466214675023734</v>
      </c>
    </row>
    <row r="197" spans="2:13" x14ac:dyDescent="0.3">
      <c r="B197" s="3" t="s">
        <v>183</v>
      </c>
      <c r="C197" s="9">
        <v>0.6</v>
      </c>
      <c r="D197" s="9">
        <v>2</v>
      </c>
      <c r="E197" s="9">
        <v>40</v>
      </c>
      <c r="F197" s="9">
        <v>3.9</v>
      </c>
      <c r="G197" s="9">
        <v>0</v>
      </c>
      <c r="H197" s="9">
        <v>3.76</v>
      </c>
      <c r="I197" s="9">
        <v>0</v>
      </c>
      <c r="J197" s="9">
        <v>9.2599999999999991E-3</v>
      </c>
      <c r="K197" s="9">
        <v>53.688632269999999</v>
      </c>
      <c r="L197" s="12">
        <v>43.365954492501871</v>
      </c>
      <c r="M197" s="12">
        <v>10.322677777498129</v>
      </c>
    </row>
    <row r="198" spans="2:13" x14ac:dyDescent="0.3">
      <c r="B198" s="3" t="s">
        <v>184</v>
      </c>
      <c r="C198" s="9">
        <v>1.6666666670000001</v>
      </c>
      <c r="D198" s="9">
        <v>1</v>
      </c>
      <c r="E198" s="9">
        <v>40</v>
      </c>
      <c r="F198" s="9">
        <v>19.5</v>
      </c>
      <c r="G198" s="9">
        <v>13.86856077</v>
      </c>
      <c r="H198" s="9">
        <v>2.16</v>
      </c>
      <c r="I198" s="9">
        <v>8.7200000000000006</v>
      </c>
      <c r="J198" s="9">
        <v>8.7799999999999996E-3</v>
      </c>
      <c r="K198" s="9">
        <v>0.74610087300000005</v>
      </c>
      <c r="L198" s="12">
        <v>-1.3385754643562287</v>
      </c>
      <c r="M198" s="12">
        <v>2.0846763373562287</v>
      </c>
    </row>
    <row r="199" spans="2:13" x14ac:dyDescent="0.3">
      <c r="B199" s="3" t="s">
        <v>185</v>
      </c>
      <c r="C199" s="9">
        <v>1.6666666670000001</v>
      </c>
      <c r="D199" s="9">
        <v>6</v>
      </c>
      <c r="E199" s="9">
        <v>40</v>
      </c>
      <c r="F199" s="9">
        <v>3.9</v>
      </c>
      <c r="G199" s="9">
        <v>0.92245014299999994</v>
      </c>
      <c r="H199" s="9">
        <v>2.16</v>
      </c>
      <c r="I199" s="9">
        <v>0.57999999999999996</v>
      </c>
      <c r="J199" s="9">
        <v>8.7799799999999997E-3</v>
      </c>
      <c r="K199" s="9">
        <v>53.533629699999999</v>
      </c>
      <c r="L199" s="12">
        <v>46.380236504720855</v>
      </c>
      <c r="M199" s="12">
        <v>7.1533931952791434</v>
      </c>
    </row>
    <row r="200" spans="2:13" x14ac:dyDescent="0.3">
      <c r="B200" s="3" t="s">
        <v>186</v>
      </c>
      <c r="C200" s="9">
        <v>1</v>
      </c>
      <c r="D200" s="9">
        <v>1</v>
      </c>
      <c r="E200" s="9">
        <v>60</v>
      </c>
      <c r="F200" s="9">
        <v>28.2</v>
      </c>
      <c r="G200" s="9">
        <v>15.25223598</v>
      </c>
      <c r="H200" s="9">
        <v>7.9885999999999999</v>
      </c>
      <c r="I200" s="9">
        <v>9.59</v>
      </c>
      <c r="J200" s="9">
        <v>1.2535019999999999E-2</v>
      </c>
      <c r="K200" s="9">
        <v>0.49923746200000002</v>
      </c>
      <c r="L200" s="12">
        <v>10.197048130633263</v>
      </c>
      <c r="M200" s="12">
        <v>-9.697810668633263</v>
      </c>
    </row>
    <row r="201" spans="2:13" x14ac:dyDescent="0.3">
      <c r="B201" s="3" t="s">
        <v>187</v>
      </c>
      <c r="C201" s="9">
        <v>1</v>
      </c>
      <c r="D201" s="9">
        <v>4</v>
      </c>
      <c r="E201" s="9">
        <v>10</v>
      </c>
      <c r="F201" s="9">
        <v>12.4</v>
      </c>
      <c r="G201" s="9">
        <v>57.525899430000003</v>
      </c>
      <c r="H201" s="9">
        <v>5.8784999999999998</v>
      </c>
      <c r="I201" s="9">
        <v>36.17</v>
      </c>
      <c r="J201" s="9">
        <v>5.5425200000000004E-3</v>
      </c>
      <c r="K201" s="9">
        <v>-3.481482872</v>
      </c>
      <c r="L201" s="12">
        <v>-1.4151261469279923</v>
      </c>
      <c r="M201" s="12">
        <v>-2.0663567250720076</v>
      </c>
    </row>
    <row r="202" spans="2:13" x14ac:dyDescent="0.3">
      <c r="B202" s="3" t="s">
        <v>188</v>
      </c>
      <c r="C202" s="9">
        <v>1</v>
      </c>
      <c r="D202" s="9">
        <v>2</v>
      </c>
      <c r="E202" s="9">
        <v>20</v>
      </c>
      <c r="F202" s="9">
        <v>11.2</v>
      </c>
      <c r="G202" s="9">
        <v>14.99776698</v>
      </c>
      <c r="H202" s="9">
        <v>7.0444000000000004</v>
      </c>
      <c r="I202" s="9">
        <v>9.43</v>
      </c>
      <c r="J202" s="9">
        <v>7.5770400000000002E-3</v>
      </c>
      <c r="K202" s="9">
        <v>0.39525215400000002</v>
      </c>
      <c r="L202" s="12">
        <v>-3.0729430950867922</v>
      </c>
      <c r="M202" s="12">
        <v>3.4681952490867922</v>
      </c>
    </row>
    <row r="203" spans="2:13" x14ac:dyDescent="0.3">
      <c r="B203" s="3" t="s">
        <v>189</v>
      </c>
      <c r="C203" s="9">
        <v>1.6666666670000001</v>
      </c>
      <c r="D203" s="9">
        <v>1</v>
      </c>
      <c r="E203" s="9">
        <v>20</v>
      </c>
      <c r="F203" s="9">
        <v>11.5</v>
      </c>
      <c r="G203" s="9">
        <v>10.51275077</v>
      </c>
      <c r="H203" s="9">
        <v>1.08</v>
      </c>
      <c r="I203" s="9">
        <v>6.61</v>
      </c>
      <c r="J203" s="9">
        <v>4.8399999999999997E-3</v>
      </c>
      <c r="K203" s="9">
        <v>0.96483391799999996</v>
      </c>
      <c r="L203" s="12">
        <v>-7.8700994534809254</v>
      </c>
      <c r="M203" s="12">
        <v>8.8349333714809255</v>
      </c>
    </row>
    <row r="204" spans="2:13" x14ac:dyDescent="0.3">
      <c r="B204" s="3" t="s">
        <v>190</v>
      </c>
      <c r="C204" s="9">
        <v>1.6666666670000001</v>
      </c>
      <c r="D204" s="9">
        <v>2</v>
      </c>
      <c r="E204" s="9">
        <v>30</v>
      </c>
      <c r="F204" s="9">
        <v>9.9</v>
      </c>
      <c r="G204" s="9">
        <v>10.22647314</v>
      </c>
      <c r="H204" s="9">
        <v>1.62</v>
      </c>
      <c r="I204" s="9">
        <v>6.43</v>
      </c>
      <c r="J204" s="9">
        <v>6.9100000000000003E-3</v>
      </c>
      <c r="K204" s="9">
        <v>3.0236857399999999</v>
      </c>
      <c r="L204" s="12">
        <v>9.9578369250664629</v>
      </c>
      <c r="M204" s="12">
        <v>-6.9341511850664634</v>
      </c>
    </row>
    <row r="205" spans="2:13" x14ac:dyDescent="0.3">
      <c r="B205" s="3" t="s">
        <v>191</v>
      </c>
      <c r="C205" s="9">
        <v>1.6666666670000001</v>
      </c>
      <c r="D205" s="9">
        <v>2</v>
      </c>
      <c r="E205" s="9">
        <v>20</v>
      </c>
      <c r="F205" s="9">
        <v>17.399999999999999</v>
      </c>
      <c r="G205" s="9">
        <v>47.235809039999999</v>
      </c>
      <c r="H205" s="9">
        <v>1.08</v>
      </c>
      <c r="I205" s="9">
        <v>29.7</v>
      </c>
      <c r="J205" s="9">
        <v>4.8399999999999997E-3</v>
      </c>
      <c r="K205" s="9">
        <v>-4.4303568630000001</v>
      </c>
      <c r="L205" s="12">
        <v>-3.0587730102207686</v>
      </c>
      <c r="M205" s="12">
        <v>-1.3715838527792314</v>
      </c>
    </row>
    <row r="206" spans="2:13" x14ac:dyDescent="0.3">
      <c r="B206" s="3" t="s">
        <v>192</v>
      </c>
      <c r="C206" s="9">
        <v>1</v>
      </c>
      <c r="D206" s="9">
        <v>4</v>
      </c>
      <c r="E206" s="9">
        <v>30</v>
      </c>
      <c r="F206" s="9">
        <v>14.4</v>
      </c>
      <c r="G206" s="9">
        <v>15.570322239999999</v>
      </c>
      <c r="H206" s="9">
        <v>7.6656000000000004</v>
      </c>
      <c r="I206" s="9">
        <v>9.7899999999999991</v>
      </c>
      <c r="J206" s="9">
        <v>9.1083599999999994E-3</v>
      </c>
      <c r="K206" s="9">
        <v>0.40308699599999998</v>
      </c>
      <c r="L206" s="12">
        <v>-1.8076799940002317</v>
      </c>
      <c r="M206" s="12">
        <v>2.2107669900002316</v>
      </c>
    </row>
    <row r="207" spans="2:13" x14ac:dyDescent="0.3">
      <c r="B207" s="3" t="s">
        <v>193</v>
      </c>
      <c r="C207" s="9">
        <v>1</v>
      </c>
      <c r="D207" s="9">
        <v>6</v>
      </c>
      <c r="E207" s="9">
        <v>40</v>
      </c>
      <c r="F207" s="9">
        <v>24.6</v>
      </c>
      <c r="G207" s="9">
        <v>9.5584919979999992</v>
      </c>
      <c r="H207" s="9">
        <v>7.9885999999999999</v>
      </c>
      <c r="I207" s="9">
        <v>6.01</v>
      </c>
      <c r="J207" s="9">
        <v>1.0389839999999999E-2</v>
      </c>
      <c r="K207" s="9">
        <v>0.95483102600000003</v>
      </c>
      <c r="L207" s="12">
        <v>-9.6533255349542557</v>
      </c>
      <c r="M207" s="12">
        <v>10.608156560954257</v>
      </c>
    </row>
    <row r="208" spans="2:13" x14ac:dyDescent="0.3">
      <c r="B208" s="3" t="s">
        <v>194</v>
      </c>
      <c r="C208" s="9">
        <v>0.6</v>
      </c>
      <c r="D208" s="9">
        <v>2</v>
      </c>
      <c r="E208" s="9">
        <v>15</v>
      </c>
      <c r="F208" s="9">
        <v>3.8</v>
      </c>
      <c r="G208" s="9">
        <v>3.0377237460000002</v>
      </c>
      <c r="H208" s="9">
        <v>1.41</v>
      </c>
      <c r="I208" s="9">
        <v>1.91</v>
      </c>
      <c r="J208" s="9">
        <v>5.7099999999999998E-3</v>
      </c>
      <c r="K208" s="9">
        <v>7.7035733549999996</v>
      </c>
      <c r="L208" s="12">
        <v>14.953280629759449</v>
      </c>
      <c r="M208" s="12">
        <v>-7.2497072747594498</v>
      </c>
    </row>
    <row r="209" spans="2:13" x14ac:dyDescent="0.3">
      <c r="B209" s="3" t="s">
        <v>195</v>
      </c>
      <c r="C209" s="9">
        <v>1.6666666670000001</v>
      </c>
      <c r="D209" s="9">
        <v>1</v>
      </c>
      <c r="E209" s="9">
        <v>15</v>
      </c>
      <c r="F209" s="9">
        <v>1.9</v>
      </c>
      <c r="G209" s="9">
        <v>0</v>
      </c>
      <c r="H209" s="9">
        <v>0.81</v>
      </c>
      <c r="I209" s="9">
        <v>0</v>
      </c>
      <c r="J209" s="9">
        <v>3.7299999999999998E-3</v>
      </c>
      <c r="K209" s="9">
        <v>31.810235769999998</v>
      </c>
      <c r="L209" s="12">
        <v>23.681554142156891</v>
      </c>
      <c r="M209" s="12">
        <v>8.1286816278431075</v>
      </c>
    </row>
    <row r="210" spans="2:13" x14ac:dyDescent="0.3">
      <c r="B210" s="3" t="s">
        <v>196</v>
      </c>
      <c r="C210" s="9">
        <v>0.6</v>
      </c>
      <c r="D210" s="9">
        <v>6</v>
      </c>
      <c r="E210" s="9">
        <v>40</v>
      </c>
      <c r="F210" s="9">
        <v>27.2</v>
      </c>
      <c r="G210" s="9">
        <v>14.39340309</v>
      </c>
      <c r="H210" s="9">
        <v>3.76</v>
      </c>
      <c r="I210" s="9">
        <v>9.0500000000000007</v>
      </c>
      <c r="J210" s="9">
        <v>9.2599799999999993E-3</v>
      </c>
      <c r="K210" s="9">
        <v>0.32791892499999997</v>
      </c>
      <c r="L210" s="12">
        <v>-6.0783562915093299</v>
      </c>
      <c r="M210" s="12">
        <v>6.4062752165093295</v>
      </c>
    </row>
    <row r="211" spans="2:13" x14ac:dyDescent="0.3">
      <c r="B211" s="3" t="s">
        <v>197</v>
      </c>
      <c r="C211" s="9">
        <v>1</v>
      </c>
      <c r="D211" s="9">
        <v>1</v>
      </c>
      <c r="E211" s="9">
        <v>15</v>
      </c>
      <c r="F211" s="9">
        <v>10</v>
      </c>
      <c r="G211" s="9">
        <v>11.562435410000001</v>
      </c>
      <c r="H211" s="9">
        <v>6.5609999999999999</v>
      </c>
      <c r="I211" s="9">
        <v>7.27</v>
      </c>
      <c r="J211" s="9">
        <v>6.6530699999999996E-3</v>
      </c>
      <c r="K211" s="9">
        <v>0.64345537200000003</v>
      </c>
      <c r="L211" s="12">
        <v>-6.7145437201006146</v>
      </c>
      <c r="M211" s="12">
        <v>7.3579990921006146</v>
      </c>
    </row>
    <row r="212" spans="2:13" x14ac:dyDescent="0.3">
      <c r="B212" s="3" t="s">
        <v>198</v>
      </c>
      <c r="C212" s="9">
        <v>1.6666666670000001</v>
      </c>
      <c r="D212" s="9">
        <v>6</v>
      </c>
      <c r="E212" s="9">
        <v>20</v>
      </c>
      <c r="F212" s="9">
        <v>6.9</v>
      </c>
      <c r="G212" s="9">
        <v>8.2702426609999993</v>
      </c>
      <c r="H212" s="9">
        <v>1.08</v>
      </c>
      <c r="I212" s="9">
        <v>5.2</v>
      </c>
      <c r="J212" s="9">
        <v>4.8400200000000004E-3</v>
      </c>
      <c r="K212" s="9">
        <v>3.2929001590000002</v>
      </c>
      <c r="L212" s="12">
        <v>10.414042526716662</v>
      </c>
      <c r="M212" s="12">
        <v>-7.1211423677166614</v>
      </c>
    </row>
    <row r="213" spans="2:13" x14ac:dyDescent="0.3">
      <c r="B213" s="3" t="s">
        <v>199</v>
      </c>
      <c r="C213" s="9">
        <v>1.6666666670000001</v>
      </c>
      <c r="D213" s="9">
        <v>2</v>
      </c>
      <c r="E213" s="9">
        <v>40</v>
      </c>
      <c r="F213" s="9">
        <v>3.9</v>
      </c>
      <c r="G213" s="9">
        <v>1.0337803329999999</v>
      </c>
      <c r="H213" s="9">
        <v>2.16</v>
      </c>
      <c r="I213" s="9">
        <v>0.65</v>
      </c>
      <c r="J213" s="9">
        <v>8.7799999999999996E-3</v>
      </c>
      <c r="K213" s="9">
        <v>53.493957520000002</v>
      </c>
      <c r="L213" s="12">
        <v>43.941451686564633</v>
      </c>
      <c r="M213" s="12">
        <v>9.5525058334353687</v>
      </c>
    </row>
    <row r="214" spans="2:13" x14ac:dyDescent="0.3">
      <c r="B214" s="3" t="s">
        <v>200</v>
      </c>
      <c r="C214" s="9">
        <v>1</v>
      </c>
      <c r="D214" s="9">
        <v>2</v>
      </c>
      <c r="E214" s="9">
        <v>15</v>
      </c>
      <c r="F214" s="9">
        <v>17.7</v>
      </c>
      <c r="G214" s="9">
        <v>52.850031459999997</v>
      </c>
      <c r="H214" s="9">
        <v>6.5609999999999999</v>
      </c>
      <c r="I214" s="9">
        <v>33.229999999999997</v>
      </c>
      <c r="J214" s="9">
        <v>6.6530799999999996E-3</v>
      </c>
      <c r="K214" s="9">
        <v>-3.1863215880000002</v>
      </c>
      <c r="L214" s="12">
        <v>-6.6565783388122313</v>
      </c>
      <c r="M214" s="12">
        <v>3.4702567508122311</v>
      </c>
    </row>
    <row r="215" spans="2:13" x14ac:dyDescent="0.3">
      <c r="B215" s="3" t="s">
        <v>201</v>
      </c>
      <c r="C215" s="9">
        <v>0.6</v>
      </c>
      <c r="D215" s="9">
        <v>1</v>
      </c>
      <c r="E215" s="9">
        <v>20</v>
      </c>
      <c r="F215" s="9">
        <v>9.1999999999999993</v>
      </c>
      <c r="G215" s="9">
        <v>4.7076765910000002</v>
      </c>
      <c r="H215" s="9">
        <v>1.88</v>
      </c>
      <c r="I215" s="9">
        <v>2.96</v>
      </c>
      <c r="J215" s="9">
        <v>6.9699999999999996E-3</v>
      </c>
      <c r="K215" s="9">
        <v>2.2306245680000001</v>
      </c>
      <c r="L215" s="12">
        <v>-1.1169827692200229</v>
      </c>
      <c r="M215" s="12">
        <v>3.347607337220023</v>
      </c>
    </row>
    <row r="216" spans="2:13" x14ac:dyDescent="0.3">
      <c r="B216" s="3" t="s">
        <v>202</v>
      </c>
      <c r="C216" s="9">
        <v>0.6</v>
      </c>
      <c r="D216" s="9">
        <v>6</v>
      </c>
      <c r="E216" s="9">
        <v>30</v>
      </c>
      <c r="F216" s="9">
        <v>23.3</v>
      </c>
      <c r="G216" s="9">
        <v>21.31177916</v>
      </c>
      <c r="H216" s="9">
        <v>2.82</v>
      </c>
      <c r="I216" s="9">
        <v>13.4</v>
      </c>
      <c r="J216" s="9">
        <v>9.2599799999999993E-3</v>
      </c>
      <c r="K216" s="9">
        <v>-0.45776329399999999</v>
      </c>
      <c r="L216" s="12">
        <v>-11.866239337997492</v>
      </c>
      <c r="M216" s="12">
        <v>11.408476043997492</v>
      </c>
    </row>
    <row r="217" spans="2:13" x14ac:dyDescent="0.3">
      <c r="B217" s="3" t="s">
        <v>203</v>
      </c>
      <c r="C217" s="9">
        <v>0.6</v>
      </c>
      <c r="D217" s="9">
        <v>1</v>
      </c>
      <c r="E217" s="9">
        <v>30</v>
      </c>
      <c r="F217" s="9">
        <v>19.8</v>
      </c>
      <c r="G217" s="9">
        <v>18.51262011</v>
      </c>
      <c r="H217" s="9">
        <v>2.82</v>
      </c>
      <c r="I217" s="9">
        <v>11.64</v>
      </c>
      <c r="J217" s="9">
        <v>9.2599999999999991E-3</v>
      </c>
      <c r="K217" s="9">
        <v>-0.19075191899999999</v>
      </c>
      <c r="L217" s="12">
        <v>-9.523329112304225</v>
      </c>
      <c r="M217" s="12">
        <v>9.3325771933042247</v>
      </c>
    </row>
    <row r="218" spans="2:13" x14ac:dyDescent="0.3">
      <c r="B218" s="3" t="s">
        <v>204</v>
      </c>
      <c r="C218" s="9">
        <v>1.6666666670000001</v>
      </c>
      <c r="D218" s="9">
        <v>4</v>
      </c>
      <c r="E218" s="9">
        <v>30</v>
      </c>
      <c r="F218" s="9">
        <v>3.3</v>
      </c>
      <c r="G218" s="9">
        <v>1.2087277729999999</v>
      </c>
      <c r="H218" s="9">
        <v>1.62</v>
      </c>
      <c r="I218" s="9">
        <v>0.76</v>
      </c>
      <c r="J218" s="9">
        <v>6.9100000000000003E-3</v>
      </c>
      <c r="K218" s="9">
        <v>41.970873349999998</v>
      </c>
      <c r="L218" s="12">
        <v>34.558811750357648</v>
      </c>
      <c r="M218" s="12">
        <v>7.4120615996423496</v>
      </c>
    </row>
    <row r="219" spans="2:13" x14ac:dyDescent="0.3">
      <c r="B219" s="3" t="s">
        <v>205</v>
      </c>
      <c r="C219" s="9">
        <v>0.6</v>
      </c>
      <c r="D219" s="9">
        <v>1</v>
      </c>
      <c r="E219" s="9">
        <v>10</v>
      </c>
      <c r="F219" s="9">
        <v>11.55</v>
      </c>
      <c r="G219" s="9">
        <v>36.945718650000003</v>
      </c>
      <c r="H219" s="9">
        <v>0.94</v>
      </c>
      <c r="I219" s="9">
        <v>23.23</v>
      </c>
      <c r="J219" s="9">
        <v>4.0000000000000001E-3</v>
      </c>
      <c r="K219" s="9">
        <v>-1.3892638530000001</v>
      </c>
      <c r="L219" s="12">
        <v>-3.9605099050991868</v>
      </c>
      <c r="M219" s="12">
        <v>2.5712460520991867</v>
      </c>
    </row>
    <row r="220" spans="2:13" x14ac:dyDescent="0.3">
      <c r="B220" s="3" t="s">
        <v>206</v>
      </c>
      <c r="C220" s="9">
        <v>1</v>
      </c>
      <c r="D220" s="9">
        <v>2</v>
      </c>
      <c r="E220" s="9">
        <v>40</v>
      </c>
      <c r="F220" s="9">
        <v>8.1999999999999993</v>
      </c>
      <c r="G220" s="9">
        <v>3.1490539360000001</v>
      </c>
      <c r="H220" s="9">
        <v>7.9885999999999999</v>
      </c>
      <c r="I220" s="9">
        <v>1.98</v>
      </c>
      <c r="J220" s="9">
        <v>1.0389860000000001E-2</v>
      </c>
      <c r="K220" s="9">
        <v>12.0351306</v>
      </c>
      <c r="L220" s="12">
        <v>23.882966878449182</v>
      </c>
      <c r="M220" s="12">
        <v>-11.847836278449181</v>
      </c>
    </row>
    <row r="221" spans="2:13" x14ac:dyDescent="0.3">
      <c r="B221" s="3" t="s">
        <v>207</v>
      </c>
      <c r="C221" s="9">
        <v>1</v>
      </c>
      <c r="D221" s="9">
        <v>2</v>
      </c>
      <c r="E221" s="9">
        <v>10</v>
      </c>
      <c r="F221" s="9">
        <v>9</v>
      </c>
      <c r="G221" s="9">
        <v>36.420876329999999</v>
      </c>
      <c r="H221" s="9">
        <v>5.8784999999999998</v>
      </c>
      <c r="I221" s="9">
        <v>22.9</v>
      </c>
      <c r="J221" s="9">
        <v>5.5424999999999997E-3</v>
      </c>
      <c r="K221" s="9">
        <v>-2.261940155</v>
      </c>
      <c r="L221" s="12">
        <v>2.5371036812156489</v>
      </c>
      <c r="M221" s="12">
        <v>-4.7990438362156489</v>
      </c>
    </row>
    <row r="222" spans="2:13" x14ac:dyDescent="0.3">
      <c r="B222" s="3" t="s">
        <v>208</v>
      </c>
      <c r="C222" s="9">
        <v>1</v>
      </c>
      <c r="D222" s="9">
        <v>1</v>
      </c>
      <c r="E222" s="9">
        <v>10</v>
      </c>
      <c r="F222" s="9">
        <v>9</v>
      </c>
      <c r="G222" s="9">
        <v>25.924029879999999</v>
      </c>
      <c r="H222" s="9">
        <v>5.8784999999999998</v>
      </c>
      <c r="I222" s="9">
        <v>16.3</v>
      </c>
      <c r="J222" s="9">
        <v>5.5425099999999996E-3</v>
      </c>
      <c r="K222" s="9">
        <v>-0.82721816699999995</v>
      </c>
      <c r="L222" s="12">
        <v>-1.6402248612618386</v>
      </c>
      <c r="M222" s="12">
        <v>0.81300669426183869</v>
      </c>
    </row>
    <row r="223" spans="2:13" x14ac:dyDescent="0.3">
      <c r="B223" s="3" t="s">
        <v>209</v>
      </c>
      <c r="C223" s="9">
        <v>0.6</v>
      </c>
      <c r="D223" s="9">
        <v>4</v>
      </c>
      <c r="E223" s="9">
        <v>60</v>
      </c>
      <c r="F223" s="9">
        <v>23</v>
      </c>
      <c r="G223" s="9">
        <v>4.4691118989999996</v>
      </c>
      <c r="H223" s="9">
        <v>5.64</v>
      </c>
      <c r="I223" s="9">
        <v>2.81</v>
      </c>
      <c r="J223" s="9">
        <v>1.379E-2</v>
      </c>
      <c r="K223" s="9">
        <v>3.2378985669999998</v>
      </c>
      <c r="L223" s="12">
        <v>-1.5743735312794489</v>
      </c>
      <c r="M223" s="12">
        <v>4.8122720982794487</v>
      </c>
    </row>
    <row r="224" spans="2:13" x14ac:dyDescent="0.3">
      <c r="B224" s="3" t="s">
        <v>210</v>
      </c>
      <c r="C224" s="9">
        <v>0.6</v>
      </c>
      <c r="D224" s="9">
        <v>2</v>
      </c>
      <c r="E224" s="9">
        <v>60</v>
      </c>
      <c r="F224" s="9">
        <v>18.399999999999999</v>
      </c>
      <c r="G224" s="9">
        <v>7.2205580149999999</v>
      </c>
      <c r="H224" s="9">
        <v>5.64</v>
      </c>
      <c r="I224" s="9">
        <v>4.54</v>
      </c>
      <c r="J224" s="9">
        <v>1.379E-2</v>
      </c>
      <c r="K224" s="9">
        <v>4.4669837259999996</v>
      </c>
      <c r="L224" s="12">
        <v>8.9681603741639861</v>
      </c>
      <c r="M224" s="12">
        <v>-4.5011766481639865</v>
      </c>
    </row>
    <row r="225" spans="2:13" x14ac:dyDescent="0.3">
      <c r="B225" s="3" t="s">
        <v>211</v>
      </c>
      <c r="C225" s="9">
        <v>1.6666666670000001</v>
      </c>
      <c r="D225" s="9">
        <v>2</v>
      </c>
      <c r="E225" s="9">
        <v>10</v>
      </c>
      <c r="F225" s="9">
        <v>4.8</v>
      </c>
      <c r="G225" s="9">
        <v>8.4133814759999996</v>
      </c>
      <c r="H225" s="9">
        <v>0.54</v>
      </c>
      <c r="I225" s="9">
        <v>5.29</v>
      </c>
      <c r="J225" s="9">
        <v>2.5500000000000002E-3</v>
      </c>
      <c r="K225" s="9">
        <v>1.683168888</v>
      </c>
      <c r="L225" s="12">
        <v>0.62002736980459039</v>
      </c>
      <c r="M225" s="12">
        <v>1.0631415181954096</v>
      </c>
    </row>
    <row r="226" spans="2:13" x14ac:dyDescent="0.3">
      <c r="B226" s="3" t="s">
        <v>212</v>
      </c>
      <c r="C226" s="9">
        <v>1</v>
      </c>
      <c r="D226" s="9">
        <v>1</v>
      </c>
      <c r="E226" s="9">
        <v>20</v>
      </c>
      <c r="F226" s="9">
        <v>14</v>
      </c>
      <c r="G226" s="9">
        <v>16.588198259999999</v>
      </c>
      <c r="H226" s="9">
        <v>7.0444000000000004</v>
      </c>
      <c r="I226" s="9">
        <v>10.43</v>
      </c>
      <c r="J226" s="9">
        <v>7.5770400000000002E-3</v>
      </c>
      <c r="K226" s="9">
        <v>7.0904985000000004E-2</v>
      </c>
      <c r="L226" s="12">
        <v>-8.7443604237334043</v>
      </c>
      <c r="M226" s="12">
        <v>8.8152654087334046</v>
      </c>
    </row>
    <row r="227" spans="2:13" x14ac:dyDescent="0.3">
      <c r="B227" s="3" t="s">
        <v>213</v>
      </c>
      <c r="C227" s="9">
        <v>1.6666666670000001</v>
      </c>
      <c r="D227" s="9">
        <v>4</v>
      </c>
      <c r="E227" s="9">
        <v>10</v>
      </c>
      <c r="F227" s="9">
        <v>4.8</v>
      </c>
      <c r="G227" s="9">
        <v>10.926262899999999</v>
      </c>
      <c r="H227" s="9">
        <v>0.54</v>
      </c>
      <c r="I227" s="9">
        <v>6.87</v>
      </c>
      <c r="J227" s="9">
        <v>2.5500000000000002E-3</v>
      </c>
      <c r="K227" s="9">
        <v>1.3179103839999999</v>
      </c>
      <c r="L227" s="12">
        <v>1.1257578748846568</v>
      </c>
      <c r="M227" s="12">
        <v>0.1921525091153431</v>
      </c>
    </row>
    <row r="228" spans="2:13" x14ac:dyDescent="0.3">
      <c r="B228" s="3" t="s">
        <v>214</v>
      </c>
      <c r="C228" s="9">
        <v>1.6666666670000001</v>
      </c>
      <c r="D228" s="9">
        <v>2</v>
      </c>
      <c r="E228" s="9">
        <v>60</v>
      </c>
      <c r="F228" s="9">
        <v>13.8</v>
      </c>
      <c r="G228" s="9">
        <v>4.262355833</v>
      </c>
      <c r="H228" s="9">
        <v>3.24</v>
      </c>
      <c r="I228" s="9">
        <v>2.68</v>
      </c>
      <c r="J228" s="9">
        <v>1.205E-2</v>
      </c>
      <c r="K228" s="9">
        <v>9.0532578820000005</v>
      </c>
      <c r="L228" s="12">
        <v>18.19729598856518</v>
      </c>
      <c r="M228" s="12">
        <v>-9.1440381065651799</v>
      </c>
    </row>
    <row r="229" spans="2:13" x14ac:dyDescent="0.3">
      <c r="B229" s="3" t="s">
        <v>215</v>
      </c>
      <c r="C229" s="9">
        <v>0.6</v>
      </c>
      <c r="D229" s="9">
        <v>2</v>
      </c>
      <c r="E229" s="9">
        <v>10</v>
      </c>
      <c r="F229" s="9">
        <v>6.4</v>
      </c>
      <c r="G229" s="9">
        <v>17.940064849999999</v>
      </c>
      <c r="H229" s="9">
        <v>0.94</v>
      </c>
      <c r="I229" s="9">
        <v>11.28</v>
      </c>
      <c r="J229" s="9">
        <v>4.0000000000000001E-3</v>
      </c>
      <c r="K229" s="9">
        <v>-0.114623483</v>
      </c>
      <c r="L229" s="12">
        <v>2.813794906342693</v>
      </c>
      <c r="M229" s="12">
        <v>-2.9284183893426929</v>
      </c>
    </row>
    <row r="230" spans="2:13" x14ac:dyDescent="0.3">
      <c r="B230" s="3" t="s">
        <v>216</v>
      </c>
      <c r="C230" s="9">
        <v>1</v>
      </c>
      <c r="D230" s="9">
        <v>4</v>
      </c>
      <c r="E230" s="9">
        <v>15</v>
      </c>
      <c r="F230" s="9">
        <v>15</v>
      </c>
      <c r="G230" s="9">
        <v>42.718984200000001</v>
      </c>
      <c r="H230" s="9">
        <v>6.5609999999999999</v>
      </c>
      <c r="I230" s="9">
        <v>26.86</v>
      </c>
      <c r="J230" s="9">
        <v>6.6530799999999996E-3</v>
      </c>
      <c r="K230" s="9">
        <v>-2.717283728</v>
      </c>
      <c r="L230" s="12">
        <v>-6.9699931981321228</v>
      </c>
      <c r="M230" s="12">
        <v>4.2527094701321229</v>
      </c>
    </row>
    <row r="231" spans="2:13" x14ac:dyDescent="0.3">
      <c r="B231" s="3" t="s">
        <v>217</v>
      </c>
      <c r="C231" s="9">
        <v>0.6</v>
      </c>
      <c r="D231" s="9">
        <v>4</v>
      </c>
      <c r="E231" s="9">
        <v>30</v>
      </c>
      <c r="F231" s="9">
        <v>19.8</v>
      </c>
      <c r="G231" s="9">
        <v>24.619876229999999</v>
      </c>
      <c r="H231" s="9">
        <v>2.82</v>
      </c>
      <c r="I231" s="9">
        <v>15.48</v>
      </c>
      <c r="J231" s="9">
        <v>9.2599999999999991E-3</v>
      </c>
      <c r="K231" s="9">
        <v>-1.237941196</v>
      </c>
      <c r="L231" s="12">
        <v>-9.5671876059369083</v>
      </c>
      <c r="M231" s="12">
        <v>8.3292464099369088</v>
      </c>
    </row>
    <row r="232" spans="2:13" x14ac:dyDescent="0.3">
      <c r="B232" s="3" t="s">
        <v>218</v>
      </c>
      <c r="C232" s="9">
        <v>0.6</v>
      </c>
      <c r="D232" s="9">
        <v>6</v>
      </c>
      <c r="E232" s="9">
        <v>20</v>
      </c>
      <c r="F232" s="9">
        <v>11.5</v>
      </c>
      <c r="G232" s="9">
        <v>18.910227930000001</v>
      </c>
      <c r="H232" s="9">
        <v>1.88</v>
      </c>
      <c r="I232" s="9">
        <v>11.89</v>
      </c>
      <c r="J232" s="9">
        <v>6.9700200000000004E-3</v>
      </c>
      <c r="K232" s="9">
        <v>-0.32924901600000001</v>
      </c>
      <c r="L232" s="12">
        <v>0.85897512411654364</v>
      </c>
      <c r="M232" s="12">
        <v>-1.1882241401165436</v>
      </c>
    </row>
    <row r="233" spans="2:13" x14ac:dyDescent="0.3">
      <c r="B233" s="3" t="s">
        <v>219</v>
      </c>
      <c r="C233" s="9">
        <v>0.6</v>
      </c>
      <c r="D233" s="9">
        <v>2</v>
      </c>
      <c r="E233" s="9">
        <v>15</v>
      </c>
      <c r="F233" s="9">
        <v>7.6</v>
      </c>
      <c r="G233" s="9">
        <v>11.578339720000001</v>
      </c>
      <c r="H233" s="9">
        <v>1.41</v>
      </c>
      <c r="I233" s="9">
        <v>7.28</v>
      </c>
      <c r="J233" s="9">
        <v>5.7099999999999998E-3</v>
      </c>
      <c r="K233" s="9">
        <v>1.0838445050000001</v>
      </c>
      <c r="L233" s="12">
        <v>1.8091012401992774</v>
      </c>
      <c r="M233" s="12">
        <v>-0.72525673519927736</v>
      </c>
    </row>
    <row r="234" spans="2:13" x14ac:dyDescent="0.3">
      <c r="B234" s="3" t="s">
        <v>220</v>
      </c>
      <c r="C234" s="9">
        <v>1.6666666670000001</v>
      </c>
      <c r="D234" s="9">
        <v>2</v>
      </c>
      <c r="E234" s="9">
        <v>60</v>
      </c>
      <c r="F234" s="9">
        <v>9.1999999999999993</v>
      </c>
      <c r="G234" s="9">
        <v>2.1947951680000002</v>
      </c>
      <c r="H234" s="9">
        <v>3.24</v>
      </c>
      <c r="I234" s="9">
        <v>1.38</v>
      </c>
      <c r="J234" s="9">
        <v>1.205E-2</v>
      </c>
      <c r="K234" s="9">
        <v>21.353135529999999</v>
      </c>
      <c r="L234" s="12">
        <v>34.166548732065984</v>
      </c>
      <c r="M234" s="12">
        <v>-12.813413202065984</v>
      </c>
    </row>
    <row r="235" spans="2:13" x14ac:dyDescent="0.3">
      <c r="B235" s="3" t="s">
        <v>221</v>
      </c>
      <c r="C235" s="9">
        <v>0.6</v>
      </c>
      <c r="D235" s="9">
        <v>6</v>
      </c>
      <c r="E235" s="9">
        <v>60</v>
      </c>
      <c r="F235" s="9">
        <v>31.5</v>
      </c>
      <c r="G235" s="9">
        <v>2.481072798</v>
      </c>
      <c r="H235" s="9">
        <v>5.64</v>
      </c>
      <c r="I235" s="9">
        <v>1.56</v>
      </c>
      <c r="J235" s="9">
        <v>1.378998E-2</v>
      </c>
      <c r="K235" s="9">
        <v>1.8130356459999999</v>
      </c>
      <c r="L235" s="12">
        <v>4.2719257906015144</v>
      </c>
      <c r="M235" s="12">
        <v>-2.4588901446015146</v>
      </c>
    </row>
    <row r="236" spans="2:13" x14ac:dyDescent="0.3">
      <c r="B236" s="3" t="s">
        <v>222</v>
      </c>
      <c r="C236" s="9">
        <v>1</v>
      </c>
      <c r="D236" s="9">
        <v>6</v>
      </c>
      <c r="E236" s="9">
        <v>40</v>
      </c>
      <c r="F236" s="9">
        <v>20.5</v>
      </c>
      <c r="G236" s="9">
        <v>7.2682709540000001</v>
      </c>
      <c r="H236" s="9">
        <v>7.9885999999999999</v>
      </c>
      <c r="I236" s="9">
        <v>4.57</v>
      </c>
      <c r="J236" s="9">
        <v>1.0389839999999999E-2</v>
      </c>
      <c r="K236" s="9">
        <v>1.6355019470000001</v>
      </c>
      <c r="L236" s="12">
        <v>-8.0923635162732168</v>
      </c>
      <c r="M236" s="12">
        <v>9.7278654632732167</v>
      </c>
    </row>
    <row r="237" spans="2:13" x14ac:dyDescent="0.3">
      <c r="B237" s="3" t="s">
        <v>223</v>
      </c>
      <c r="C237" s="9">
        <v>1.6666666670000001</v>
      </c>
      <c r="D237" s="9">
        <v>4</v>
      </c>
      <c r="E237" s="9">
        <v>40</v>
      </c>
      <c r="F237" s="9">
        <v>19.5</v>
      </c>
      <c r="G237" s="9">
        <v>14.29797722</v>
      </c>
      <c r="H237" s="9">
        <v>2.16</v>
      </c>
      <c r="I237" s="9">
        <v>8.99</v>
      </c>
      <c r="J237" s="9">
        <v>8.7799999999999996E-3</v>
      </c>
      <c r="K237" s="9">
        <v>0.65797057599999997</v>
      </c>
      <c r="L237" s="12">
        <v>-5.7445535633903155</v>
      </c>
      <c r="M237" s="12">
        <v>6.4025241393903158</v>
      </c>
    </row>
    <row r="238" spans="2:13" x14ac:dyDescent="0.3">
      <c r="B238" s="3" t="s">
        <v>224</v>
      </c>
      <c r="C238" s="9">
        <v>1</v>
      </c>
      <c r="D238" s="9">
        <v>2</v>
      </c>
      <c r="E238" s="9">
        <v>20</v>
      </c>
      <c r="F238" s="9">
        <v>16.8</v>
      </c>
      <c r="G238" s="9">
        <v>37.565986850000002</v>
      </c>
      <c r="H238" s="9">
        <v>7.0444000000000004</v>
      </c>
      <c r="I238" s="9">
        <v>23.62</v>
      </c>
      <c r="J238" s="9">
        <v>7.5770400000000002E-3</v>
      </c>
      <c r="K238" s="9">
        <v>-2.8098391290000002</v>
      </c>
      <c r="L238" s="12">
        <v>-4.5037605917209689</v>
      </c>
      <c r="M238" s="12">
        <v>1.6939214627209687</v>
      </c>
    </row>
    <row r="239" spans="2:13" x14ac:dyDescent="0.3">
      <c r="B239" s="3" t="s">
        <v>225</v>
      </c>
      <c r="C239" s="9">
        <v>1.6666666670000001</v>
      </c>
      <c r="D239" s="9">
        <v>1</v>
      </c>
      <c r="E239" s="9">
        <v>15</v>
      </c>
      <c r="F239" s="9">
        <v>5.7</v>
      </c>
      <c r="G239" s="9">
        <v>5.0575714730000003</v>
      </c>
      <c r="H239" s="9">
        <v>0.81</v>
      </c>
      <c r="I239" s="9">
        <v>3.18</v>
      </c>
      <c r="J239" s="9">
        <v>3.7299999999999998E-3</v>
      </c>
      <c r="K239" s="9">
        <v>3.2277244380000001</v>
      </c>
      <c r="L239" s="12">
        <v>5.6560257764609636</v>
      </c>
      <c r="M239" s="12">
        <v>-2.4283013384609635</v>
      </c>
    </row>
    <row r="240" spans="2:13" x14ac:dyDescent="0.3">
      <c r="B240" s="3" t="s">
        <v>226</v>
      </c>
      <c r="C240" s="9">
        <v>1</v>
      </c>
      <c r="D240" s="9">
        <v>2</v>
      </c>
      <c r="E240" s="9">
        <v>15</v>
      </c>
      <c r="F240" s="9">
        <v>15</v>
      </c>
      <c r="G240" s="9">
        <v>41.923768559999999</v>
      </c>
      <c r="H240" s="9">
        <v>6.5609999999999999</v>
      </c>
      <c r="I240" s="9">
        <v>26.36</v>
      </c>
      <c r="J240" s="9">
        <v>6.6530799999999996E-3</v>
      </c>
      <c r="K240" s="9">
        <v>-2.5977562810000001</v>
      </c>
      <c r="L240" s="12">
        <v>-5.7490297711155094</v>
      </c>
      <c r="M240" s="12">
        <v>3.1512734901155093</v>
      </c>
    </row>
    <row r="241" spans="2:13" x14ac:dyDescent="0.3">
      <c r="B241" s="3" t="s">
        <v>227</v>
      </c>
      <c r="C241" s="9">
        <v>0.6</v>
      </c>
      <c r="D241" s="9">
        <v>1</v>
      </c>
      <c r="E241" s="9">
        <v>60</v>
      </c>
      <c r="F241" s="9">
        <v>32</v>
      </c>
      <c r="G241" s="9">
        <v>13.423240010000001</v>
      </c>
      <c r="H241" s="9">
        <v>5.64</v>
      </c>
      <c r="I241" s="9">
        <v>8.44</v>
      </c>
      <c r="J241" s="9">
        <v>1.379E-2</v>
      </c>
      <c r="K241" s="9">
        <v>0.69736441599999999</v>
      </c>
      <c r="L241" s="12">
        <v>15.355686125173364</v>
      </c>
      <c r="M241" s="12">
        <v>-14.658321709173364</v>
      </c>
    </row>
    <row r="242" spans="2:13" x14ac:dyDescent="0.3">
      <c r="B242" s="3" t="s">
        <v>228</v>
      </c>
      <c r="C242" s="9">
        <v>1</v>
      </c>
      <c r="D242" s="9">
        <v>1</v>
      </c>
      <c r="E242" s="9">
        <v>20</v>
      </c>
      <c r="F242" s="9">
        <v>11.2</v>
      </c>
      <c r="G242" s="9">
        <v>10.178760199999999</v>
      </c>
      <c r="H242" s="9">
        <v>7.0444000000000004</v>
      </c>
      <c r="I242" s="9">
        <v>6.4</v>
      </c>
      <c r="J242" s="9">
        <v>7.5770400000000002E-3</v>
      </c>
      <c r="K242" s="9">
        <v>1.0822735459999999</v>
      </c>
      <c r="L242" s="12">
        <v>-4.0988175395998994</v>
      </c>
      <c r="M242" s="12">
        <v>5.1810910855998991</v>
      </c>
    </row>
    <row r="243" spans="2:13" x14ac:dyDescent="0.3">
      <c r="B243" s="3" t="s">
        <v>229</v>
      </c>
      <c r="C243" s="9">
        <v>0.6</v>
      </c>
      <c r="D243" s="9">
        <v>2</v>
      </c>
      <c r="E243" s="9">
        <v>60</v>
      </c>
      <c r="F243" s="9">
        <v>4.5999999999999996</v>
      </c>
      <c r="G243" s="9">
        <v>0</v>
      </c>
      <c r="H243" s="9">
        <v>5.64</v>
      </c>
      <c r="I243" s="9">
        <v>0</v>
      </c>
      <c r="J243" s="9">
        <v>1.379E-2</v>
      </c>
      <c r="K243" s="9">
        <v>86.831721079999994</v>
      </c>
      <c r="L243" s="12">
        <v>55.952254576237365</v>
      </c>
      <c r="M243" s="12">
        <v>30.879466503762629</v>
      </c>
    </row>
    <row r="244" spans="2:13" x14ac:dyDescent="0.3">
      <c r="B244" s="3" t="s">
        <v>230</v>
      </c>
      <c r="C244" s="9">
        <v>1</v>
      </c>
      <c r="D244" s="9">
        <v>1</v>
      </c>
      <c r="E244" s="9">
        <v>60</v>
      </c>
      <c r="F244" s="9">
        <v>33.299999999999997</v>
      </c>
      <c r="G244" s="9">
        <v>16.397346509999998</v>
      </c>
      <c r="H244" s="9">
        <v>7.9885999999999999</v>
      </c>
      <c r="I244" s="9">
        <v>10.31</v>
      </c>
      <c r="J244" s="9">
        <v>1.2535019999999999E-2</v>
      </c>
      <c r="K244" s="9">
        <v>0.14908755900000001</v>
      </c>
      <c r="L244" s="12">
        <v>18.080206098100163</v>
      </c>
      <c r="M244" s="12">
        <v>-17.931118539100162</v>
      </c>
    </row>
    <row r="245" spans="2:13" x14ac:dyDescent="0.3">
      <c r="B245" s="3" t="s">
        <v>231</v>
      </c>
      <c r="C245" s="9">
        <v>1.6666666670000001</v>
      </c>
      <c r="D245" s="9">
        <v>2</v>
      </c>
      <c r="E245" s="9">
        <v>40</v>
      </c>
      <c r="F245" s="9">
        <v>11.7</v>
      </c>
      <c r="G245" s="9">
        <v>7.6817830870000003</v>
      </c>
      <c r="H245" s="9">
        <v>2.16</v>
      </c>
      <c r="I245" s="9">
        <v>4.83</v>
      </c>
      <c r="J245" s="9">
        <v>8.7799999999999996E-3</v>
      </c>
      <c r="K245" s="9">
        <v>4.7710451850000002</v>
      </c>
      <c r="L245" s="12">
        <v>11.850733576649557</v>
      </c>
      <c r="M245" s="12">
        <v>-7.0796883916495563</v>
      </c>
    </row>
    <row r="246" spans="2:13" x14ac:dyDescent="0.3">
      <c r="B246" s="3" t="s">
        <v>232</v>
      </c>
      <c r="C246" s="9">
        <v>0.6</v>
      </c>
      <c r="D246" s="9">
        <v>2</v>
      </c>
      <c r="E246" s="9">
        <v>40</v>
      </c>
      <c r="F246" s="9">
        <v>19.5</v>
      </c>
      <c r="G246" s="9">
        <v>14.854628160000001</v>
      </c>
      <c r="H246" s="9">
        <v>3.76</v>
      </c>
      <c r="I246" s="9">
        <v>9.34</v>
      </c>
      <c r="J246" s="9">
        <v>9.2599999999999991E-3</v>
      </c>
      <c r="K246" s="9">
        <v>0.53972812699999995</v>
      </c>
      <c r="L246" s="12">
        <v>-3.1760650948766056</v>
      </c>
      <c r="M246" s="12">
        <v>3.7157932218766057</v>
      </c>
    </row>
    <row r="247" spans="2:13" x14ac:dyDescent="0.3">
      <c r="B247" s="3" t="s">
        <v>233</v>
      </c>
      <c r="C247" s="9">
        <v>1</v>
      </c>
      <c r="D247" s="9">
        <v>2</v>
      </c>
      <c r="E247" s="9">
        <v>15</v>
      </c>
      <c r="F247" s="9">
        <v>2.5</v>
      </c>
      <c r="G247" s="9">
        <v>0.68388545099999998</v>
      </c>
      <c r="H247" s="9">
        <v>6.5609999999999999</v>
      </c>
      <c r="I247" s="9">
        <v>0.43</v>
      </c>
      <c r="J247" s="9">
        <v>6.6530799999999996E-3</v>
      </c>
      <c r="K247" s="9">
        <v>18.812000640000001</v>
      </c>
      <c r="L247" s="12">
        <v>20.274491279340445</v>
      </c>
      <c r="M247" s="12">
        <v>-1.4624906393404444</v>
      </c>
    </row>
    <row r="248" spans="2:13" x14ac:dyDescent="0.3">
      <c r="B248" s="3" t="s">
        <v>234</v>
      </c>
      <c r="C248" s="9">
        <v>0.6</v>
      </c>
      <c r="D248" s="9">
        <v>2</v>
      </c>
      <c r="E248" s="9">
        <v>30</v>
      </c>
      <c r="F248" s="9">
        <v>19.8</v>
      </c>
      <c r="G248" s="9">
        <v>34.13065529</v>
      </c>
      <c r="H248" s="9">
        <v>2.82</v>
      </c>
      <c r="I248" s="9">
        <v>21.46</v>
      </c>
      <c r="J248" s="9">
        <v>9.2599999999999991E-3</v>
      </c>
      <c r="K248" s="9">
        <v>-3.459216316</v>
      </c>
      <c r="L248" s="12">
        <v>-1.1583355391649661</v>
      </c>
      <c r="M248" s="12">
        <v>-2.3008807768350339</v>
      </c>
    </row>
    <row r="249" spans="2:13" x14ac:dyDescent="0.3">
      <c r="B249" s="3" t="s">
        <v>235</v>
      </c>
      <c r="C249" s="9">
        <v>0.6</v>
      </c>
      <c r="D249" s="9">
        <v>1</v>
      </c>
      <c r="E249" s="9">
        <v>60</v>
      </c>
      <c r="F249" s="9">
        <v>18.399999999999999</v>
      </c>
      <c r="G249" s="9">
        <v>6.3299164980000002</v>
      </c>
      <c r="H249" s="9">
        <v>5.64</v>
      </c>
      <c r="I249" s="9">
        <v>3.98</v>
      </c>
      <c r="J249" s="9">
        <v>1.379E-2</v>
      </c>
      <c r="K249" s="9">
        <v>4.6892055079999997</v>
      </c>
      <c r="L249" s="12">
        <v>11.238015546156745</v>
      </c>
      <c r="M249" s="12">
        <v>-6.5488100381567458</v>
      </c>
    </row>
    <row r="250" spans="2:13" x14ac:dyDescent="0.3">
      <c r="B250" s="3" t="s">
        <v>236</v>
      </c>
      <c r="C250" s="9">
        <v>1.6666666670000001</v>
      </c>
      <c r="D250" s="9">
        <v>4</v>
      </c>
      <c r="E250" s="9">
        <v>20</v>
      </c>
      <c r="F250" s="9">
        <v>4.5999999999999996</v>
      </c>
      <c r="G250" s="9">
        <v>4.3895903350000003</v>
      </c>
      <c r="H250" s="9">
        <v>1.08</v>
      </c>
      <c r="I250" s="9">
        <v>2.76</v>
      </c>
      <c r="J250" s="9">
        <v>4.8399999999999997E-3</v>
      </c>
      <c r="K250" s="9">
        <v>9.017222812</v>
      </c>
      <c r="L250" s="12">
        <v>15.221380568126555</v>
      </c>
      <c r="M250" s="12">
        <v>-6.2041577561265555</v>
      </c>
    </row>
    <row r="251" spans="2:13" x14ac:dyDescent="0.3">
      <c r="B251" s="3" t="s">
        <v>237</v>
      </c>
      <c r="C251" s="9">
        <v>1.6666666670000001</v>
      </c>
      <c r="D251" s="9">
        <v>6</v>
      </c>
      <c r="E251" s="9">
        <v>30</v>
      </c>
      <c r="F251" s="9">
        <v>9.9</v>
      </c>
      <c r="G251" s="9">
        <v>7.3636968300000003</v>
      </c>
      <c r="H251" s="9">
        <v>1.62</v>
      </c>
      <c r="I251" s="9">
        <v>4.63</v>
      </c>
      <c r="J251" s="9">
        <v>6.9100200000000002E-3</v>
      </c>
      <c r="K251" s="9">
        <v>3.8244264349999999</v>
      </c>
      <c r="L251" s="12">
        <v>9.9749441426804957</v>
      </c>
      <c r="M251" s="12">
        <v>-6.1505177076804962</v>
      </c>
    </row>
    <row r="252" spans="2:13" x14ac:dyDescent="0.3">
      <c r="B252" s="3" t="s">
        <v>238</v>
      </c>
      <c r="C252" s="9">
        <v>0.6</v>
      </c>
      <c r="D252" s="9">
        <v>2</v>
      </c>
      <c r="E252" s="9">
        <v>30</v>
      </c>
      <c r="F252" s="9">
        <v>23.6</v>
      </c>
      <c r="G252" s="9">
        <v>38.790618940000002</v>
      </c>
      <c r="H252" s="9">
        <v>2.82</v>
      </c>
      <c r="I252" s="9">
        <v>24.39</v>
      </c>
      <c r="J252" s="9">
        <v>9.2599999999999991E-3</v>
      </c>
      <c r="K252" s="9">
        <v>-3.3857788910000002</v>
      </c>
      <c r="L252" s="12">
        <v>-2.3607849708046729</v>
      </c>
      <c r="M252" s="12">
        <v>-1.0249939201953273</v>
      </c>
    </row>
    <row r="253" spans="2:13" x14ac:dyDescent="0.3">
      <c r="B253" s="3" t="s">
        <v>239</v>
      </c>
      <c r="C253" s="9">
        <v>1</v>
      </c>
      <c r="D253" s="9">
        <v>4</v>
      </c>
      <c r="E253" s="9">
        <v>10</v>
      </c>
      <c r="F253" s="9">
        <v>5.4</v>
      </c>
      <c r="G253" s="9">
        <v>12.866589060000001</v>
      </c>
      <c r="H253" s="9">
        <v>5.8784999999999998</v>
      </c>
      <c r="I253" s="9">
        <v>8.09</v>
      </c>
      <c r="J253" s="9">
        <v>5.5425200000000004E-3</v>
      </c>
      <c r="K253" s="9">
        <v>0.78671035199999995</v>
      </c>
      <c r="L253" s="12">
        <v>1.4817086706502316</v>
      </c>
      <c r="M253" s="12">
        <v>-0.69499831865023165</v>
      </c>
    </row>
    <row r="254" spans="2:13" x14ac:dyDescent="0.3">
      <c r="B254" s="3" t="s">
        <v>240</v>
      </c>
      <c r="C254" s="9">
        <v>0.6</v>
      </c>
      <c r="D254" s="9">
        <v>2</v>
      </c>
      <c r="E254" s="9">
        <v>40</v>
      </c>
      <c r="F254" s="9">
        <v>15.6</v>
      </c>
      <c r="G254" s="9">
        <v>9.4948747470000008</v>
      </c>
      <c r="H254" s="9">
        <v>3.76</v>
      </c>
      <c r="I254" s="9">
        <v>5.97</v>
      </c>
      <c r="J254" s="9">
        <v>9.2599999999999991E-3</v>
      </c>
      <c r="K254" s="9">
        <v>2.3291514449999999</v>
      </c>
      <c r="L254" s="12">
        <v>0.98204417468440397</v>
      </c>
      <c r="M254" s="12">
        <v>1.347107270315596</v>
      </c>
    </row>
    <row r="255" spans="2:13" x14ac:dyDescent="0.3">
      <c r="B255" s="3" t="s">
        <v>241</v>
      </c>
      <c r="C255" s="9">
        <v>1.6666666670000001</v>
      </c>
      <c r="D255" s="9">
        <v>4</v>
      </c>
      <c r="E255" s="9">
        <v>10</v>
      </c>
      <c r="F255" s="9">
        <v>3.2</v>
      </c>
      <c r="G255" s="9">
        <v>5.2325189139999999</v>
      </c>
      <c r="H255" s="9">
        <v>0.54</v>
      </c>
      <c r="I255" s="9">
        <v>3.29</v>
      </c>
      <c r="J255" s="9">
        <v>2.5500000000000002E-3</v>
      </c>
      <c r="K255" s="9">
        <v>4.5211526700000002</v>
      </c>
      <c r="L255" s="12">
        <v>5.5610300750282864</v>
      </c>
      <c r="M255" s="12">
        <v>-1.0398774050282862</v>
      </c>
    </row>
    <row r="256" spans="2:13" x14ac:dyDescent="0.3">
      <c r="B256" s="3" t="s">
        <v>242</v>
      </c>
      <c r="C256" s="9">
        <v>1.6666666670000001</v>
      </c>
      <c r="D256" s="9">
        <v>1</v>
      </c>
      <c r="E256" s="9">
        <v>15</v>
      </c>
      <c r="F256" s="9">
        <v>13.3</v>
      </c>
      <c r="G256" s="9">
        <v>21.02550153</v>
      </c>
      <c r="H256" s="9">
        <v>0.81</v>
      </c>
      <c r="I256" s="9">
        <v>13.22</v>
      </c>
      <c r="J256" s="9">
        <v>3.7299999999999998E-3</v>
      </c>
      <c r="K256" s="9">
        <v>-0.32453197299999997</v>
      </c>
      <c r="L256" s="12">
        <v>-14.538388666368505</v>
      </c>
      <c r="M256" s="12">
        <v>14.213856693368506</v>
      </c>
    </row>
    <row r="257" spans="2:13" x14ac:dyDescent="0.3">
      <c r="B257" s="3" t="s">
        <v>243</v>
      </c>
      <c r="C257" s="9">
        <v>1.6666666670000001</v>
      </c>
      <c r="D257" s="9">
        <v>6</v>
      </c>
      <c r="E257" s="9">
        <v>20</v>
      </c>
      <c r="F257" s="9">
        <v>4.5999999999999996</v>
      </c>
      <c r="G257" s="9">
        <v>3.944269577</v>
      </c>
      <c r="H257" s="9">
        <v>1.08</v>
      </c>
      <c r="I257" s="9">
        <v>2.48</v>
      </c>
      <c r="J257" s="9">
        <v>4.8400200000000004E-3</v>
      </c>
      <c r="K257" s="9">
        <v>9.1387086899999996</v>
      </c>
      <c r="L257" s="12">
        <v>19.04907246171134</v>
      </c>
      <c r="M257" s="12">
        <v>-9.9103637717113404</v>
      </c>
    </row>
    <row r="258" spans="2:13" x14ac:dyDescent="0.3">
      <c r="B258" s="3" t="s">
        <v>244</v>
      </c>
      <c r="C258" s="9">
        <v>1.6666666670000001</v>
      </c>
      <c r="D258" s="9">
        <v>6</v>
      </c>
      <c r="E258" s="9">
        <v>40</v>
      </c>
      <c r="F258" s="9">
        <v>26.7</v>
      </c>
      <c r="G258" s="9">
        <v>16.874475889999999</v>
      </c>
      <c r="H258" s="9">
        <v>2.16</v>
      </c>
      <c r="I258" s="9">
        <v>10.61</v>
      </c>
      <c r="J258" s="9">
        <v>8.7799799999999997E-3</v>
      </c>
      <c r="K258" s="9">
        <v>3.8808306000000001E-2</v>
      </c>
      <c r="L258" s="12">
        <v>-4.6066750406686623</v>
      </c>
      <c r="M258" s="12">
        <v>4.6454833466686623</v>
      </c>
    </row>
    <row r="259" spans="2:13" x14ac:dyDescent="0.3">
      <c r="B259" s="3" t="s">
        <v>245</v>
      </c>
      <c r="C259" s="9">
        <v>1</v>
      </c>
      <c r="D259" s="9">
        <v>1</v>
      </c>
      <c r="E259" s="9">
        <v>30</v>
      </c>
      <c r="F259" s="9">
        <v>10.8</v>
      </c>
      <c r="G259" s="9">
        <v>5.3120404780000001</v>
      </c>
      <c r="H259" s="9">
        <v>7.6656000000000004</v>
      </c>
      <c r="I259" s="9">
        <v>3.34</v>
      </c>
      <c r="J259" s="9">
        <v>9.1083599999999994E-3</v>
      </c>
      <c r="K259" s="9">
        <v>3.6518295919999999</v>
      </c>
      <c r="L259" s="12">
        <v>6.9696635377360323</v>
      </c>
      <c r="M259" s="12">
        <v>-3.3178339457360324</v>
      </c>
    </row>
    <row r="260" spans="2:13" x14ac:dyDescent="0.3">
      <c r="B260" s="3" t="s">
        <v>246</v>
      </c>
      <c r="C260" s="9">
        <v>1</v>
      </c>
      <c r="D260" s="9">
        <v>4</v>
      </c>
      <c r="E260" s="9">
        <v>10</v>
      </c>
      <c r="F260" s="9">
        <v>7.2</v>
      </c>
      <c r="G260" s="9">
        <v>24.349502909999998</v>
      </c>
      <c r="H260" s="9">
        <v>5.8784999999999998</v>
      </c>
      <c r="I260" s="9">
        <v>15.31</v>
      </c>
      <c r="J260" s="9">
        <v>5.5425200000000004E-3</v>
      </c>
      <c r="K260" s="9">
        <v>-1.0213734779999999</v>
      </c>
      <c r="L260" s="12">
        <v>1.0964215209124399</v>
      </c>
      <c r="M260" s="12">
        <v>-2.1177949989124398</v>
      </c>
    </row>
    <row r="261" spans="2:13" x14ac:dyDescent="0.3">
      <c r="B261" s="3" t="s">
        <v>247</v>
      </c>
      <c r="C261" s="9">
        <v>1.6666666670000001</v>
      </c>
      <c r="D261" s="9">
        <v>6</v>
      </c>
      <c r="E261" s="9">
        <v>40</v>
      </c>
      <c r="F261" s="9">
        <v>7.8</v>
      </c>
      <c r="G261" s="9">
        <v>3.5784703819999999</v>
      </c>
      <c r="H261" s="9">
        <v>2.16</v>
      </c>
      <c r="I261" s="9">
        <v>2.25</v>
      </c>
      <c r="J261" s="9">
        <v>8.7799799999999997E-3</v>
      </c>
      <c r="K261" s="9">
        <v>12.838997750000001</v>
      </c>
      <c r="L261" s="12">
        <v>27.693292225019917</v>
      </c>
      <c r="M261" s="12">
        <v>-14.854294475019916</v>
      </c>
    </row>
    <row r="262" spans="2:13" x14ac:dyDescent="0.3">
      <c r="B262" s="3" t="s">
        <v>248</v>
      </c>
      <c r="C262" s="9">
        <v>1</v>
      </c>
      <c r="D262" s="9">
        <v>1</v>
      </c>
      <c r="E262" s="9">
        <v>20</v>
      </c>
      <c r="F262" s="9">
        <v>20.100000000000001</v>
      </c>
      <c r="G262" s="9">
        <v>33.717143149999998</v>
      </c>
      <c r="H262" s="9">
        <v>7.0444000000000004</v>
      </c>
      <c r="I262" s="9">
        <v>21.2</v>
      </c>
      <c r="J262" s="9">
        <v>7.5770400000000002E-3</v>
      </c>
      <c r="K262" s="9">
        <v>-1.480576669</v>
      </c>
      <c r="L262" s="12">
        <v>-10.522824860761396</v>
      </c>
      <c r="M262" s="12">
        <v>9.0422481917613968</v>
      </c>
    </row>
    <row r="263" spans="2:13" x14ac:dyDescent="0.3">
      <c r="B263" s="3" t="s">
        <v>249</v>
      </c>
      <c r="C263" s="9">
        <v>1.6666666670000001</v>
      </c>
      <c r="D263" s="9">
        <v>1</v>
      </c>
      <c r="E263" s="9">
        <v>40</v>
      </c>
      <c r="F263" s="9">
        <v>26.8</v>
      </c>
      <c r="G263" s="9">
        <v>23.80875627</v>
      </c>
      <c r="H263" s="9">
        <v>2.16</v>
      </c>
      <c r="I263" s="9">
        <v>14.97</v>
      </c>
      <c r="J263" s="9">
        <v>8.7799999999999996E-3</v>
      </c>
      <c r="K263" s="9">
        <v>-1.0497330140000001</v>
      </c>
      <c r="L263" s="12">
        <v>1.3815062112080163</v>
      </c>
      <c r="M263" s="12">
        <v>-2.4312392252080164</v>
      </c>
    </row>
    <row r="264" spans="2:13" x14ac:dyDescent="0.3">
      <c r="B264" s="3" t="s">
        <v>250</v>
      </c>
      <c r="C264" s="9">
        <v>0.6</v>
      </c>
      <c r="D264" s="9">
        <v>2</v>
      </c>
      <c r="E264" s="9">
        <v>40</v>
      </c>
      <c r="F264" s="9">
        <v>27.5</v>
      </c>
      <c r="G264" s="9">
        <v>24.92205817</v>
      </c>
      <c r="H264" s="9">
        <v>3.76</v>
      </c>
      <c r="I264" s="9">
        <v>15.67</v>
      </c>
      <c r="J264" s="9">
        <v>9.2599999999999991E-3</v>
      </c>
      <c r="K264" s="9">
        <v>-1.1957343030000001</v>
      </c>
      <c r="L264" s="12">
        <v>-0.18010452990375825</v>
      </c>
      <c r="M264" s="12">
        <v>-1.0156297730962418</v>
      </c>
    </row>
    <row r="265" spans="2:13" x14ac:dyDescent="0.3">
      <c r="B265" s="3" t="s">
        <v>251</v>
      </c>
      <c r="C265" s="9">
        <v>1.6666666670000001</v>
      </c>
      <c r="D265" s="9">
        <v>6</v>
      </c>
      <c r="E265" s="9">
        <v>40</v>
      </c>
      <c r="F265" s="9">
        <v>15.6</v>
      </c>
      <c r="G265" s="9">
        <v>8.9223194859999992</v>
      </c>
      <c r="H265" s="9">
        <v>2.16</v>
      </c>
      <c r="I265" s="9">
        <v>5.61</v>
      </c>
      <c r="J265" s="9">
        <v>8.7799799999999997E-3</v>
      </c>
      <c r="K265" s="9">
        <v>2.449204715</v>
      </c>
      <c r="L265" s="12">
        <v>2.6123956124785224</v>
      </c>
      <c r="M265" s="12">
        <v>-0.16319089747852233</v>
      </c>
    </row>
    <row r="266" spans="2:13" x14ac:dyDescent="0.3">
      <c r="B266" s="3" t="s">
        <v>252</v>
      </c>
      <c r="C266" s="9">
        <v>1.6666666670000001</v>
      </c>
      <c r="D266" s="9">
        <v>6</v>
      </c>
      <c r="E266" s="9">
        <v>15</v>
      </c>
      <c r="F266" s="9">
        <v>13.3</v>
      </c>
      <c r="G266" s="9">
        <v>42.273663450000001</v>
      </c>
      <c r="H266" s="9">
        <v>0.81</v>
      </c>
      <c r="I266" s="9">
        <v>26.58</v>
      </c>
      <c r="J266" s="9">
        <v>3.7300200000000001E-3</v>
      </c>
      <c r="K266" s="9">
        <v>-3.287049406</v>
      </c>
      <c r="L266" s="12">
        <v>-0.47878604263811297</v>
      </c>
      <c r="M266" s="12">
        <v>-2.808263363361887</v>
      </c>
    </row>
    <row r="267" spans="2:13" x14ac:dyDescent="0.3">
      <c r="B267" s="3" t="s">
        <v>253</v>
      </c>
      <c r="C267" s="9">
        <v>1</v>
      </c>
      <c r="D267" s="9">
        <v>1</v>
      </c>
      <c r="E267" s="9">
        <v>30</v>
      </c>
      <c r="F267" s="9">
        <v>7.2</v>
      </c>
      <c r="G267" s="9">
        <v>2.2106994800000002</v>
      </c>
      <c r="H267" s="9">
        <v>7.6656000000000004</v>
      </c>
      <c r="I267" s="9">
        <v>1.39</v>
      </c>
      <c r="J267" s="9">
        <v>9.1083599999999994E-3</v>
      </c>
      <c r="K267" s="9">
        <v>8.9358933599999997</v>
      </c>
      <c r="L267" s="12">
        <v>20.556052298580333</v>
      </c>
      <c r="M267" s="12">
        <v>-11.620158938580333</v>
      </c>
    </row>
    <row r="268" spans="2:13" x14ac:dyDescent="0.3">
      <c r="B268" s="3" t="s">
        <v>254</v>
      </c>
      <c r="C268" s="9">
        <v>1.6666666670000001</v>
      </c>
      <c r="D268" s="9">
        <v>6</v>
      </c>
      <c r="E268" s="9">
        <v>15</v>
      </c>
      <c r="F268" s="9">
        <v>5.7</v>
      </c>
      <c r="G268" s="9">
        <v>8.9859367369999994</v>
      </c>
      <c r="H268" s="9">
        <v>0.81</v>
      </c>
      <c r="I268" s="9">
        <v>5.65</v>
      </c>
      <c r="J268" s="9">
        <v>3.7300200000000001E-3</v>
      </c>
      <c r="K268" s="9">
        <v>2.5661440670000002</v>
      </c>
      <c r="L268" s="12">
        <v>8.6571472263112881</v>
      </c>
      <c r="M268" s="12">
        <v>-6.0910031593112883</v>
      </c>
    </row>
    <row r="269" spans="2:13" x14ac:dyDescent="0.3">
      <c r="B269" s="3" t="s">
        <v>255</v>
      </c>
      <c r="C269" s="9">
        <v>0.6</v>
      </c>
      <c r="D269" s="9">
        <v>4</v>
      </c>
      <c r="E269" s="9">
        <v>40</v>
      </c>
      <c r="F269" s="9">
        <v>15.6</v>
      </c>
      <c r="G269" s="9">
        <v>9.2563100550000001</v>
      </c>
      <c r="H269" s="9">
        <v>3.76</v>
      </c>
      <c r="I269" s="9">
        <v>5.82</v>
      </c>
      <c r="J269" s="9">
        <v>9.2599999999999991E-3</v>
      </c>
      <c r="K269" s="9">
        <v>2.380080779</v>
      </c>
      <c r="L269" s="12">
        <v>-0.9213349829555284</v>
      </c>
      <c r="M269" s="12">
        <v>3.3014157619555284</v>
      </c>
    </row>
    <row r="270" spans="2:13" x14ac:dyDescent="0.3">
      <c r="B270" s="3" t="s">
        <v>256</v>
      </c>
      <c r="C270" s="9">
        <v>1</v>
      </c>
      <c r="D270" s="9">
        <v>1</v>
      </c>
      <c r="E270" s="9">
        <v>30</v>
      </c>
      <c r="F270" s="9">
        <v>14.4</v>
      </c>
      <c r="G270" s="9">
        <v>9.8924825670000001</v>
      </c>
      <c r="H270" s="9">
        <v>7.6656000000000004</v>
      </c>
      <c r="I270" s="9">
        <v>6.22</v>
      </c>
      <c r="J270" s="9">
        <v>9.1083599999999994E-3</v>
      </c>
      <c r="K270" s="9">
        <v>1.5173811290000001</v>
      </c>
      <c r="L270" s="12">
        <v>-1.8628749416962693</v>
      </c>
      <c r="M270" s="12">
        <v>3.3802560706962694</v>
      </c>
    </row>
    <row r="271" spans="2:13" x14ac:dyDescent="0.3">
      <c r="B271" s="3" t="s">
        <v>257</v>
      </c>
      <c r="C271" s="9">
        <v>1.6666666670000001</v>
      </c>
      <c r="D271" s="9">
        <v>2</v>
      </c>
      <c r="E271" s="9">
        <v>40</v>
      </c>
      <c r="F271" s="9">
        <v>19.5</v>
      </c>
      <c r="G271" s="9">
        <v>20.182572950000001</v>
      </c>
      <c r="H271" s="9">
        <v>2.16</v>
      </c>
      <c r="I271" s="9">
        <v>12.69</v>
      </c>
      <c r="J271" s="9">
        <v>8.7799999999999996E-3</v>
      </c>
      <c r="K271" s="9">
        <v>-0.82047012500000005</v>
      </c>
      <c r="L271" s="12">
        <v>0.71772367783772129</v>
      </c>
      <c r="M271" s="12">
        <v>-1.5381938028377213</v>
      </c>
    </row>
    <row r="272" spans="2:13" x14ac:dyDescent="0.3">
      <c r="B272" s="3" t="s">
        <v>258</v>
      </c>
      <c r="C272" s="9">
        <v>1</v>
      </c>
      <c r="D272" s="9">
        <v>4</v>
      </c>
      <c r="E272" s="9">
        <v>60</v>
      </c>
      <c r="F272" s="9">
        <v>9.4</v>
      </c>
      <c r="G272" s="9">
        <v>0</v>
      </c>
      <c r="H272" s="9">
        <v>7.9885999999999999</v>
      </c>
      <c r="I272" s="9">
        <v>0</v>
      </c>
      <c r="J272" s="9">
        <v>1.2535040000000001E-2</v>
      </c>
      <c r="K272" s="9">
        <v>21.324015410000001</v>
      </c>
      <c r="L272" s="12">
        <v>27.506656395372104</v>
      </c>
      <c r="M272" s="12">
        <v>-6.1826409853721032</v>
      </c>
    </row>
    <row r="273" spans="2:13" x14ac:dyDescent="0.3">
      <c r="B273" s="3" t="s">
        <v>259</v>
      </c>
      <c r="C273" s="9">
        <v>1</v>
      </c>
      <c r="D273" s="9">
        <v>1</v>
      </c>
      <c r="E273" s="9">
        <v>20</v>
      </c>
      <c r="F273" s="9">
        <v>5.6</v>
      </c>
      <c r="G273" s="9">
        <v>2.1788908550000001</v>
      </c>
      <c r="H273" s="9">
        <v>7.0444000000000004</v>
      </c>
      <c r="I273" s="9">
        <v>1.37</v>
      </c>
      <c r="J273" s="9">
        <v>7.5770400000000002E-3</v>
      </c>
      <c r="K273" s="9">
        <v>6.5683087569999996</v>
      </c>
      <c r="L273" s="12">
        <v>15.177289917480692</v>
      </c>
      <c r="M273" s="12">
        <v>-8.6089811604806918</v>
      </c>
    </row>
    <row r="274" spans="2:13" x14ac:dyDescent="0.3">
      <c r="B274" s="3" t="s">
        <v>260</v>
      </c>
      <c r="C274" s="9">
        <v>1</v>
      </c>
      <c r="D274" s="9">
        <v>1</v>
      </c>
      <c r="E274" s="9">
        <v>60</v>
      </c>
      <c r="F274" s="9">
        <v>14.1</v>
      </c>
      <c r="G274" s="9">
        <v>4.3100687710000001</v>
      </c>
      <c r="H274" s="9">
        <v>7.9885999999999999</v>
      </c>
      <c r="I274" s="9">
        <v>2.71</v>
      </c>
      <c r="J274" s="9">
        <v>1.2535019999999999E-2</v>
      </c>
      <c r="K274" s="9">
        <v>8.8799946369999994</v>
      </c>
      <c r="L274" s="12">
        <v>18.361457243719045</v>
      </c>
      <c r="M274" s="12">
        <v>-9.4814626067190453</v>
      </c>
    </row>
    <row r="275" spans="2:13" x14ac:dyDescent="0.3">
      <c r="B275" s="3" t="s">
        <v>261</v>
      </c>
      <c r="C275" s="9">
        <v>1</v>
      </c>
      <c r="D275" s="9">
        <v>6</v>
      </c>
      <c r="E275" s="9">
        <v>10</v>
      </c>
      <c r="F275" s="9">
        <v>1.8</v>
      </c>
      <c r="G275" s="9">
        <v>1.1769191480000001</v>
      </c>
      <c r="H275" s="9">
        <v>5.8784999999999998</v>
      </c>
      <c r="I275" s="9">
        <v>0.74</v>
      </c>
      <c r="J275" s="9">
        <v>5.5424999999999997E-3</v>
      </c>
      <c r="K275" s="9">
        <v>16.077974959999999</v>
      </c>
      <c r="L275" s="12">
        <v>16.982902274598651</v>
      </c>
      <c r="M275" s="12">
        <v>-0.90492731459865183</v>
      </c>
    </row>
    <row r="276" spans="2:13" x14ac:dyDescent="0.3">
      <c r="B276" s="3" t="s">
        <v>262</v>
      </c>
      <c r="C276" s="9">
        <v>1.6666666670000001</v>
      </c>
      <c r="D276" s="9">
        <v>4</v>
      </c>
      <c r="E276" s="9">
        <v>40</v>
      </c>
      <c r="F276" s="9">
        <v>11.7</v>
      </c>
      <c r="G276" s="9">
        <v>8.0157736560000004</v>
      </c>
      <c r="H276" s="9">
        <v>2.16</v>
      </c>
      <c r="I276" s="9">
        <v>5.04</v>
      </c>
      <c r="J276" s="9">
        <v>8.7799999999999996E-3</v>
      </c>
      <c r="K276" s="9">
        <v>4.6649301660000004</v>
      </c>
      <c r="L276" s="12">
        <v>10.454376062011303</v>
      </c>
      <c r="M276" s="12">
        <v>-5.7894458960113022</v>
      </c>
    </row>
    <row r="277" spans="2:13" x14ac:dyDescent="0.3">
      <c r="B277" s="3" t="s">
        <v>263</v>
      </c>
      <c r="C277" s="9">
        <v>1</v>
      </c>
      <c r="D277" s="9">
        <v>1</v>
      </c>
      <c r="E277" s="9">
        <v>15</v>
      </c>
      <c r="F277" s="9">
        <v>15</v>
      </c>
      <c r="G277" s="9">
        <v>23.53838296</v>
      </c>
      <c r="H277" s="9">
        <v>6.5609999999999999</v>
      </c>
      <c r="I277" s="9">
        <v>14.8</v>
      </c>
      <c r="J277" s="9">
        <v>6.6530699999999996E-3</v>
      </c>
      <c r="K277" s="9">
        <v>-0.460503106</v>
      </c>
      <c r="L277" s="12">
        <v>-15.127892804283711</v>
      </c>
      <c r="M277" s="12">
        <v>14.66738969828371</v>
      </c>
    </row>
    <row r="278" spans="2:13" x14ac:dyDescent="0.3">
      <c r="B278" s="3" t="s">
        <v>264</v>
      </c>
      <c r="C278" s="9">
        <v>1</v>
      </c>
      <c r="D278" s="9">
        <v>1</v>
      </c>
      <c r="E278" s="9">
        <v>10</v>
      </c>
      <c r="F278" s="9">
        <v>12.5</v>
      </c>
      <c r="G278" s="9">
        <v>40.078868280000002</v>
      </c>
      <c r="H278" s="9">
        <v>5.8784999999999998</v>
      </c>
      <c r="I278" s="9">
        <v>25.2</v>
      </c>
      <c r="J278" s="9">
        <v>5.5425099999999996E-3</v>
      </c>
      <c r="K278" s="9">
        <v>-1.490625318</v>
      </c>
      <c r="L278" s="12">
        <v>-6.4182282180349084</v>
      </c>
      <c r="M278" s="12">
        <v>4.9276029000349082</v>
      </c>
    </row>
    <row r="279" spans="2:13" x14ac:dyDescent="0.3">
      <c r="B279" s="3" t="s">
        <v>265</v>
      </c>
      <c r="C279" s="9">
        <v>0.6</v>
      </c>
      <c r="D279" s="9">
        <v>1</v>
      </c>
      <c r="E279" s="9">
        <v>40</v>
      </c>
      <c r="F279" s="9">
        <v>3.9</v>
      </c>
      <c r="G279" s="9">
        <v>0</v>
      </c>
      <c r="H279" s="9">
        <v>3.76</v>
      </c>
      <c r="I279" s="9">
        <v>0</v>
      </c>
      <c r="J279" s="9">
        <v>9.2599999999999991E-3</v>
      </c>
      <c r="K279" s="9">
        <v>53.688632269999999</v>
      </c>
      <c r="L279" s="12">
        <v>46.437594936660091</v>
      </c>
      <c r="M279" s="12">
        <v>7.2510373333399087</v>
      </c>
    </row>
    <row r="280" spans="2:13" x14ac:dyDescent="0.3">
      <c r="B280" s="3" t="s">
        <v>266</v>
      </c>
      <c r="C280" s="9">
        <v>1.6666666670000001</v>
      </c>
      <c r="D280" s="9">
        <v>2</v>
      </c>
      <c r="E280" s="9">
        <v>10</v>
      </c>
      <c r="F280" s="9">
        <v>8</v>
      </c>
      <c r="G280" s="9">
        <v>21.470822290000001</v>
      </c>
      <c r="H280" s="9">
        <v>0.54</v>
      </c>
      <c r="I280" s="9">
        <v>13.5</v>
      </c>
      <c r="J280" s="9">
        <v>2.5500000000000002E-3</v>
      </c>
      <c r="K280" s="9">
        <v>-0.44986030399999999</v>
      </c>
      <c r="L280" s="12">
        <v>-5.4409745469104518</v>
      </c>
      <c r="M280" s="12">
        <v>4.9911142429104522</v>
      </c>
    </row>
    <row r="281" spans="2:13" x14ac:dyDescent="0.3">
      <c r="B281" s="3" t="s">
        <v>267</v>
      </c>
      <c r="C281" s="9">
        <v>1</v>
      </c>
      <c r="D281" s="9">
        <v>6</v>
      </c>
      <c r="E281" s="9">
        <v>20</v>
      </c>
      <c r="F281" s="9">
        <v>16.8</v>
      </c>
      <c r="G281" s="9">
        <v>26.178498879999999</v>
      </c>
      <c r="H281" s="9">
        <v>7.0444000000000004</v>
      </c>
      <c r="I281" s="9">
        <v>16.46</v>
      </c>
      <c r="J281" s="9">
        <v>7.5770400000000002E-3</v>
      </c>
      <c r="K281" s="9">
        <v>-0.98298052999999996</v>
      </c>
      <c r="L281" s="12">
        <v>-9.7547913043452112</v>
      </c>
      <c r="M281" s="12">
        <v>8.7718107743452105</v>
      </c>
    </row>
    <row r="282" spans="2:13" x14ac:dyDescent="0.3">
      <c r="B282" s="3" t="s">
        <v>268</v>
      </c>
      <c r="C282" s="9">
        <v>1</v>
      </c>
      <c r="D282" s="9">
        <v>1</v>
      </c>
      <c r="E282" s="9">
        <v>10</v>
      </c>
      <c r="F282" s="9">
        <v>10.8</v>
      </c>
      <c r="G282" s="9">
        <v>33.717143149999998</v>
      </c>
      <c r="H282" s="9">
        <v>5.8784999999999998</v>
      </c>
      <c r="I282" s="9">
        <v>21.2</v>
      </c>
      <c r="J282" s="9">
        <v>5.5425099999999996E-3</v>
      </c>
      <c r="K282" s="9">
        <v>-1.282081147</v>
      </c>
      <c r="L282" s="12">
        <v>-3.9552859276090366</v>
      </c>
      <c r="M282" s="12">
        <v>2.6732047806090367</v>
      </c>
    </row>
    <row r="283" spans="2:13" x14ac:dyDescent="0.3">
      <c r="B283" s="3" t="s">
        <v>269</v>
      </c>
      <c r="C283" s="9">
        <v>1.6666666670000001</v>
      </c>
      <c r="D283" s="9">
        <v>6</v>
      </c>
      <c r="E283" s="9">
        <v>60</v>
      </c>
      <c r="F283" s="9">
        <v>18.399999999999999</v>
      </c>
      <c r="G283" s="9">
        <v>0.72099551399999995</v>
      </c>
      <c r="H283" s="9">
        <v>3.24</v>
      </c>
      <c r="I283" s="9">
        <v>1.02</v>
      </c>
      <c r="J283" s="9">
        <v>1.204998E-2</v>
      </c>
      <c r="K283" s="9">
        <v>5.3785252520000002</v>
      </c>
      <c r="L283" s="12">
        <v>0.60042305009155683</v>
      </c>
      <c r="M283" s="12">
        <v>4.7781022019084434</v>
      </c>
    </row>
    <row r="284" spans="2:13" x14ac:dyDescent="0.3">
      <c r="B284" s="3" t="s">
        <v>270</v>
      </c>
      <c r="C284" s="9">
        <v>1</v>
      </c>
      <c r="D284" s="9">
        <v>2</v>
      </c>
      <c r="E284" s="9">
        <v>60</v>
      </c>
      <c r="F284" s="9">
        <v>14.1</v>
      </c>
      <c r="G284" s="9">
        <v>4.5645377759999999</v>
      </c>
      <c r="H284" s="9">
        <v>7.9885999999999999</v>
      </c>
      <c r="I284" s="9">
        <v>2.87</v>
      </c>
      <c r="J284" s="9">
        <v>1.2535019999999999E-2</v>
      </c>
      <c r="K284" s="9">
        <v>8.8073771480000005</v>
      </c>
      <c r="L284" s="12">
        <v>15.524010557948841</v>
      </c>
      <c r="M284" s="12">
        <v>-6.7166334099488409</v>
      </c>
    </row>
    <row r="285" spans="2:13" x14ac:dyDescent="0.3">
      <c r="B285" s="3" t="s">
        <v>271</v>
      </c>
      <c r="C285" s="9">
        <v>1</v>
      </c>
      <c r="D285" s="9">
        <v>6</v>
      </c>
      <c r="E285" s="9">
        <v>10</v>
      </c>
      <c r="F285" s="9">
        <v>10.8</v>
      </c>
      <c r="G285" s="9">
        <v>48.55586701</v>
      </c>
      <c r="H285" s="9">
        <v>5.8784999999999998</v>
      </c>
      <c r="I285" s="9">
        <v>30.53</v>
      </c>
      <c r="J285" s="9">
        <v>5.5424999999999997E-3</v>
      </c>
      <c r="K285" s="9">
        <v>-3.1407387039999999</v>
      </c>
      <c r="L285" s="12">
        <v>4.4945334791026657</v>
      </c>
      <c r="M285" s="12">
        <v>-7.635272183102666</v>
      </c>
    </row>
    <row r="286" spans="2:13" x14ac:dyDescent="0.3">
      <c r="B286" s="3" t="s">
        <v>272</v>
      </c>
      <c r="C286" s="9">
        <v>1.6666666670000001</v>
      </c>
      <c r="D286" s="9">
        <v>2</v>
      </c>
      <c r="E286" s="9">
        <v>20</v>
      </c>
      <c r="F286" s="9">
        <v>6.9</v>
      </c>
      <c r="G286" s="9">
        <v>8.1907210970000008</v>
      </c>
      <c r="H286" s="9">
        <v>1.08</v>
      </c>
      <c r="I286" s="9">
        <v>5.15</v>
      </c>
      <c r="J286" s="9">
        <v>4.8399999999999997E-3</v>
      </c>
      <c r="K286" s="9">
        <v>3.3119444279999999</v>
      </c>
      <c r="L286" s="12">
        <v>7.798829308610145</v>
      </c>
      <c r="M286" s="12">
        <v>-4.4868848806101447</v>
      </c>
    </row>
    <row r="287" spans="2:13" x14ac:dyDescent="0.3">
      <c r="B287" s="3" t="s">
        <v>273</v>
      </c>
      <c r="C287" s="9">
        <v>1</v>
      </c>
      <c r="D287" s="9">
        <v>6</v>
      </c>
      <c r="E287" s="9">
        <v>40</v>
      </c>
      <c r="F287" s="9">
        <v>12.3</v>
      </c>
      <c r="G287" s="9">
        <v>3.3399056900000001</v>
      </c>
      <c r="H287" s="9">
        <v>7.9885999999999999</v>
      </c>
      <c r="I287" s="9">
        <v>2.1</v>
      </c>
      <c r="J287" s="9">
        <v>1.0389839999999999E-2</v>
      </c>
      <c r="K287" s="9">
        <v>5.3256888480000004</v>
      </c>
      <c r="L287" s="12">
        <v>9.2585677454801569</v>
      </c>
      <c r="M287" s="12">
        <v>-3.9328788974801565</v>
      </c>
    </row>
    <row r="288" spans="2:13" x14ac:dyDescent="0.3">
      <c r="B288" s="3" t="s">
        <v>274</v>
      </c>
      <c r="C288" s="9">
        <v>0.6</v>
      </c>
      <c r="D288" s="9">
        <v>6</v>
      </c>
      <c r="E288" s="9">
        <v>60</v>
      </c>
      <c r="F288" s="9">
        <v>18.399999999999999</v>
      </c>
      <c r="G288" s="9">
        <v>0.56548667799999996</v>
      </c>
      <c r="H288" s="9">
        <v>5.64</v>
      </c>
      <c r="I288" s="9">
        <v>0.8</v>
      </c>
      <c r="J288" s="9">
        <v>1.378998E-2</v>
      </c>
      <c r="K288" s="9">
        <v>5.3971741460000002</v>
      </c>
      <c r="L288" s="12">
        <v>0.73814962902115155</v>
      </c>
      <c r="M288" s="12">
        <v>4.6590245169788487</v>
      </c>
    </row>
    <row r="289" spans="2:13" x14ac:dyDescent="0.3">
      <c r="B289" s="3" t="s">
        <v>275</v>
      </c>
      <c r="C289" s="9">
        <v>0.6</v>
      </c>
      <c r="D289" s="9">
        <v>6</v>
      </c>
      <c r="E289" s="9">
        <v>40</v>
      </c>
      <c r="F289" s="9">
        <v>15.6</v>
      </c>
      <c r="G289" s="9">
        <v>8.2543383479999992</v>
      </c>
      <c r="H289" s="9">
        <v>3.76</v>
      </c>
      <c r="I289" s="9">
        <v>5.19</v>
      </c>
      <c r="J289" s="9">
        <v>9.2599799999999993E-3</v>
      </c>
      <c r="K289" s="9">
        <v>2.579832626</v>
      </c>
      <c r="L289" s="12">
        <v>2.4322126647799891</v>
      </c>
      <c r="M289" s="12">
        <v>0.14761996122001086</v>
      </c>
    </row>
    <row r="290" spans="2:13" x14ac:dyDescent="0.3">
      <c r="B290" s="3" t="s">
        <v>276</v>
      </c>
      <c r="C290" s="9">
        <v>1.6666666670000001</v>
      </c>
      <c r="D290" s="9">
        <v>1</v>
      </c>
      <c r="E290" s="9">
        <v>15</v>
      </c>
      <c r="F290" s="9">
        <v>3.8</v>
      </c>
      <c r="G290" s="9">
        <v>2.815063367</v>
      </c>
      <c r="H290" s="9">
        <v>0.81</v>
      </c>
      <c r="I290" s="9">
        <v>1.77</v>
      </c>
      <c r="J290" s="9">
        <v>3.7299999999999998E-3</v>
      </c>
      <c r="K290" s="9">
        <v>7.7387361449999998</v>
      </c>
      <c r="L290" s="12">
        <v>14.471714099674511</v>
      </c>
      <c r="M290" s="12">
        <v>-6.732977954674511</v>
      </c>
    </row>
    <row r="291" spans="2:13" x14ac:dyDescent="0.3">
      <c r="B291" s="3" t="s">
        <v>277</v>
      </c>
      <c r="C291" s="9">
        <v>1.6666666670000001</v>
      </c>
      <c r="D291" s="9">
        <v>1</v>
      </c>
      <c r="E291" s="9">
        <v>30</v>
      </c>
      <c r="F291" s="9">
        <v>23.1</v>
      </c>
      <c r="G291" s="9">
        <v>33.271822399999998</v>
      </c>
      <c r="H291" s="9">
        <v>1.62</v>
      </c>
      <c r="I291" s="9">
        <v>20.92</v>
      </c>
      <c r="J291" s="9">
        <v>6.9100000000000003E-3</v>
      </c>
      <c r="K291" s="9">
        <v>-2.372395493</v>
      </c>
      <c r="L291" s="12">
        <v>-2.5330558818007169</v>
      </c>
      <c r="M291" s="12">
        <v>0.16066038880071698</v>
      </c>
    </row>
    <row r="292" spans="2:13" x14ac:dyDescent="0.3">
      <c r="B292" s="3" t="s">
        <v>278</v>
      </c>
      <c r="C292" s="9">
        <v>1.6666666670000001</v>
      </c>
      <c r="D292" s="9">
        <v>2</v>
      </c>
      <c r="E292" s="9">
        <v>20</v>
      </c>
      <c r="F292" s="9">
        <v>4.5999999999999996</v>
      </c>
      <c r="G292" s="9">
        <v>3.5466617560000002</v>
      </c>
      <c r="H292" s="9">
        <v>1.08</v>
      </c>
      <c r="I292" s="9">
        <v>2.23</v>
      </c>
      <c r="J292" s="9">
        <v>4.8399999999999997E-3</v>
      </c>
      <c r="K292" s="9">
        <v>9.2362070680000006</v>
      </c>
      <c r="L292" s="12">
        <v>16.136161295065833</v>
      </c>
      <c r="M292" s="12">
        <v>-6.8999542270658321</v>
      </c>
    </row>
    <row r="293" spans="2:13" x14ac:dyDescent="0.3">
      <c r="B293" s="3" t="s">
        <v>279</v>
      </c>
      <c r="C293" s="9">
        <v>0.6</v>
      </c>
      <c r="D293" s="9">
        <v>1</v>
      </c>
      <c r="E293" s="9">
        <v>40</v>
      </c>
      <c r="F293" s="9">
        <v>15.6</v>
      </c>
      <c r="G293" s="9">
        <v>6.8229501949999998</v>
      </c>
      <c r="H293" s="9">
        <v>3.76</v>
      </c>
      <c r="I293" s="9">
        <v>4.29</v>
      </c>
      <c r="J293" s="9">
        <v>9.2599999999999991E-3</v>
      </c>
      <c r="K293" s="9">
        <v>2.8255375049999998</v>
      </c>
      <c r="L293" s="12">
        <v>1.6800978382467378</v>
      </c>
      <c r="M293" s="12">
        <v>1.145439666753262</v>
      </c>
    </row>
    <row r="294" spans="2:13" x14ac:dyDescent="0.3">
      <c r="B294" s="3" t="s">
        <v>280</v>
      </c>
      <c r="C294" s="9">
        <v>0.6</v>
      </c>
      <c r="D294" s="9">
        <v>2</v>
      </c>
      <c r="E294" s="9">
        <v>40</v>
      </c>
      <c r="F294" s="9">
        <v>7.8</v>
      </c>
      <c r="G294" s="9">
        <v>2.6719245520000001</v>
      </c>
      <c r="H294" s="9">
        <v>3.76</v>
      </c>
      <c r="I294" s="9">
        <v>1.68</v>
      </c>
      <c r="J294" s="9">
        <v>9.2599999999999991E-3</v>
      </c>
      <c r="K294" s="9">
        <v>13.097039710000001</v>
      </c>
      <c r="L294" s="12">
        <v>24.714942949754885</v>
      </c>
      <c r="M294" s="12">
        <v>-11.617903239754884</v>
      </c>
    </row>
    <row r="295" spans="2:13" x14ac:dyDescent="0.3">
      <c r="B295" s="3" t="s">
        <v>281</v>
      </c>
      <c r="C295" s="9">
        <v>1</v>
      </c>
      <c r="D295" s="9">
        <v>4</v>
      </c>
      <c r="E295" s="9">
        <v>10</v>
      </c>
      <c r="F295" s="9">
        <v>3.6</v>
      </c>
      <c r="G295" s="9">
        <v>4.3418773970000002</v>
      </c>
      <c r="H295" s="9">
        <v>5.8784999999999998</v>
      </c>
      <c r="I295" s="9">
        <v>2.73</v>
      </c>
      <c r="J295" s="9">
        <v>5.5425200000000004E-3</v>
      </c>
      <c r="K295" s="9">
        <v>3.7801619870000001</v>
      </c>
      <c r="L295" s="12">
        <v>4.3802672446588282</v>
      </c>
      <c r="M295" s="12">
        <v>-0.60010525765882816</v>
      </c>
    </row>
    <row r="296" spans="2:13" x14ac:dyDescent="0.3">
      <c r="B296" s="3" t="s">
        <v>282</v>
      </c>
      <c r="C296" s="9">
        <v>1.6666666670000001</v>
      </c>
      <c r="D296" s="9">
        <v>1</v>
      </c>
      <c r="E296" s="9">
        <v>20</v>
      </c>
      <c r="F296" s="9">
        <v>2.2999999999999998</v>
      </c>
      <c r="G296" s="9">
        <v>0</v>
      </c>
      <c r="H296" s="9">
        <v>1.08</v>
      </c>
      <c r="I296" s="9">
        <v>0</v>
      </c>
      <c r="J296" s="9">
        <v>4.8399999999999997E-3</v>
      </c>
      <c r="K296" s="9">
        <v>38.591876030000002</v>
      </c>
      <c r="L296" s="12">
        <v>29.859772300080024</v>
      </c>
      <c r="M296" s="12">
        <v>8.7321037299199773</v>
      </c>
    </row>
    <row r="297" spans="2:13" x14ac:dyDescent="0.3">
      <c r="B297" s="3" t="s">
        <v>283</v>
      </c>
      <c r="C297" s="9">
        <v>1</v>
      </c>
      <c r="D297" s="9">
        <v>2</v>
      </c>
      <c r="E297" s="9">
        <v>20</v>
      </c>
      <c r="F297" s="9">
        <v>20</v>
      </c>
      <c r="G297" s="9">
        <v>48.142354869999998</v>
      </c>
      <c r="H297" s="9">
        <v>7.0444000000000004</v>
      </c>
      <c r="I297" s="9">
        <v>30.27</v>
      </c>
      <c r="J297" s="9">
        <v>7.5770400000000002E-3</v>
      </c>
      <c r="K297" s="9">
        <v>-3.5923508649999998</v>
      </c>
      <c r="L297" s="12">
        <v>-4.6862978745075665</v>
      </c>
      <c r="M297" s="12">
        <v>1.0939470095075667</v>
      </c>
    </row>
    <row r="298" spans="2:13" x14ac:dyDescent="0.3">
      <c r="B298" s="3" t="s">
        <v>284</v>
      </c>
      <c r="C298" s="9">
        <v>1</v>
      </c>
      <c r="D298" s="9">
        <v>4</v>
      </c>
      <c r="E298" s="9">
        <v>30</v>
      </c>
      <c r="F298" s="9">
        <v>10.8</v>
      </c>
      <c r="G298" s="9">
        <v>9.4153531830000006</v>
      </c>
      <c r="H298" s="9">
        <v>7.6656000000000004</v>
      </c>
      <c r="I298" s="9">
        <v>5.92</v>
      </c>
      <c r="J298" s="9">
        <v>9.1083599999999994E-3</v>
      </c>
      <c r="K298" s="9">
        <v>2.8237950359999999</v>
      </c>
      <c r="L298" s="12">
        <v>5.8772674283623374</v>
      </c>
      <c r="M298" s="12">
        <v>-3.0534723923623375</v>
      </c>
    </row>
    <row r="299" spans="2:13" x14ac:dyDescent="0.3">
      <c r="B299" s="3" t="s">
        <v>285</v>
      </c>
      <c r="C299" s="9">
        <v>0.6</v>
      </c>
      <c r="D299" s="9">
        <v>4</v>
      </c>
      <c r="E299" s="9">
        <v>40</v>
      </c>
      <c r="F299" s="9">
        <v>7.8</v>
      </c>
      <c r="G299" s="9">
        <v>2.783254742</v>
      </c>
      <c r="H299" s="9">
        <v>3.76</v>
      </c>
      <c r="I299" s="9">
        <v>1.75</v>
      </c>
      <c r="J299" s="9">
        <v>9.2599999999999991E-3</v>
      </c>
      <c r="K299" s="9">
        <v>13.06938208</v>
      </c>
      <c r="L299" s="12">
        <v>23.125092393758365</v>
      </c>
      <c r="M299" s="12">
        <v>-10.055710313758365</v>
      </c>
    </row>
    <row r="300" spans="2:13" x14ac:dyDescent="0.3">
      <c r="B300" s="3" t="s">
        <v>286</v>
      </c>
      <c r="C300" s="9">
        <v>1.6666666670000001</v>
      </c>
      <c r="D300" s="9">
        <v>1</v>
      </c>
      <c r="E300" s="9">
        <v>40</v>
      </c>
      <c r="F300" s="9">
        <v>23.4</v>
      </c>
      <c r="G300" s="9">
        <v>19.75315651</v>
      </c>
      <c r="H300" s="9">
        <v>2.16</v>
      </c>
      <c r="I300" s="9">
        <v>12.42</v>
      </c>
      <c r="J300" s="9">
        <v>8.7799999999999996E-3</v>
      </c>
      <c r="K300" s="9">
        <v>-0.48299666499999999</v>
      </c>
      <c r="L300" s="12">
        <v>-1.134055336929368</v>
      </c>
      <c r="M300" s="12">
        <v>0.65105867192936806</v>
      </c>
    </row>
    <row r="301" spans="2:13" x14ac:dyDescent="0.3">
      <c r="B301" s="3" t="s">
        <v>287</v>
      </c>
      <c r="C301" s="9">
        <v>1</v>
      </c>
      <c r="D301" s="9">
        <v>6</v>
      </c>
      <c r="E301" s="9">
        <v>20</v>
      </c>
      <c r="F301" s="9">
        <v>5.6</v>
      </c>
      <c r="G301" s="9">
        <v>3.8965566379999999</v>
      </c>
      <c r="H301" s="9">
        <v>7.0444000000000004</v>
      </c>
      <c r="I301" s="9">
        <v>2.4500000000000002</v>
      </c>
      <c r="J301" s="9">
        <v>7.5770400000000002E-3</v>
      </c>
      <c r="K301" s="9">
        <v>6.3319379570000001</v>
      </c>
      <c r="L301" s="12">
        <v>16.251669739693369</v>
      </c>
      <c r="M301" s="12">
        <v>-9.9197317826933684</v>
      </c>
    </row>
    <row r="302" spans="2:13" x14ac:dyDescent="0.3">
      <c r="B302" s="3" t="s">
        <v>288</v>
      </c>
      <c r="C302" s="9">
        <v>0.6</v>
      </c>
      <c r="D302" s="9">
        <v>6</v>
      </c>
      <c r="E302" s="9">
        <v>30</v>
      </c>
      <c r="F302" s="9">
        <v>9.9</v>
      </c>
      <c r="G302" s="9">
        <v>6.5525768769999999</v>
      </c>
      <c r="H302" s="9">
        <v>2.82</v>
      </c>
      <c r="I302" s="9">
        <v>4.12</v>
      </c>
      <c r="J302" s="9">
        <v>9.2599799999999993E-3</v>
      </c>
      <c r="K302" s="9">
        <v>4.0039173610000001</v>
      </c>
      <c r="L302" s="12">
        <v>9.2378614740843474</v>
      </c>
      <c r="M302" s="12">
        <v>-5.2339441130843474</v>
      </c>
    </row>
    <row r="303" spans="2:13" x14ac:dyDescent="0.3">
      <c r="B303" s="3" t="s">
        <v>289</v>
      </c>
      <c r="C303" s="9">
        <v>1</v>
      </c>
      <c r="D303" s="9">
        <v>2</v>
      </c>
      <c r="E303" s="9">
        <v>15</v>
      </c>
      <c r="F303" s="9">
        <v>7.5</v>
      </c>
      <c r="G303" s="9">
        <v>17.908256219999998</v>
      </c>
      <c r="H303" s="9">
        <v>6.5609999999999999</v>
      </c>
      <c r="I303" s="9">
        <v>11.26</v>
      </c>
      <c r="J303" s="9">
        <v>6.6530799999999996E-3</v>
      </c>
      <c r="K303" s="9">
        <v>-0.18448609799999999</v>
      </c>
      <c r="L303" s="12">
        <v>7.0925869378777193</v>
      </c>
      <c r="M303" s="12">
        <v>-7.2770730358777191</v>
      </c>
    </row>
    <row r="304" spans="2:13" x14ac:dyDescent="0.3">
      <c r="B304" s="3" t="s">
        <v>290</v>
      </c>
      <c r="C304" s="9">
        <v>1</v>
      </c>
      <c r="D304" s="9">
        <v>1</v>
      </c>
      <c r="E304" s="9">
        <v>15</v>
      </c>
      <c r="F304" s="9">
        <v>17.7</v>
      </c>
      <c r="G304" s="9">
        <v>32.142616189999998</v>
      </c>
      <c r="H304" s="9">
        <v>6.5609999999999999</v>
      </c>
      <c r="I304" s="9">
        <v>20.21</v>
      </c>
      <c r="J304" s="9">
        <v>6.6530699999999996E-3</v>
      </c>
      <c r="K304" s="9">
        <v>-0.94173589899999999</v>
      </c>
      <c r="L304" s="12">
        <v>-15.870288971033297</v>
      </c>
      <c r="M304" s="12">
        <v>14.928553072033298</v>
      </c>
    </row>
    <row r="305" spans="2:13" x14ac:dyDescent="0.3">
      <c r="B305" s="3" t="s">
        <v>291</v>
      </c>
      <c r="C305" s="9">
        <v>0.6</v>
      </c>
      <c r="D305" s="9">
        <v>6</v>
      </c>
      <c r="E305" s="9">
        <v>40</v>
      </c>
      <c r="F305" s="9">
        <v>3.9</v>
      </c>
      <c r="G305" s="9">
        <v>0</v>
      </c>
      <c r="H305" s="9">
        <v>3.76</v>
      </c>
      <c r="I305" s="9">
        <v>0</v>
      </c>
      <c r="J305" s="9">
        <v>9.2599799999999993E-3</v>
      </c>
      <c r="K305" s="9">
        <v>53.688632269999999</v>
      </c>
      <c r="L305" s="12">
        <v>45.910516163087358</v>
      </c>
      <c r="M305" s="12">
        <v>7.7781161069126412</v>
      </c>
    </row>
    <row r="306" spans="2:13" x14ac:dyDescent="0.3">
      <c r="B306" s="3" t="s">
        <v>292</v>
      </c>
      <c r="C306" s="9">
        <v>1</v>
      </c>
      <c r="D306" s="9">
        <v>2</v>
      </c>
      <c r="E306" s="9">
        <v>20</v>
      </c>
      <c r="F306" s="9">
        <v>2.8</v>
      </c>
      <c r="G306" s="9">
        <v>0.90654583</v>
      </c>
      <c r="H306" s="9">
        <v>7.0444000000000004</v>
      </c>
      <c r="I306" s="9">
        <v>0.56999999999999995</v>
      </c>
      <c r="J306" s="9">
        <v>7.5770400000000002E-3</v>
      </c>
      <c r="K306" s="9">
        <v>26.62891419</v>
      </c>
      <c r="L306" s="12">
        <v>27.370314268315859</v>
      </c>
      <c r="M306" s="12">
        <v>-0.74140007831585919</v>
      </c>
    </row>
    <row r="307" spans="2:13" x14ac:dyDescent="0.3">
      <c r="B307" s="3" t="s">
        <v>293</v>
      </c>
      <c r="C307" s="9">
        <v>0.6</v>
      </c>
      <c r="D307" s="9">
        <v>4</v>
      </c>
      <c r="E307" s="9">
        <v>15</v>
      </c>
      <c r="F307" s="9">
        <v>5.7</v>
      </c>
      <c r="G307" s="9">
        <v>6.4412466879999997</v>
      </c>
      <c r="H307" s="9">
        <v>1.41</v>
      </c>
      <c r="I307" s="9">
        <v>4.05</v>
      </c>
      <c r="J307" s="9">
        <v>5.7099999999999998E-3</v>
      </c>
      <c r="K307" s="9">
        <v>3.0369226220000001</v>
      </c>
      <c r="L307" s="12">
        <v>5.4936636646082153</v>
      </c>
      <c r="M307" s="12">
        <v>-2.4567410426082152</v>
      </c>
    </row>
    <row r="308" spans="2:13" x14ac:dyDescent="0.3">
      <c r="B308" s="3" t="s">
        <v>294</v>
      </c>
      <c r="C308" s="9">
        <v>1</v>
      </c>
      <c r="D308" s="9">
        <v>4</v>
      </c>
      <c r="E308" s="9">
        <v>40</v>
      </c>
      <c r="F308" s="9">
        <v>12.3</v>
      </c>
      <c r="G308" s="9">
        <v>6.4412466879999997</v>
      </c>
      <c r="H308" s="9">
        <v>7.9885999999999999</v>
      </c>
      <c r="I308" s="9">
        <v>4.05</v>
      </c>
      <c r="J308" s="9">
        <v>1.0389880000000001E-2</v>
      </c>
      <c r="K308" s="9">
        <v>4.7559940449999996</v>
      </c>
      <c r="L308" s="12">
        <v>7.8621731819060656</v>
      </c>
      <c r="M308" s="12">
        <v>-3.1061791369060661</v>
      </c>
    </row>
    <row r="309" spans="2:13" x14ac:dyDescent="0.3">
      <c r="B309" s="3" t="s">
        <v>295</v>
      </c>
      <c r="C309" s="9">
        <v>0.6</v>
      </c>
      <c r="D309" s="9">
        <v>2</v>
      </c>
      <c r="E309" s="9">
        <v>20</v>
      </c>
      <c r="F309" s="9">
        <v>6.9</v>
      </c>
      <c r="G309" s="9">
        <v>7.1092278259999997</v>
      </c>
      <c r="H309" s="9">
        <v>1.88</v>
      </c>
      <c r="I309" s="9">
        <v>4.47</v>
      </c>
      <c r="J309" s="9">
        <v>6.9699999999999996E-3</v>
      </c>
      <c r="K309" s="9">
        <v>3.552678711</v>
      </c>
      <c r="L309" s="12">
        <v>9.1024791892359502</v>
      </c>
      <c r="M309" s="12">
        <v>-5.5498004782359498</v>
      </c>
    </row>
    <row r="310" spans="2:13" x14ac:dyDescent="0.3">
      <c r="B310" s="3" t="s">
        <v>296</v>
      </c>
      <c r="C310" s="9">
        <v>1.6666666670000001</v>
      </c>
      <c r="D310" s="9">
        <v>1</v>
      </c>
      <c r="E310" s="9">
        <v>40</v>
      </c>
      <c r="F310" s="9">
        <v>15.6</v>
      </c>
      <c r="G310" s="9">
        <v>8.1271038450000006</v>
      </c>
      <c r="H310" s="9">
        <v>2.16</v>
      </c>
      <c r="I310" s="9">
        <v>5.1100000000000003</v>
      </c>
      <c r="J310" s="9">
        <v>8.7799999999999996E-3</v>
      </c>
      <c r="K310" s="9">
        <v>2.6035622109999998</v>
      </c>
      <c r="L310" s="12">
        <v>2.4355571885102556</v>
      </c>
      <c r="M310" s="12">
        <v>0.16800502248974425</v>
      </c>
    </row>
    <row r="311" spans="2:13" x14ac:dyDescent="0.3">
      <c r="B311" s="3" t="s">
        <v>297</v>
      </c>
      <c r="C311" s="9">
        <v>0.6</v>
      </c>
      <c r="D311" s="9">
        <v>1</v>
      </c>
      <c r="E311" s="9">
        <v>30</v>
      </c>
      <c r="F311" s="9">
        <v>6.6</v>
      </c>
      <c r="G311" s="9">
        <v>1.5427183419999999</v>
      </c>
      <c r="H311" s="9">
        <v>2.82</v>
      </c>
      <c r="I311" s="9">
        <v>0.97</v>
      </c>
      <c r="J311" s="9">
        <v>9.2599999999999991E-3</v>
      </c>
      <c r="K311" s="9">
        <v>10.459839819999999</v>
      </c>
      <c r="L311" s="12">
        <v>20.899683596253595</v>
      </c>
      <c r="M311" s="12">
        <v>-10.439843776253596</v>
      </c>
    </row>
    <row r="312" spans="2:13" x14ac:dyDescent="0.3">
      <c r="B312" s="3" t="s">
        <v>298</v>
      </c>
      <c r="C312" s="9">
        <v>1.6666666670000001</v>
      </c>
      <c r="D312" s="9">
        <v>4</v>
      </c>
      <c r="E312" s="9">
        <v>20</v>
      </c>
      <c r="F312" s="9">
        <v>11.5</v>
      </c>
      <c r="G312" s="9">
        <v>28.357389739999999</v>
      </c>
      <c r="H312" s="9">
        <v>1.08</v>
      </c>
      <c r="I312" s="9">
        <v>17.829999999999998</v>
      </c>
      <c r="J312" s="9">
        <v>4.8399999999999997E-3</v>
      </c>
      <c r="K312" s="9">
        <v>-2.6680416039999999</v>
      </c>
      <c r="L312" s="12">
        <v>1.487406308835368</v>
      </c>
      <c r="M312" s="12">
        <v>-4.1554479128353679</v>
      </c>
    </row>
    <row r="313" spans="2:13" x14ac:dyDescent="0.3">
      <c r="B313" s="3" t="s">
        <v>299</v>
      </c>
      <c r="C313" s="9">
        <v>1.6666666670000001</v>
      </c>
      <c r="D313" s="9">
        <v>4</v>
      </c>
      <c r="E313" s="9">
        <v>10</v>
      </c>
      <c r="F313" s="9">
        <v>8</v>
      </c>
      <c r="G313" s="9">
        <v>27.307705089999999</v>
      </c>
      <c r="H313" s="9">
        <v>0.54</v>
      </c>
      <c r="I313" s="9">
        <v>17.170000000000002</v>
      </c>
      <c r="J313" s="9">
        <v>2.5500000000000002E-3</v>
      </c>
      <c r="K313" s="9">
        <v>-1.22021727</v>
      </c>
      <c r="L313" s="12">
        <v>-2.7638193627804371</v>
      </c>
      <c r="M313" s="12">
        <v>1.543602092780437</v>
      </c>
    </row>
    <row r="314" spans="2:13" x14ac:dyDescent="0.3">
      <c r="B314" s="3" t="s">
        <v>300</v>
      </c>
      <c r="C314" s="9">
        <v>1</v>
      </c>
      <c r="D314" s="9">
        <v>6</v>
      </c>
      <c r="E314" s="9">
        <v>15</v>
      </c>
      <c r="F314" s="9">
        <v>5</v>
      </c>
      <c r="G314" s="9">
        <v>5.8527871139999998</v>
      </c>
      <c r="H314" s="9">
        <v>6.5609999999999999</v>
      </c>
      <c r="I314" s="9">
        <v>3.68</v>
      </c>
      <c r="J314" s="9">
        <v>6.6531000000000003E-3</v>
      </c>
      <c r="K314" s="9">
        <v>4.163004259</v>
      </c>
      <c r="L314" s="12">
        <v>12.618260468875402</v>
      </c>
      <c r="M314" s="12">
        <v>-8.4552562098754009</v>
      </c>
    </row>
    <row r="315" spans="2:13" x14ac:dyDescent="0.3">
      <c r="B315" s="3" t="s">
        <v>301</v>
      </c>
      <c r="C315" s="9">
        <v>0.6</v>
      </c>
      <c r="D315" s="9">
        <v>4</v>
      </c>
      <c r="E315" s="9">
        <v>60</v>
      </c>
      <c r="F315" s="9">
        <v>27.6</v>
      </c>
      <c r="G315" s="9">
        <v>6.0754474930000004</v>
      </c>
      <c r="H315" s="9">
        <v>5.64</v>
      </c>
      <c r="I315" s="9">
        <v>3.82</v>
      </c>
      <c r="J315" s="9">
        <v>1.379E-2</v>
      </c>
      <c r="K315" s="9">
        <v>2.1099253020000002</v>
      </c>
      <c r="L315" s="12">
        <v>-0.68524459483303701</v>
      </c>
      <c r="M315" s="12">
        <v>2.7951698968330372</v>
      </c>
    </row>
    <row r="316" spans="2:13" x14ac:dyDescent="0.3">
      <c r="B316" s="3" t="s">
        <v>302</v>
      </c>
      <c r="C316" s="9">
        <v>0.6</v>
      </c>
      <c r="D316" s="9">
        <v>2</v>
      </c>
      <c r="E316" s="9">
        <v>10</v>
      </c>
      <c r="F316" s="9">
        <v>9.6</v>
      </c>
      <c r="G316" s="9">
        <v>34.973583869999999</v>
      </c>
      <c r="H316" s="9">
        <v>0.94</v>
      </c>
      <c r="I316" s="9">
        <v>21.99</v>
      </c>
      <c r="J316" s="9">
        <v>4.0000000000000001E-3</v>
      </c>
      <c r="K316" s="9">
        <v>-1.744470103</v>
      </c>
      <c r="L316" s="12">
        <v>-0.23562676580020536</v>
      </c>
      <c r="M316" s="12">
        <v>-1.5088433371997947</v>
      </c>
    </row>
    <row r="317" spans="2:13" x14ac:dyDescent="0.3">
      <c r="B317" s="3" t="s">
        <v>303</v>
      </c>
      <c r="C317" s="9">
        <v>0.6</v>
      </c>
      <c r="D317" s="9">
        <v>2</v>
      </c>
      <c r="E317" s="9">
        <v>15</v>
      </c>
      <c r="F317" s="9">
        <v>1.9</v>
      </c>
      <c r="G317" s="9">
        <v>0</v>
      </c>
      <c r="H317" s="9">
        <v>1.41</v>
      </c>
      <c r="I317" s="9">
        <v>0</v>
      </c>
      <c r="J317" s="9">
        <v>5.7099999999999998E-3</v>
      </c>
      <c r="K317" s="9">
        <v>31.810235769999998</v>
      </c>
      <c r="L317" s="12">
        <v>23.955310273734341</v>
      </c>
      <c r="M317" s="12">
        <v>7.8549254962656576</v>
      </c>
    </row>
    <row r="318" spans="2:13" x14ac:dyDescent="0.3">
      <c r="B318" s="3" t="s">
        <v>304</v>
      </c>
      <c r="C318" s="9">
        <v>0.6</v>
      </c>
      <c r="D318" s="9">
        <v>1</v>
      </c>
      <c r="E318" s="9">
        <v>15</v>
      </c>
      <c r="F318" s="9">
        <v>1.9</v>
      </c>
      <c r="G318" s="9">
        <v>0</v>
      </c>
      <c r="H318" s="9">
        <v>1.41</v>
      </c>
      <c r="I318" s="9">
        <v>0</v>
      </c>
      <c r="J318" s="9">
        <v>5.7099999999999998E-3</v>
      </c>
      <c r="K318" s="9">
        <v>31.810235769999998</v>
      </c>
      <c r="L318" s="12">
        <v>27.026950717892568</v>
      </c>
      <c r="M318" s="12">
        <v>4.7832850521074306</v>
      </c>
    </row>
    <row r="319" spans="2:13" x14ac:dyDescent="0.3">
      <c r="B319" s="3" t="s">
        <v>305</v>
      </c>
      <c r="C319" s="9">
        <v>1.6666666670000001</v>
      </c>
      <c r="D319" s="9">
        <v>1</v>
      </c>
      <c r="E319" s="9">
        <v>10</v>
      </c>
      <c r="F319" s="9">
        <v>4.8</v>
      </c>
      <c r="G319" s="9">
        <v>5.8845957389999999</v>
      </c>
      <c r="H319" s="9">
        <v>0.54</v>
      </c>
      <c r="I319" s="9">
        <v>3.7</v>
      </c>
      <c r="J319" s="9">
        <v>2.5500000000000002E-3</v>
      </c>
      <c r="K319" s="9">
        <v>1.9549169710000001</v>
      </c>
      <c r="L319" s="12">
        <v>1.4232919465942913</v>
      </c>
      <c r="M319" s="12">
        <v>0.5316250244057088</v>
      </c>
    </row>
    <row r="320" spans="2:13" x14ac:dyDescent="0.3">
      <c r="B320" s="3" t="s">
        <v>306</v>
      </c>
      <c r="C320" s="9">
        <v>0.6</v>
      </c>
      <c r="D320" s="9">
        <v>1</v>
      </c>
      <c r="E320" s="9">
        <v>60</v>
      </c>
      <c r="F320" s="9">
        <v>13.8</v>
      </c>
      <c r="G320" s="9">
        <v>3.5625660689999998</v>
      </c>
      <c r="H320" s="9">
        <v>5.64</v>
      </c>
      <c r="I320" s="9">
        <v>2.2400000000000002</v>
      </c>
      <c r="J320" s="9">
        <v>1.379E-2</v>
      </c>
      <c r="K320" s="9">
        <v>9.2325058559999995</v>
      </c>
      <c r="L320" s="12">
        <v>20.824860143001004</v>
      </c>
      <c r="M320" s="12">
        <v>-11.592354287001005</v>
      </c>
    </row>
    <row r="321" spans="2:13" x14ac:dyDescent="0.3">
      <c r="B321" s="3" t="s">
        <v>307</v>
      </c>
      <c r="C321" s="9">
        <v>1</v>
      </c>
      <c r="D321" s="9">
        <v>6</v>
      </c>
      <c r="E321" s="9">
        <v>20</v>
      </c>
      <c r="F321" s="9">
        <v>11.2</v>
      </c>
      <c r="G321" s="9">
        <v>16.031547310000001</v>
      </c>
      <c r="H321" s="9">
        <v>7.0444000000000004</v>
      </c>
      <c r="I321" s="9">
        <v>10.08</v>
      </c>
      <c r="J321" s="9">
        <v>7.5770400000000002E-3</v>
      </c>
      <c r="K321" s="9">
        <v>0.21360970700000001</v>
      </c>
      <c r="L321" s="12">
        <v>0.32462064722958672</v>
      </c>
      <c r="M321" s="12">
        <v>-0.11101094022958671</v>
      </c>
    </row>
    <row r="322" spans="2:13" x14ac:dyDescent="0.3">
      <c r="B322" s="3" t="s">
        <v>308</v>
      </c>
      <c r="C322" s="9">
        <v>1</v>
      </c>
      <c r="D322" s="9">
        <v>1</v>
      </c>
      <c r="E322" s="9">
        <v>30</v>
      </c>
      <c r="F322" s="9">
        <v>18</v>
      </c>
      <c r="G322" s="9">
        <v>15.96793006</v>
      </c>
      <c r="H322" s="9">
        <v>7.6656000000000004</v>
      </c>
      <c r="I322" s="9">
        <v>10.039999999999999</v>
      </c>
      <c r="J322" s="9">
        <v>9.1083599999999994E-3</v>
      </c>
      <c r="K322" s="9">
        <v>0.196119512</v>
      </c>
      <c r="L322" s="12">
        <v>-6.1031520926512073</v>
      </c>
      <c r="M322" s="12">
        <v>6.2992716046512074</v>
      </c>
    </row>
    <row r="323" spans="2:13" x14ac:dyDescent="0.3">
      <c r="B323" s="3" t="s">
        <v>309</v>
      </c>
      <c r="C323" s="9">
        <v>1.6666666670000001</v>
      </c>
      <c r="D323" s="9">
        <v>6</v>
      </c>
      <c r="E323" s="9">
        <v>15</v>
      </c>
      <c r="F323" s="9">
        <v>9.5</v>
      </c>
      <c r="G323" s="9">
        <v>26.30573339</v>
      </c>
      <c r="H323" s="9">
        <v>0.81</v>
      </c>
      <c r="I323" s="9">
        <v>16.54</v>
      </c>
      <c r="J323" s="9">
        <v>3.7300200000000001E-3</v>
      </c>
      <c r="K323" s="9">
        <v>-1.715025579</v>
      </c>
      <c r="L323" s="12">
        <v>3.8069652942950043</v>
      </c>
      <c r="M323" s="12">
        <v>-5.521990873295004</v>
      </c>
    </row>
    <row r="324" spans="2:13" x14ac:dyDescent="0.3">
      <c r="B324" s="3" t="s">
        <v>310</v>
      </c>
      <c r="C324" s="9">
        <v>0.6</v>
      </c>
      <c r="D324" s="9">
        <v>2</v>
      </c>
      <c r="E324" s="9">
        <v>30</v>
      </c>
      <c r="F324" s="9">
        <v>16.5</v>
      </c>
      <c r="G324" s="9">
        <v>26.21030751</v>
      </c>
      <c r="H324" s="9">
        <v>2.82</v>
      </c>
      <c r="I324" s="9">
        <v>16.48</v>
      </c>
      <c r="J324" s="9">
        <v>9.2599999999999991E-3</v>
      </c>
      <c r="K324" s="9">
        <v>-2.245414212</v>
      </c>
      <c r="L324" s="12">
        <v>0.1543707670074923</v>
      </c>
      <c r="M324" s="12">
        <v>-2.3997849790074923</v>
      </c>
    </row>
    <row r="325" spans="2:13" x14ac:dyDescent="0.3">
      <c r="B325" s="3" t="s">
        <v>311</v>
      </c>
      <c r="C325" s="9">
        <v>0.6</v>
      </c>
      <c r="D325" s="9">
        <v>6</v>
      </c>
      <c r="E325" s="9">
        <v>15</v>
      </c>
      <c r="F325" s="9">
        <v>5.7</v>
      </c>
      <c r="G325" s="9">
        <v>6.3935337490000004</v>
      </c>
      <c r="H325" s="9">
        <v>1.41</v>
      </c>
      <c r="I325" s="9">
        <v>4.0199999999999996</v>
      </c>
      <c r="J325" s="9">
        <v>5.7100199999999997E-3</v>
      </c>
      <c r="K325" s="9">
        <v>3.044266403</v>
      </c>
      <c r="L325" s="12">
        <v>9.6891156252193866</v>
      </c>
      <c r="M325" s="12">
        <v>-6.6448492222193867</v>
      </c>
    </row>
    <row r="326" spans="2:13" x14ac:dyDescent="0.3">
      <c r="B326" s="3" t="s">
        <v>312</v>
      </c>
      <c r="C326" s="9">
        <v>1.6666666670000001</v>
      </c>
      <c r="D326" s="9">
        <v>4</v>
      </c>
      <c r="E326" s="9">
        <v>20</v>
      </c>
      <c r="F326" s="9">
        <v>6.9</v>
      </c>
      <c r="G326" s="9">
        <v>9.0972669269999997</v>
      </c>
      <c r="H326" s="9">
        <v>1.08</v>
      </c>
      <c r="I326" s="9">
        <v>5.72</v>
      </c>
      <c r="J326" s="9">
        <v>4.8399999999999997E-3</v>
      </c>
      <c r="K326" s="9">
        <v>3.0839320849999998</v>
      </c>
      <c r="L326" s="12">
        <v>6.9064286914771955</v>
      </c>
      <c r="M326" s="12">
        <v>-3.8224966064771957</v>
      </c>
    </row>
    <row r="327" spans="2:13" x14ac:dyDescent="0.3">
      <c r="B327" s="3" t="s">
        <v>313</v>
      </c>
      <c r="C327" s="9">
        <v>1</v>
      </c>
      <c r="D327" s="9">
        <v>2</v>
      </c>
      <c r="E327" s="9">
        <v>15</v>
      </c>
      <c r="F327" s="9">
        <v>12.5</v>
      </c>
      <c r="G327" s="9">
        <v>34.607784670000001</v>
      </c>
      <c r="H327" s="9">
        <v>6.5609999999999999</v>
      </c>
      <c r="I327" s="9">
        <v>21.76</v>
      </c>
      <c r="J327" s="9">
        <v>6.6530799999999996E-3</v>
      </c>
      <c r="K327" s="9">
        <v>-2.3090140290000001</v>
      </c>
      <c r="L327" s="12">
        <v>-2.1650408835470429</v>
      </c>
      <c r="M327" s="12">
        <v>-0.14397314545295714</v>
      </c>
    </row>
    <row r="328" spans="2:13" x14ac:dyDescent="0.3">
      <c r="B328" s="3" t="s">
        <v>314</v>
      </c>
      <c r="C328" s="9">
        <v>1</v>
      </c>
      <c r="D328" s="9">
        <v>4</v>
      </c>
      <c r="E328" s="9">
        <v>15</v>
      </c>
      <c r="F328" s="9">
        <v>10</v>
      </c>
      <c r="G328" s="9">
        <v>25.924029879999999</v>
      </c>
      <c r="H328" s="9">
        <v>6.5609999999999999</v>
      </c>
      <c r="I328" s="9">
        <v>16.3</v>
      </c>
      <c r="J328" s="9">
        <v>6.6530799999999996E-3</v>
      </c>
      <c r="K328" s="9">
        <v>-1.507605109</v>
      </c>
      <c r="L328" s="12">
        <v>-2.8287553285416323E-2</v>
      </c>
      <c r="M328" s="12">
        <v>-1.4793175557145837</v>
      </c>
    </row>
    <row r="329" spans="2:13" x14ac:dyDescent="0.3">
      <c r="B329" s="3" t="s">
        <v>315</v>
      </c>
      <c r="C329" s="9">
        <v>1.6666666670000001</v>
      </c>
      <c r="D329" s="9">
        <v>2</v>
      </c>
      <c r="E329" s="9">
        <v>10</v>
      </c>
      <c r="F329" s="9">
        <v>6.4</v>
      </c>
      <c r="G329" s="9">
        <v>17.399318210000001</v>
      </c>
      <c r="H329" s="9">
        <v>0.54</v>
      </c>
      <c r="I329" s="9">
        <v>10.94</v>
      </c>
      <c r="J329" s="9">
        <v>2.5500000000000002E-3</v>
      </c>
      <c r="K329" s="9">
        <v>-3.3833936000000002E-2</v>
      </c>
      <c r="L329" s="12">
        <v>-0.56280849947863354</v>
      </c>
      <c r="M329" s="12">
        <v>0.52897456347863359</v>
      </c>
    </row>
    <row r="330" spans="2:13" x14ac:dyDescent="0.3">
      <c r="B330" s="3" t="s">
        <v>316</v>
      </c>
      <c r="C330" s="9">
        <v>0.6</v>
      </c>
      <c r="D330" s="9">
        <v>2</v>
      </c>
      <c r="E330" s="9">
        <v>15</v>
      </c>
      <c r="F330" s="9">
        <v>13.3</v>
      </c>
      <c r="G330" s="9">
        <v>35.180339930000002</v>
      </c>
      <c r="H330" s="9">
        <v>1.41</v>
      </c>
      <c r="I330" s="9">
        <v>22.12</v>
      </c>
      <c r="J330" s="9">
        <v>5.7099999999999998E-3</v>
      </c>
      <c r="K330" s="9">
        <v>-2.0769105539999999</v>
      </c>
      <c r="L330" s="12">
        <v>-4.1161167632100497</v>
      </c>
      <c r="M330" s="12">
        <v>2.0392062092100498</v>
      </c>
    </row>
    <row r="331" spans="2:13" x14ac:dyDescent="0.3">
      <c r="B331" s="3" t="s">
        <v>317</v>
      </c>
      <c r="C331" s="9">
        <v>1</v>
      </c>
      <c r="D331" s="9">
        <v>4</v>
      </c>
      <c r="E331" s="9">
        <v>30</v>
      </c>
      <c r="F331" s="9">
        <v>21.6</v>
      </c>
      <c r="G331" s="9">
        <v>23.824660590000001</v>
      </c>
      <c r="H331" s="9">
        <v>7.6656000000000004</v>
      </c>
      <c r="I331" s="9">
        <v>14.98</v>
      </c>
      <c r="J331" s="9">
        <v>9.1083599999999994E-3</v>
      </c>
      <c r="K331" s="9">
        <v>-0.93476288900000004</v>
      </c>
      <c r="L331" s="12">
        <v>-10.534773586605461</v>
      </c>
      <c r="M331" s="12">
        <v>9.6000106976054607</v>
      </c>
    </row>
    <row r="332" spans="2:13" x14ac:dyDescent="0.3">
      <c r="B332" s="3" t="s">
        <v>318</v>
      </c>
      <c r="C332" s="9">
        <v>1</v>
      </c>
      <c r="D332" s="9">
        <v>6</v>
      </c>
      <c r="E332" s="9">
        <v>15</v>
      </c>
      <c r="F332" s="9">
        <v>15</v>
      </c>
      <c r="G332" s="9">
        <v>38.361202489999997</v>
      </c>
      <c r="H332" s="9">
        <v>6.5609999999999999</v>
      </c>
      <c r="I332" s="9">
        <v>24.12</v>
      </c>
      <c r="J332" s="9">
        <v>6.6531000000000003E-3</v>
      </c>
      <c r="K332" s="9">
        <v>-2.089842338</v>
      </c>
      <c r="L332" s="12">
        <v>-5.3901034521194227</v>
      </c>
      <c r="M332" s="12">
        <v>3.3002611141194227</v>
      </c>
    </row>
    <row r="333" spans="2:13" x14ac:dyDescent="0.3">
      <c r="B333" s="3" t="s">
        <v>319</v>
      </c>
      <c r="C333" s="9">
        <v>1.6666666670000001</v>
      </c>
      <c r="D333" s="9">
        <v>2</v>
      </c>
      <c r="E333" s="9">
        <v>15</v>
      </c>
      <c r="F333" s="9">
        <v>7.6</v>
      </c>
      <c r="G333" s="9">
        <v>17.319796650000001</v>
      </c>
      <c r="H333" s="9">
        <v>0.81</v>
      </c>
      <c r="I333" s="9">
        <v>10.89</v>
      </c>
      <c r="J333" s="9">
        <v>3.7299999999999998E-3</v>
      </c>
      <c r="K333" s="9">
        <v>-3.5360415999999999E-2</v>
      </c>
      <c r="L333" s="12">
        <v>3.2537566008694645</v>
      </c>
      <c r="M333" s="12">
        <v>-3.2891170168694646</v>
      </c>
    </row>
    <row r="334" spans="2:13" x14ac:dyDescent="0.3">
      <c r="B334" s="3" t="s">
        <v>320</v>
      </c>
      <c r="C334" s="9">
        <v>1.6666666670000001</v>
      </c>
      <c r="D334" s="9">
        <v>1</v>
      </c>
      <c r="E334" s="9">
        <v>40</v>
      </c>
      <c r="F334" s="9">
        <v>11.7</v>
      </c>
      <c r="G334" s="9">
        <v>4.5645377759999999</v>
      </c>
      <c r="H334" s="9">
        <v>2.16</v>
      </c>
      <c r="I334" s="9">
        <v>2.87</v>
      </c>
      <c r="J334" s="9">
        <v>8.7799999999999996E-3</v>
      </c>
      <c r="K334" s="9">
        <v>5.5437030040000002</v>
      </c>
      <c r="L334" s="12">
        <v>12.098658734365625</v>
      </c>
      <c r="M334" s="12">
        <v>-6.5549557303656245</v>
      </c>
    </row>
    <row r="335" spans="2:13" x14ac:dyDescent="0.3">
      <c r="B335" s="3" t="s">
        <v>321</v>
      </c>
      <c r="C335" s="9">
        <v>1.6666666670000001</v>
      </c>
      <c r="D335" s="9">
        <v>1</v>
      </c>
      <c r="E335" s="9">
        <v>30</v>
      </c>
      <c r="F335" s="9">
        <v>9.9</v>
      </c>
      <c r="G335" s="9">
        <v>5.8368828009999998</v>
      </c>
      <c r="H335" s="9">
        <v>1.62</v>
      </c>
      <c r="I335" s="9">
        <v>3.67</v>
      </c>
      <c r="J335" s="9">
        <v>6.9100000000000003E-3</v>
      </c>
      <c r="K335" s="9">
        <v>4.1449157789999997</v>
      </c>
      <c r="L335" s="12">
        <v>9.1252142641745841</v>
      </c>
      <c r="M335" s="12">
        <v>-4.9802984851745844</v>
      </c>
    </row>
    <row r="336" spans="2:13" x14ac:dyDescent="0.3">
      <c r="B336" s="3" t="s">
        <v>322</v>
      </c>
      <c r="C336" s="9">
        <v>1</v>
      </c>
      <c r="D336" s="9">
        <v>6</v>
      </c>
      <c r="E336" s="9">
        <v>20</v>
      </c>
      <c r="F336" s="9">
        <v>8.4</v>
      </c>
      <c r="G336" s="9">
        <v>9.3676402440000004</v>
      </c>
      <c r="H336" s="9">
        <v>7.0444000000000004</v>
      </c>
      <c r="I336" s="9">
        <v>5.89</v>
      </c>
      <c r="J336" s="9">
        <v>7.5770400000000002E-3</v>
      </c>
      <c r="K336" s="9">
        <v>2.0836467700000001</v>
      </c>
      <c r="L336" s="12">
        <v>6.8549391120008139</v>
      </c>
      <c r="M336" s="12">
        <v>-4.7712923420008142</v>
      </c>
    </row>
    <row r="337" spans="2:13" x14ac:dyDescent="0.3">
      <c r="B337" s="3" t="s">
        <v>323</v>
      </c>
      <c r="C337" s="9">
        <v>0.6</v>
      </c>
      <c r="D337" s="9">
        <v>1</v>
      </c>
      <c r="E337" s="9">
        <v>10</v>
      </c>
      <c r="F337" s="9">
        <v>8</v>
      </c>
      <c r="G337" s="9">
        <v>23.458861389999999</v>
      </c>
      <c r="H337" s="9">
        <v>0.94</v>
      </c>
      <c r="I337" s="9">
        <v>14.75</v>
      </c>
      <c r="J337" s="9">
        <v>4.0000000000000001E-3</v>
      </c>
      <c r="K337" s="9">
        <v>-0.69154026300000004</v>
      </c>
      <c r="L337" s="12">
        <v>2.0927641936861363</v>
      </c>
      <c r="M337" s="12">
        <v>-2.7843044566861366</v>
      </c>
    </row>
    <row r="338" spans="2:13" x14ac:dyDescent="0.3">
      <c r="B338" s="3" t="s">
        <v>324</v>
      </c>
      <c r="C338" s="9">
        <v>1.6666666670000001</v>
      </c>
      <c r="D338" s="9">
        <v>1</v>
      </c>
      <c r="E338" s="9">
        <v>30</v>
      </c>
      <c r="F338" s="9">
        <v>16.5</v>
      </c>
      <c r="G338" s="9">
        <v>19.276027119999998</v>
      </c>
      <c r="H338" s="9">
        <v>1.62</v>
      </c>
      <c r="I338" s="9">
        <v>12.12</v>
      </c>
      <c r="J338" s="9">
        <v>6.9100000000000003E-3</v>
      </c>
      <c r="K338" s="9">
        <v>-0.43982358500000002</v>
      </c>
      <c r="L338" s="12">
        <v>-2.0568528631936509</v>
      </c>
      <c r="M338" s="12">
        <v>1.6170292781936508</v>
      </c>
    </row>
    <row r="339" spans="2:13" x14ac:dyDescent="0.3">
      <c r="B339" s="3" t="s">
        <v>325</v>
      </c>
      <c r="C339" s="9">
        <v>1</v>
      </c>
      <c r="D339" s="9">
        <v>1</v>
      </c>
      <c r="E339" s="9">
        <v>40</v>
      </c>
      <c r="F339" s="9">
        <v>20.5</v>
      </c>
      <c r="G339" s="9">
        <v>19.085175370000002</v>
      </c>
      <c r="H339" s="9">
        <v>7.9885999999999999</v>
      </c>
      <c r="I339" s="9">
        <v>12</v>
      </c>
      <c r="J339" s="9">
        <v>1.0389860000000001E-2</v>
      </c>
      <c r="K339" s="9">
        <v>-0.46995494300000001</v>
      </c>
      <c r="L339" s="12">
        <v>2.4226446126600791</v>
      </c>
      <c r="M339" s="12">
        <v>-2.892599555660079</v>
      </c>
    </row>
    <row r="340" spans="2:13" x14ac:dyDescent="0.3">
      <c r="B340" s="3" t="s">
        <v>326</v>
      </c>
      <c r="C340" s="9">
        <v>0.6</v>
      </c>
      <c r="D340" s="9">
        <v>4</v>
      </c>
      <c r="E340" s="9">
        <v>30</v>
      </c>
      <c r="F340" s="9">
        <v>9.9</v>
      </c>
      <c r="G340" s="9">
        <v>9.6062049369999993</v>
      </c>
      <c r="H340" s="9">
        <v>2.82</v>
      </c>
      <c r="I340" s="9">
        <v>6.04</v>
      </c>
      <c r="J340" s="9">
        <v>9.2599999999999991E-3</v>
      </c>
      <c r="K340" s="9">
        <v>3.2192976660000001</v>
      </c>
      <c r="L340" s="12">
        <v>7.7141110848590699</v>
      </c>
      <c r="M340" s="12">
        <v>-4.4948134188590698</v>
      </c>
    </row>
    <row r="341" spans="2:13" x14ac:dyDescent="0.3">
      <c r="B341" s="3" t="s">
        <v>327</v>
      </c>
      <c r="C341" s="9">
        <v>1.6666666670000001</v>
      </c>
      <c r="D341" s="9">
        <v>1</v>
      </c>
      <c r="E341" s="9">
        <v>20</v>
      </c>
      <c r="F341" s="9">
        <v>6.9</v>
      </c>
      <c r="G341" s="9">
        <v>4.2464515199999999</v>
      </c>
      <c r="H341" s="9">
        <v>1.08</v>
      </c>
      <c r="I341" s="9">
        <v>2.67</v>
      </c>
      <c r="J341" s="9">
        <v>4.8399999999999997E-3</v>
      </c>
      <c r="K341" s="9">
        <v>4.0256389969999997</v>
      </c>
      <c r="L341" s="12">
        <v>7.3008397958564828</v>
      </c>
      <c r="M341" s="12">
        <v>-3.2752007988564831</v>
      </c>
    </row>
    <row r="342" spans="2:13" x14ac:dyDescent="0.3">
      <c r="B342" s="3" t="s">
        <v>328</v>
      </c>
      <c r="C342" s="9">
        <v>1</v>
      </c>
      <c r="D342" s="9">
        <v>2</v>
      </c>
      <c r="E342" s="9">
        <v>30</v>
      </c>
      <c r="F342" s="9">
        <v>18</v>
      </c>
      <c r="G342" s="9">
        <v>19.482783189999999</v>
      </c>
      <c r="H342" s="9">
        <v>7.6656000000000004</v>
      </c>
      <c r="I342" s="9">
        <v>12.25</v>
      </c>
      <c r="J342" s="9">
        <v>9.1083599999999994E-3</v>
      </c>
      <c r="K342" s="9">
        <v>-0.41852302299999999</v>
      </c>
      <c r="L342" s="12">
        <v>-6.3413324965512672</v>
      </c>
      <c r="M342" s="12">
        <v>5.9228094735512675</v>
      </c>
    </row>
    <row r="343" spans="2:13" x14ac:dyDescent="0.3">
      <c r="B343" s="3" t="s">
        <v>329</v>
      </c>
      <c r="C343" s="9">
        <v>1.6666666670000001</v>
      </c>
      <c r="D343" s="9">
        <v>4</v>
      </c>
      <c r="E343" s="9">
        <v>15</v>
      </c>
      <c r="F343" s="9">
        <v>7.6</v>
      </c>
      <c r="G343" s="9">
        <v>20.96188428</v>
      </c>
      <c r="H343" s="9">
        <v>0.81</v>
      </c>
      <c r="I343" s="9">
        <v>13.18</v>
      </c>
      <c r="J343" s="9">
        <v>3.7299999999999998E-3</v>
      </c>
      <c r="K343" s="9">
        <v>-0.97586096700000002</v>
      </c>
      <c r="L343" s="12">
        <v>4.4515399233378181</v>
      </c>
      <c r="M343" s="12">
        <v>-5.4274008903378181</v>
      </c>
    </row>
    <row r="344" spans="2:13" x14ac:dyDescent="0.3">
      <c r="B344" s="3" t="s">
        <v>330</v>
      </c>
      <c r="C344" s="9">
        <v>1</v>
      </c>
      <c r="D344" s="9">
        <v>1</v>
      </c>
      <c r="E344" s="9">
        <v>30</v>
      </c>
      <c r="F344" s="9">
        <v>21.6</v>
      </c>
      <c r="G344" s="9">
        <v>23.315722579999999</v>
      </c>
      <c r="H344" s="9">
        <v>7.6656000000000004</v>
      </c>
      <c r="I344" s="9">
        <v>14.66</v>
      </c>
      <c r="J344" s="9">
        <v>9.1083599999999994E-3</v>
      </c>
      <c r="K344" s="9">
        <v>-0.85257913900000004</v>
      </c>
      <c r="L344" s="12">
        <v>-6.1539006560396317</v>
      </c>
      <c r="M344" s="12">
        <v>5.3013215170396313</v>
      </c>
    </row>
    <row r="345" spans="2:13" x14ac:dyDescent="0.3">
      <c r="B345" s="3" t="s">
        <v>331</v>
      </c>
      <c r="C345" s="9">
        <v>1.6666666670000001</v>
      </c>
      <c r="D345" s="9">
        <v>1</v>
      </c>
      <c r="E345" s="9">
        <v>10</v>
      </c>
      <c r="F345" s="9">
        <v>6.4</v>
      </c>
      <c r="G345" s="9">
        <v>10.52865508</v>
      </c>
      <c r="H345" s="9">
        <v>0.54</v>
      </c>
      <c r="I345" s="9">
        <v>6.62</v>
      </c>
      <c r="J345" s="9">
        <v>2.5500000000000002E-3</v>
      </c>
      <c r="K345" s="9">
        <v>0.77738944300000001</v>
      </c>
      <c r="L345" s="12">
        <v>-3.2519474646302755</v>
      </c>
      <c r="M345" s="12">
        <v>4.0293369076302756</v>
      </c>
    </row>
    <row r="346" spans="2:13" x14ac:dyDescent="0.3">
      <c r="B346" s="3" t="s">
        <v>332</v>
      </c>
      <c r="C346" s="9">
        <v>0.6</v>
      </c>
      <c r="D346" s="9">
        <v>4</v>
      </c>
      <c r="E346" s="9">
        <v>30</v>
      </c>
      <c r="F346" s="9">
        <v>3.3</v>
      </c>
      <c r="G346" s="9">
        <v>0</v>
      </c>
      <c r="H346" s="9">
        <v>2.82</v>
      </c>
      <c r="I346" s="9">
        <v>0</v>
      </c>
      <c r="J346" s="9">
        <v>9.2599999999999991E-3</v>
      </c>
      <c r="K346" s="9">
        <v>42.17996368</v>
      </c>
      <c r="L346" s="12">
        <v>33.398444294899491</v>
      </c>
      <c r="M346" s="12">
        <v>8.7815193851005091</v>
      </c>
    </row>
    <row r="347" spans="2:13" x14ac:dyDescent="0.3">
      <c r="B347" s="3" t="s">
        <v>333</v>
      </c>
      <c r="C347" s="9">
        <v>1.6666666670000001</v>
      </c>
      <c r="D347" s="9">
        <v>2</v>
      </c>
      <c r="E347" s="9">
        <v>40</v>
      </c>
      <c r="F347" s="9">
        <v>23.4</v>
      </c>
      <c r="G347" s="9">
        <v>25.351474620000001</v>
      </c>
      <c r="H347" s="9">
        <v>2.16</v>
      </c>
      <c r="I347" s="9">
        <v>15.94</v>
      </c>
      <c r="J347" s="9">
        <v>8.7799999999999996E-3</v>
      </c>
      <c r="K347" s="9">
        <v>-1.760697875</v>
      </c>
      <c r="L347" s="12">
        <v>7.5118597866303816E-2</v>
      </c>
      <c r="M347" s="12">
        <v>-1.8358164728663038</v>
      </c>
    </row>
    <row r="348" spans="2:13" x14ac:dyDescent="0.3">
      <c r="B348" s="3" t="s">
        <v>334</v>
      </c>
      <c r="C348" s="9">
        <v>1.6666666670000001</v>
      </c>
      <c r="D348" s="9">
        <v>4</v>
      </c>
      <c r="E348" s="9">
        <v>15</v>
      </c>
      <c r="F348" s="9">
        <v>11.4</v>
      </c>
      <c r="G348" s="9">
        <v>35.243957180000002</v>
      </c>
      <c r="H348" s="9">
        <v>0.81</v>
      </c>
      <c r="I348" s="9">
        <v>22.16</v>
      </c>
      <c r="J348" s="9">
        <v>3.7299999999999998E-3</v>
      </c>
      <c r="K348" s="9">
        <v>-2.8403377810000001</v>
      </c>
      <c r="L348" s="12">
        <v>-2.1634533709313795</v>
      </c>
      <c r="M348" s="12">
        <v>-0.67688441006862066</v>
      </c>
    </row>
    <row r="349" spans="2:13" x14ac:dyDescent="0.3">
      <c r="B349" s="3" t="s">
        <v>335</v>
      </c>
      <c r="C349" s="9">
        <v>0.6</v>
      </c>
      <c r="D349" s="9">
        <v>1</v>
      </c>
      <c r="E349" s="9">
        <v>20</v>
      </c>
      <c r="F349" s="9">
        <v>13.8</v>
      </c>
      <c r="G349" s="9">
        <v>9.4312574960000006</v>
      </c>
      <c r="H349" s="9">
        <v>1.88</v>
      </c>
      <c r="I349" s="9">
        <v>5.93</v>
      </c>
      <c r="J349" s="9">
        <v>6.9699999999999996E-3</v>
      </c>
      <c r="K349" s="9">
        <v>0.74847490299999997</v>
      </c>
      <c r="L349" s="12">
        <v>-14.770152063961064</v>
      </c>
      <c r="M349" s="12">
        <v>15.518626966961063</v>
      </c>
    </row>
    <row r="350" spans="2:13" x14ac:dyDescent="0.3">
      <c r="B350" s="3" t="s">
        <v>336</v>
      </c>
      <c r="C350" s="9">
        <v>0.6</v>
      </c>
      <c r="D350" s="9">
        <v>4</v>
      </c>
      <c r="E350" s="9">
        <v>15</v>
      </c>
      <c r="F350" s="9">
        <v>11.4</v>
      </c>
      <c r="G350" s="9">
        <v>31.124740169999999</v>
      </c>
      <c r="H350" s="9">
        <v>1.41</v>
      </c>
      <c r="I350" s="9">
        <v>19.57</v>
      </c>
      <c r="J350" s="9">
        <v>5.7099999999999998E-3</v>
      </c>
      <c r="K350" s="9">
        <v>-2.0207167140000002</v>
      </c>
      <c r="L350" s="12">
        <v>-1.5915254357948125</v>
      </c>
      <c r="M350" s="12">
        <v>-0.42919127820518765</v>
      </c>
    </row>
    <row r="351" spans="2:13" x14ac:dyDescent="0.3">
      <c r="B351" s="3" t="s">
        <v>337</v>
      </c>
      <c r="C351" s="9">
        <v>0.6</v>
      </c>
      <c r="D351" s="9">
        <v>1</v>
      </c>
      <c r="E351" s="9">
        <v>15</v>
      </c>
      <c r="F351" s="9">
        <v>9.5</v>
      </c>
      <c r="G351" s="9">
        <v>7.8408262149999999</v>
      </c>
      <c r="H351" s="9">
        <v>1.41</v>
      </c>
      <c r="I351" s="9">
        <v>4.93</v>
      </c>
      <c r="J351" s="9">
        <v>5.7099999999999998E-3</v>
      </c>
      <c r="K351" s="9">
        <v>1.006996979</v>
      </c>
      <c r="L351" s="12">
        <v>-7.3093800181157516</v>
      </c>
      <c r="M351" s="12">
        <v>8.3163769971157517</v>
      </c>
    </row>
    <row r="352" spans="2:13" x14ac:dyDescent="0.3">
      <c r="B352" s="3" t="s">
        <v>338</v>
      </c>
      <c r="C352" s="9">
        <v>1.6666666670000001</v>
      </c>
      <c r="D352" s="9">
        <v>4</v>
      </c>
      <c r="E352" s="9">
        <v>30</v>
      </c>
      <c r="F352" s="9">
        <v>6.6</v>
      </c>
      <c r="G352" s="9">
        <v>4.0078868280000002</v>
      </c>
      <c r="H352" s="9">
        <v>1.62</v>
      </c>
      <c r="I352" s="9">
        <v>2.52</v>
      </c>
      <c r="J352" s="9">
        <v>6.9100000000000003E-3</v>
      </c>
      <c r="K352" s="9">
        <v>9.9702820929999998</v>
      </c>
      <c r="L352" s="12">
        <v>18.446191628988363</v>
      </c>
      <c r="M352" s="12">
        <v>-8.4759095359883627</v>
      </c>
    </row>
    <row r="353" spans="2:13" x14ac:dyDescent="0.3">
      <c r="B353" s="3" t="s">
        <v>339</v>
      </c>
      <c r="C353" s="9">
        <v>1.6666666670000001</v>
      </c>
      <c r="D353" s="9">
        <v>4</v>
      </c>
      <c r="E353" s="9">
        <v>60</v>
      </c>
      <c r="F353" s="9">
        <v>27.6</v>
      </c>
      <c r="G353" s="9">
        <v>4.7553895300000004</v>
      </c>
      <c r="H353" s="9">
        <v>3.24</v>
      </c>
      <c r="I353" s="9">
        <v>2.99</v>
      </c>
      <c r="J353" s="9">
        <v>1.205E-2</v>
      </c>
      <c r="K353" s="9">
        <v>2.2269295659999999</v>
      </c>
      <c r="L353" s="12">
        <v>-2.0921422715290703</v>
      </c>
      <c r="M353" s="12">
        <v>4.3190718375290702</v>
      </c>
    </row>
    <row r="354" spans="2:13" x14ac:dyDescent="0.3">
      <c r="B354" s="3" t="s">
        <v>340</v>
      </c>
      <c r="C354" s="9">
        <v>1.6666666670000001</v>
      </c>
      <c r="D354" s="9">
        <v>1</v>
      </c>
      <c r="E354" s="9">
        <v>15</v>
      </c>
      <c r="F354" s="9">
        <v>9.5</v>
      </c>
      <c r="G354" s="9">
        <v>13.32781413</v>
      </c>
      <c r="H354" s="9">
        <v>0.81</v>
      </c>
      <c r="I354" s="9">
        <v>8.3800000000000008</v>
      </c>
      <c r="J354" s="9">
        <v>3.7299999999999998E-3</v>
      </c>
      <c r="K354" s="9">
        <v>0.50555047600000003</v>
      </c>
      <c r="L354" s="12">
        <v>-5.8948037150546364</v>
      </c>
      <c r="M354" s="12">
        <v>6.4003541910546362</v>
      </c>
    </row>
    <row r="355" spans="2:13" x14ac:dyDescent="0.3">
      <c r="B355" s="3" t="s">
        <v>341</v>
      </c>
      <c r="C355" s="9">
        <v>1</v>
      </c>
      <c r="D355" s="9">
        <v>1</v>
      </c>
      <c r="E355" s="9">
        <v>40</v>
      </c>
      <c r="F355" s="9">
        <v>12.3</v>
      </c>
      <c r="G355" s="9">
        <v>5.2802318530000001</v>
      </c>
      <c r="H355" s="9">
        <v>7.9885999999999999</v>
      </c>
      <c r="I355" s="9">
        <v>3.32</v>
      </c>
      <c r="J355" s="9">
        <v>1.0389860000000001E-2</v>
      </c>
      <c r="K355" s="9">
        <v>5.0115716990000001</v>
      </c>
      <c r="L355" s="12">
        <v>11.573476954396774</v>
      </c>
      <c r="M355" s="12">
        <v>-6.5619052553967743</v>
      </c>
    </row>
    <row r="356" spans="2:13" x14ac:dyDescent="0.3">
      <c r="B356" s="3" t="s">
        <v>342</v>
      </c>
      <c r="C356" s="9">
        <v>0.6</v>
      </c>
      <c r="D356" s="9">
        <v>6</v>
      </c>
      <c r="E356" s="9">
        <v>10</v>
      </c>
      <c r="F356" s="9">
        <v>11.45</v>
      </c>
      <c r="G356" s="9">
        <v>40.492380410000003</v>
      </c>
      <c r="H356" s="9">
        <v>0.94</v>
      </c>
      <c r="I356" s="9">
        <v>25.46</v>
      </c>
      <c r="J356" s="9">
        <v>4.00002E-3</v>
      </c>
      <c r="K356" s="9">
        <v>-1.7764017999999999</v>
      </c>
      <c r="L356" s="12">
        <v>-1.8792395543108382</v>
      </c>
      <c r="M356" s="12">
        <v>0.1028377543108383</v>
      </c>
    </row>
    <row r="357" spans="2:13" x14ac:dyDescent="0.3">
      <c r="B357" s="3" t="s">
        <v>343</v>
      </c>
      <c r="C357" s="9">
        <v>1</v>
      </c>
      <c r="D357" s="9">
        <v>1</v>
      </c>
      <c r="E357" s="9">
        <v>20</v>
      </c>
      <c r="F357" s="9">
        <v>2.8</v>
      </c>
      <c r="G357" s="9">
        <v>0</v>
      </c>
      <c r="H357" s="9">
        <v>7.0444000000000004</v>
      </c>
      <c r="I357" s="9">
        <v>0</v>
      </c>
      <c r="J357" s="9">
        <v>7.5770400000000002E-3</v>
      </c>
      <c r="K357" s="9">
        <v>26.70337305</v>
      </c>
      <c r="L357" s="12">
        <v>29.576604019810013</v>
      </c>
      <c r="M357" s="12">
        <v>-2.8732309698100131</v>
      </c>
    </row>
    <row r="358" spans="2:13" x14ac:dyDescent="0.3">
      <c r="B358" s="3" t="s">
        <v>344</v>
      </c>
      <c r="C358" s="9">
        <v>1.6666666670000001</v>
      </c>
      <c r="D358" s="9">
        <v>1</v>
      </c>
      <c r="E358" s="9">
        <v>20</v>
      </c>
      <c r="F358" s="9">
        <v>17.3</v>
      </c>
      <c r="G358" s="9">
        <v>25.22424011</v>
      </c>
      <c r="H358" s="9">
        <v>1.08</v>
      </c>
      <c r="I358" s="9">
        <v>15.86</v>
      </c>
      <c r="J358" s="9">
        <v>4.8399999999999997E-3</v>
      </c>
      <c r="K358" s="9">
        <v>-0.79041952299999996</v>
      </c>
      <c r="L358" s="12">
        <v>-14.002022147938881</v>
      </c>
      <c r="M358" s="12">
        <v>13.21160262493888</v>
      </c>
    </row>
    <row r="359" spans="2:13" x14ac:dyDescent="0.3">
      <c r="B359" s="3" t="s">
        <v>345</v>
      </c>
      <c r="C359" s="9">
        <v>1.6666666670000001</v>
      </c>
      <c r="D359" s="9">
        <v>2</v>
      </c>
      <c r="E359" s="9">
        <v>30</v>
      </c>
      <c r="F359" s="9">
        <v>6.6</v>
      </c>
      <c r="G359" s="9">
        <v>4.3577817100000003</v>
      </c>
      <c r="H359" s="9">
        <v>1.62</v>
      </c>
      <c r="I359" s="9">
        <v>2.74</v>
      </c>
      <c r="J359" s="9">
        <v>6.9100000000000003E-3</v>
      </c>
      <c r="K359" s="9">
        <v>9.8655559250000007</v>
      </c>
      <c r="L359" s="12">
        <v>20.462919085977877</v>
      </c>
      <c r="M359" s="12">
        <v>-10.597363160977876</v>
      </c>
    </row>
    <row r="360" spans="2:13" x14ac:dyDescent="0.3">
      <c r="B360" s="3" t="s">
        <v>346</v>
      </c>
      <c r="C360" s="9">
        <v>1.6666666670000001</v>
      </c>
      <c r="D360" s="9">
        <v>2</v>
      </c>
      <c r="E360" s="9">
        <v>40</v>
      </c>
      <c r="F360" s="9">
        <v>7.8</v>
      </c>
      <c r="G360" s="9">
        <v>3.435331567</v>
      </c>
      <c r="H360" s="9">
        <v>2.16</v>
      </c>
      <c r="I360" s="9">
        <v>2.16</v>
      </c>
      <c r="J360" s="9">
        <v>8.7799999999999996E-3</v>
      </c>
      <c r="K360" s="9">
        <v>12.884717520000001</v>
      </c>
      <c r="L360" s="12">
        <v>25.015859983714275</v>
      </c>
      <c r="M360" s="12">
        <v>-12.131142463714275</v>
      </c>
    </row>
    <row r="361" spans="2:13" x14ac:dyDescent="0.3">
      <c r="B361" s="3" t="s">
        <v>347</v>
      </c>
      <c r="C361" s="9">
        <v>0.6</v>
      </c>
      <c r="D361" s="9">
        <v>6</v>
      </c>
      <c r="E361" s="9">
        <v>60</v>
      </c>
      <c r="F361" s="9">
        <v>9.1999999999999993</v>
      </c>
      <c r="G361" s="9">
        <v>0</v>
      </c>
      <c r="H361" s="9">
        <v>5.64</v>
      </c>
      <c r="I361" s="9">
        <v>0</v>
      </c>
      <c r="J361" s="9">
        <v>1.378998E-2</v>
      </c>
      <c r="K361" s="9">
        <v>21.707930269999999</v>
      </c>
      <c r="L361" s="12">
        <v>34.83138522753859</v>
      </c>
      <c r="M361" s="12">
        <v>-13.123454957538591</v>
      </c>
    </row>
    <row r="362" spans="2:13" x14ac:dyDescent="0.3">
      <c r="B362" s="3" t="s">
        <v>348</v>
      </c>
      <c r="C362" s="9">
        <v>1</v>
      </c>
      <c r="D362" s="9">
        <v>2</v>
      </c>
      <c r="E362" s="9">
        <v>30</v>
      </c>
      <c r="F362" s="9">
        <v>7.2</v>
      </c>
      <c r="G362" s="9">
        <v>3.2126711870000002</v>
      </c>
      <c r="H362" s="9">
        <v>7.6656000000000004</v>
      </c>
      <c r="I362" s="9">
        <v>2.02</v>
      </c>
      <c r="J362" s="9">
        <v>9.1083599999999994E-3</v>
      </c>
      <c r="K362" s="9">
        <v>8.7683623470000001</v>
      </c>
      <c r="L362" s="12">
        <v>18.421407271423689</v>
      </c>
      <c r="M362" s="12">
        <v>-9.6530449244236891</v>
      </c>
    </row>
    <row r="363" spans="2:13" x14ac:dyDescent="0.3">
      <c r="B363" s="3" t="s">
        <v>349</v>
      </c>
      <c r="C363" s="9">
        <v>0.6</v>
      </c>
      <c r="D363" s="9">
        <v>6</v>
      </c>
      <c r="E363" s="9">
        <v>40</v>
      </c>
      <c r="F363" s="9">
        <v>23.4</v>
      </c>
      <c r="G363" s="9">
        <v>11.26025347</v>
      </c>
      <c r="H363" s="9">
        <v>3.76</v>
      </c>
      <c r="I363" s="9">
        <v>7.08</v>
      </c>
      <c r="J363" s="9">
        <v>9.2599799999999993E-3</v>
      </c>
      <c r="K363" s="9">
        <v>0.84977663699999995</v>
      </c>
      <c r="L363" s="12">
        <v>-8.2587690991519267</v>
      </c>
      <c r="M363" s="12">
        <v>9.1085457361519264</v>
      </c>
    </row>
    <row r="364" spans="2:13" x14ac:dyDescent="0.3">
      <c r="B364" s="3" t="s">
        <v>350</v>
      </c>
      <c r="C364" s="9">
        <v>0.6</v>
      </c>
      <c r="D364" s="9">
        <v>1</v>
      </c>
      <c r="E364" s="9">
        <v>20</v>
      </c>
      <c r="F364" s="9">
        <v>16.2</v>
      </c>
      <c r="G364" s="9">
        <v>15.42718342</v>
      </c>
      <c r="H364" s="9">
        <v>1.88</v>
      </c>
      <c r="I364" s="9">
        <v>9.6999999999999993</v>
      </c>
      <c r="J364" s="9">
        <v>6.9699999999999996E-3</v>
      </c>
      <c r="K364" s="9">
        <v>0.14974278899999999</v>
      </c>
      <c r="L364" s="12">
        <v>-16.708172126884449</v>
      </c>
      <c r="M364" s="12">
        <v>16.85791491588445</v>
      </c>
    </row>
    <row r="365" spans="2:13" x14ac:dyDescent="0.3">
      <c r="B365" s="3" t="s">
        <v>351</v>
      </c>
      <c r="C365" s="9">
        <v>0.6</v>
      </c>
      <c r="D365" s="9">
        <v>6</v>
      </c>
      <c r="E365" s="9">
        <v>40</v>
      </c>
      <c r="F365" s="9">
        <v>11.7</v>
      </c>
      <c r="G365" s="9">
        <v>4.6758679660000002</v>
      </c>
      <c r="H365" s="9">
        <v>3.76</v>
      </c>
      <c r="I365" s="9">
        <v>2.94</v>
      </c>
      <c r="J365" s="9">
        <v>9.2599799999999993E-3</v>
      </c>
      <c r="K365" s="9">
        <v>5.5228813810000004</v>
      </c>
      <c r="L365" s="12">
        <v>12.084605854294452</v>
      </c>
      <c r="M365" s="12">
        <v>-6.5617244732944515</v>
      </c>
    </row>
    <row r="366" spans="2:13" x14ac:dyDescent="0.3">
      <c r="B366" s="3" t="s">
        <v>352</v>
      </c>
      <c r="C366" s="9">
        <v>0.6</v>
      </c>
      <c r="D366" s="9">
        <v>4</v>
      </c>
      <c r="E366" s="9">
        <v>40</v>
      </c>
      <c r="F366" s="9">
        <v>11.7</v>
      </c>
      <c r="G366" s="9">
        <v>5.6460310470000001</v>
      </c>
      <c r="H366" s="9">
        <v>3.76</v>
      </c>
      <c r="I366" s="9">
        <v>3.55</v>
      </c>
      <c r="J366" s="9">
        <v>9.2599999999999991E-3</v>
      </c>
      <c r="K366" s="9">
        <v>5.3201994929999996</v>
      </c>
      <c r="L366" s="12">
        <v>8.7329291875633643</v>
      </c>
      <c r="M366" s="12">
        <v>-3.4127296945633647</v>
      </c>
    </row>
    <row r="367" spans="2:13" x14ac:dyDescent="0.3">
      <c r="B367" s="3" t="s">
        <v>353</v>
      </c>
      <c r="C367" s="9">
        <v>1</v>
      </c>
      <c r="D367" s="9">
        <v>1</v>
      </c>
      <c r="E367" s="9">
        <v>60</v>
      </c>
      <c r="F367" s="9">
        <v>23.5</v>
      </c>
      <c r="G367" s="9">
        <v>10.830837020000001</v>
      </c>
      <c r="H367" s="9">
        <v>7.9885999999999999</v>
      </c>
      <c r="I367" s="9">
        <v>6.81</v>
      </c>
      <c r="J367" s="9">
        <v>1.2535019999999999E-2</v>
      </c>
      <c r="K367" s="9">
        <v>2.0538924930000002</v>
      </c>
      <c r="L367" s="12">
        <v>6.3399580027564326</v>
      </c>
      <c r="M367" s="12">
        <v>-4.2860655097564324</v>
      </c>
    </row>
    <row r="368" spans="2:13" x14ac:dyDescent="0.3">
      <c r="B368" s="3" t="s">
        <v>354</v>
      </c>
      <c r="C368" s="9">
        <v>0.6</v>
      </c>
      <c r="D368" s="9">
        <v>2</v>
      </c>
      <c r="E368" s="9">
        <v>10</v>
      </c>
      <c r="F368" s="9">
        <v>3.2</v>
      </c>
      <c r="G368" s="9">
        <v>4.0874083920000004</v>
      </c>
      <c r="H368" s="9">
        <v>0.94</v>
      </c>
      <c r="I368" s="9">
        <v>2.57</v>
      </c>
      <c r="J368" s="9">
        <v>4.0000000000000001E-3</v>
      </c>
      <c r="K368" s="9">
        <v>4.701629853</v>
      </c>
      <c r="L368" s="12">
        <v>9.143723255180344</v>
      </c>
      <c r="M368" s="12">
        <v>-4.442093402180344</v>
      </c>
    </row>
    <row r="369" spans="2:13" x14ac:dyDescent="0.3">
      <c r="B369" s="3" t="s">
        <v>355</v>
      </c>
      <c r="C369" s="9">
        <v>1.6666666670000001</v>
      </c>
      <c r="D369" s="9">
        <v>4</v>
      </c>
      <c r="E369" s="9">
        <v>60</v>
      </c>
      <c r="F369" s="9">
        <v>23</v>
      </c>
      <c r="G369" s="9">
        <v>3.7216091969999998</v>
      </c>
      <c r="H369" s="9">
        <v>3.24</v>
      </c>
      <c r="I369" s="9">
        <v>2.34</v>
      </c>
      <c r="J369" s="9">
        <v>1.205E-2</v>
      </c>
      <c r="K369" s="9">
        <v>3.310049851</v>
      </c>
      <c r="L369" s="12">
        <v>-2.4676266773664328</v>
      </c>
      <c r="M369" s="12">
        <v>5.7776765283664329</v>
      </c>
    </row>
    <row r="370" spans="2:13" x14ac:dyDescent="0.3">
      <c r="B370" s="3" t="s">
        <v>356</v>
      </c>
      <c r="C370" s="9">
        <v>1</v>
      </c>
      <c r="D370" s="9">
        <v>4</v>
      </c>
      <c r="E370" s="9">
        <v>40</v>
      </c>
      <c r="F370" s="9">
        <v>24.6</v>
      </c>
      <c r="G370" s="9">
        <v>13.64590039</v>
      </c>
      <c r="H370" s="9">
        <v>7.9885999999999999</v>
      </c>
      <c r="I370" s="9">
        <v>8.58</v>
      </c>
      <c r="J370" s="9">
        <v>1.0389880000000001E-2</v>
      </c>
      <c r="K370" s="9">
        <v>0.50952255800000001</v>
      </c>
      <c r="L370" s="12">
        <v>-10.381793176312087</v>
      </c>
      <c r="M370" s="12">
        <v>10.891315734312087</v>
      </c>
    </row>
    <row r="371" spans="2:13" x14ac:dyDescent="0.3">
      <c r="B371" s="3" t="s">
        <v>357</v>
      </c>
      <c r="C371" s="9">
        <v>0.6</v>
      </c>
      <c r="D371" s="9">
        <v>2</v>
      </c>
      <c r="E371" s="9">
        <v>20</v>
      </c>
      <c r="F371" s="9">
        <v>4.5999999999999996</v>
      </c>
      <c r="G371" s="9">
        <v>3.4194272539999999</v>
      </c>
      <c r="H371" s="9">
        <v>1.88</v>
      </c>
      <c r="I371" s="9">
        <v>2.15</v>
      </c>
      <c r="J371" s="9">
        <v>6.9699999999999996E-3</v>
      </c>
      <c r="K371" s="9">
        <v>9.2652205980000009</v>
      </c>
      <c r="L371" s="12">
        <v>18.287138186732541</v>
      </c>
      <c r="M371" s="12">
        <v>-9.0219175887325402</v>
      </c>
    </row>
    <row r="372" spans="2:13" x14ac:dyDescent="0.3">
      <c r="B372" s="3" t="s">
        <v>358</v>
      </c>
      <c r="C372" s="9">
        <v>1.6666666670000001</v>
      </c>
      <c r="D372" s="9">
        <v>4</v>
      </c>
      <c r="E372" s="9">
        <v>40</v>
      </c>
      <c r="F372" s="9">
        <v>26.9</v>
      </c>
      <c r="G372" s="9">
        <v>23.204392389999999</v>
      </c>
      <c r="H372" s="9">
        <v>2.16</v>
      </c>
      <c r="I372" s="9">
        <v>14.59</v>
      </c>
      <c r="J372" s="9">
        <v>8.7799999999999996E-3</v>
      </c>
      <c r="K372" s="9">
        <v>-0.93315115599999998</v>
      </c>
      <c r="L372" s="12">
        <v>-3.8115367462439913</v>
      </c>
      <c r="M372" s="12">
        <v>2.8783855902439912</v>
      </c>
    </row>
    <row r="373" spans="2:13" x14ac:dyDescent="0.3">
      <c r="B373" s="3" t="s">
        <v>359</v>
      </c>
      <c r="C373" s="9">
        <v>0.6</v>
      </c>
      <c r="D373" s="9">
        <v>4</v>
      </c>
      <c r="E373" s="9">
        <v>10</v>
      </c>
      <c r="F373" s="9">
        <v>1.6</v>
      </c>
      <c r="G373" s="9">
        <v>0</v>
      </c>
      <c r="H373" s="9">
        <v>0.94</v>
      </c>
      <c r="I373" s="9">
        <v>0</v>
      </c>
      <c r="J373" s="9">
        <v>4.0000000000000001E-3</v>
      </c>
      <c r="K373" s="9">
        <v>19.93662346</v>
      </c>
      <c r="L373" s="12">
        <v>13.799440722928956</v>
      </c>
      <c r="M373" s="12">
        <v>6.1371827370710434</v>
      </c>
    </row>
    <row r="374" spans="2:13" x14ac:dyDescent="0.3">
      <c r="B374" s="3" t="s">
        <v>360</v>
      </c>
      <c r="C374" s="9">
        <v>0.6</v>
      </c>
      <c r="D374" s="9">
        <v>4</v>
      </c>
      <c r="E374" s="9">
        <v>60</v>
      </c>
      <c r="F374" s="9">
        <v>13.8</v>
      </c>
      <c r="G374" s="9">
        <v>2.4015512339999998</v>
      </c>
      <c r="H374" s="9">
        <v>5.64</v>
      </c>
      <c r="I374" s="9">
        <v>1.51</v>
      </c>
      <c r="J374" s="9">
        <v>1.379E-2</v>
      </c>
      <c r="K374" s="9">
        <v>9.4591740600000005</v>
      </c>
      <c r="L374" s="12">
        <v>14.976246319852464</v>
      </c>
      <c r="M374" s="12">
        <v>-5.5170722598524637</v>
      </c>
    </row>
    <row r="375" spans="2:13" x14ac:dyDescent="0.3">
      <c r="B375" s="3" t="s">
        <v>361</v>
      </c>
      <c r="C375" s="9">
        <v>0.6</v>
      </c>
      <c r="D375" s="9">
        <v>2</v>
      </c>
      <c r="E375" s="9">
        <v>15</v>
      </c>
      <c r="F375" s="9">
        <v>11.4</v>
      </c>
      <c r="G375" s="9">
        <v>27.403130969999999</v>
      </c>
      <c r="H375" s="9">
        <v>1.41</v>
      </c>
      <c r="I375" s="9">
        <v>17.23</v>
      </c>
      <c r="J375" s="9">
        <v>5.7099999999999998E-3</v>
      </c>
      <c r="K375" s="9">
        <v>-1.3676934700000001</v>
      </c>
      <c r="L375" s="12">
        <v>-2.528711416084354</v>
      </c>
      <c r="M375" s="12">
        <v>1.1610179460843539</v>
      </c>
    </row>
    <row r="376" spans="2:13" x14ac:dyDescent="0.3">
      <c r="B376" s="3" t="s">
        <v>362</v>
      </c>
      <c r="C376" s="9">
        <v>1</v>
      </c>
      <c r="D376" s="9">
        <v>4</v>
      </c>
      <c r="E376" s="9">
        <v>15</v>
      </c>
      <c r="F376" s="9">
        <v>5</v>
      </c>
      <c r="G376" s="9">
        <v>6.918376072</v>
      </c>
      <c r="H376" s="9">
        <v>6.5609999999999999</v>
      </c>
      <c r="I376" s="9">
        <v>4.3499999999999996</v>
      </c>
      <c r="J376" s="9">
        <v>6.6530799999999996E-3</v>
      </c>
      <c r="K376" s="9">
        <v>3.9455060780000002</v>
      </c>
      <c r="L376" s="12">
        <v>9.3425710937668853</v>
      </c>
      <c r="M376" s="12">
        <v>-5.3970650157668851</v>
      </c>
    </row>
    <row r="377" spans="2:13" x14ac:dyDescent="0.3">
      <c r="B377" s="3" t="s">
        <v>363</v>
      </c>
      <c r="C377" s="9">
        <v>1</v>
      </c>
      <c r="D377" s="9">
        <v>4</v>
      </c>
      <c r="E377" s="9">
        <v>40</v>
      </c>
      <c r="F377" s="9">
        <v>8.1999999999999993</v>
      </c>
      <c r="G377" s="9">
        <v>3.117245311</v>
      </c>
      <c r="H377" s="9">
        <v>7.9885999999999999</v>
      </c>
      <c r="I377" s="9">
        <v>1.96</v>
      </c>
      <c r="J377" s="9">
        <v>1.0389880000000001E-2</v>
      </c>
      <c r="K377" s="9">
        <v>12.0435531</v>
      </c>
      <c r="L377" s="12">
        <v>22.159364907578322</v>
      </c>
      <c r="M377" s="12">
        <v>-10.115811807578321</v>
      </c>
    </row>
    <row r="378" spans="2:13" x14ac:dyDescent="0.3">
      <c r="B378" s="3" t="s">
        <v>364</v>
      </c>
      <c r="C378" s="9">
        <v>1</v>
      </c>
      <c r="D378" s="9">
        <v>4</v>
      </c>
      <c r="E378" s="9">
        <v>20</v>
      </c>
      <c r="F378" s="9">
        <v>2.8</v>
      </c>
      <c r="G378" s="9">
        <v>1.0337803329999999</v>
      </c>
      <c r="H378" s="9">
        <v>7.0444000000000004</v>
      </c>
      <c r="I378" s="9">
        <v>0.65</v>
      </c>
      <c r="J378" s="9">
        <v>7.5770400000000002E-3</v>
      </c>
      <c r="K378" s="9">
        <v>26.606546730000002</v>
      </c>
      <c r="L378" s="12">
        <v>25.797255928972234</v>
      </c>
      <c r="M378" s="12">
        <v>0.80929080102776751</v>
      </c>
    </row>
    <row r="379" spans="2:13" x14ac:dyDescent="0.3">
      <c r="B379" s="3" t="s">
        <v>365</v>
      </c>
      <c r="C379" s="9">
        <v>1.6666666670000001</v>
      </c>
      <c r="D379" s="9">
        <v>4</v>
      </c>
      <c r="E379" s="9">
        <v>15</v>
      </c>
      <c r="F379" s="9">
        <v>13.3</v>
      </c>
      <c r="G379" s="9">
        <v>43.975424920000002</v>
      </c>
      <c r="H379" s="9">
        <v>0.81</v>
      </c>
      <c r="I379" s="9">
        <v>27.65</v>
      </c>
      <c r="J379" s="9">
        <v>3.7299999999999998E-3</v>
      </c>
      <c r="K379" s="9">
        <v>-3.610341263</v>
      </c>
      <c r="L379" s="12">
        <v>-3.7169321994153828</v>
      </c>
      <c r="M379" s="12">
        <v>0.10659093641538275</v>
      </c>
    </row>
    <row r="380" spans="2:13" x14ac:dyDescent="0.3">
      <c r="B380" s="3" t="s">
        <v>366</v>
      </c>
      <c r="C380" s="9">
        <v>1.6666666670000001</v>
      </c>
      <c r="D380" s="9">
        <v>6</v>
      </c>
      <c r="E380" s="9">
        <v>30</v>
      </c>
      <c r="F380" s="9">
        <v>23.5</v>
      </c>
      <c r="G380" s="9">
        <v>24.110938220000001</v>
      </c>
      <c r="H380" s="9">
        <v>1.62</v>
      </c>
      <c r="I380" s="9">
        <v>15.16</v>
      </c>
      <c r="J380" s="9">
        <v>6.9100200000000002E-3</v>
      </c>
      <c r="K380" s="9">
        <v>-0.80881908499999999</v>
      </c>
      <c r="L380" s="12">
        <v>-9.8502701889334539</v>
      </c>
      <c r="M380" s="12">
        <v>9.0414511039334542</v>
      </c>
    </row>
    <row r="381" spans="2:13" x14ac:dyDescent="0.3">
      <c r="B381" s="3" t="s">
        <v>367</v>
      </c>
      <c r="C381" s="9">
        <v>1</v>
      </c>
      <c r="D381" s="9">
        <v>4</v>
      </c>
      <c r="E381" s="9">
        <v>30</v>
      </c>
      <c r="F381" s="9">
        <v>18</v>
      </c>
      <c r="G381" s="9">
        <v>20.325711770000002</v>
      </c>
      <c r="H381" s="9">
        <v>7.6656000000000004</v>
      </c>
      <c r="I381" s="9">
        <v>12.78</v>
      </c>
      <c r="J381" s="9">
        <v>9.1083599999999994E-3</v>
      </c>
      <c r="K381" s="9">
        <v>-0.58404550499999996</v>
      </c>
      <c r="L381" s="12">
        <v>-7.371543338101155</v>
      </c>
      <c r="M381" s="12">
        <v>6.7874978331011553</v>
      </c>
    </row>
    <row r="382" spans="2:13" x14ac:dyDescent="0.3">
      <c r="B382" s="3" t="s">
        <v>368</v>
      </c>
      <c r="C382" s="9">
        <v>1</v>
      </c>
      <c r="D382" s="9">
        <v>4</v>
      </c>
      <c r="E382" s="9">
        <v>30</v>
      </c>
      <c r="F382" s="9">
        <v>3.6</v>
      </c>
      <c r="G382" s="9">
        <v>0.98606739399999999</v>
      </c>
      <c r="H382" s="9">
        <v>7.6656000000000004</v>
      </c>
      <c r="I382" s="9">
        <v>0.62</v>
      </c>
      <c r="J382" s="9">
        <v>9.1083599999999994E-3</v>
      </c>
      <c r="K382" s="9">
        <v>36.226350979999999</v>
      </c>
      <c r="L382" s="12">
        <v>34.627357096691945</v>
      </c>
      <c r="M382" s="12">
        <v>1.5989938833080544</v>
      </c>
    </row>
    <row r="383" spans="2:13" x14ac:dyDescent="0.3">
      <c r="B383" s="3" t="s">
        <v>369</v>
      </c>
      <c r="C383" s="9">
        <v>1</v>
      </c>
      <c r="D383" s="9">
        <v>1</v>
      </c>
      <c r="E383" s="9">
        <v>10</v>
      </c>
      <c r="F383" s="9">
        <v>3.6</v>
      </c>
      <c r="G383" s="9">
        <v>2.5764986749999998</v>
      </c>
      <c r="H383" s="9">
        <v>5.8784999999999998</v>
      </c>
      <c r="I383" s="9">
        <v>1.62</v>
      </c>
      <c r="J383" s="9">
        <v>5.5425099999999996E-3</v>
      </c>
      <c r="K383" s="9">
        <v>3.9475136389999999</v>
      </c>
      <c r="L383" s="12">
        <v>7.5062697443037969</v>
      </c>
      <c r="M383" s="12">
        <v>-3.558756105303797</v>
      </c>
    </row>
    <row r="384" spans="2:13" x14ac:dyDescent="0.3">
      <c r="B384" s="3" t="s">
        <v>370</v>
      </c>
      <c r="C384" s="9">
        <v>1.6666666670000001</v>
      </c>
      <c r="D384" s="9">
        <v>2</v>
      </c>
      <c r="E384" s="9">
        <v>20</v>
      </c>
      <c r="F384" s="9">
        <v>13.8</v>
      </c>
      <c r="G384" s="9">
        <v>34.210176850000003</v>
      </c>
      <c r="H384" s="9">
        <v>1.08</v>
      </c>
      <c r="I384" s="9">
        <v>21.51</v>
      </c>
      <c r="J384" s="9">
        <v>4.8399999999999997E-3</v>
      </c>
      <c r="K384" s="9">
        <v>-3.1847205380000001</v>
      </c>
      <c r="L384" s="12">
        <v>-1.0076642675991323</v>
      </c>
      <c r="M384" s="12">
        <v>-2.1770562704008678</v>
      </c>
    </row>
    <row r="385" spans="2:13" x14ac:dyDescent="0.3">
      <c r="B385" s="3" t="s">
        <v>371</v>
      </c>
      <c r="C385" s="9">
        <v>1.6666666670000001</v>
      </c>
      <c r="D385" s="9">
        <v>2</v>
      </c>
      <c r="E385" s="9">
        <v>15</v>
      </c>
      <c r="F385" s="9">
        <v>9.5</v>
      </c>
      <c r="G385" s="9">
        <v>23.188488079999999</v>
      </c>
      <c r="H385" s="9">
        <v>0.81</v>
      </c>
      <c r="I385" s="9">
        <v>14.58</v>
      </c>
      <c r="J385" s="9">
        <v>3.7299999999999998E-3</v>
      </c>
      <c r="K385" s="9">
        <v>-1.0489506070000001</v>
      </c>
      <c r="L385" s="12">
        <v>-1.0625168736926165</v>
      </c>
      <c r="M385" s="12">
        <v>1.3566266692616402E-2</v>
      </c>
    </row>
    <row r="386" spans="2:13" x14ac:dyDescent="0.3">
      <c r="B386" s="3" t="s">
        <v>372</v>
      </c>
      <c r="C386" s="9">
        <v>1.6666666670000001</v>
      </c>
      <c r="D386" s="9">
        <v>4</v>
      </c>
      <c r="E386" s="9">
        <v>15</v>
      </c>
      <c r="F386" s="9">
        <v>5.7</v>
      </c>
      <c r="G386" s="9">
        <v>12.166799299999999</v>
      </c>
      <c r="H386" s="9">
        <v>0.81</v>
      </c>
      <c r="I386" s="9">
        <v>7.65</v>
      </c>
      <c r="J386" s="9">
        <v>3.7299999999999998E-3</v>
      </c>
      <c r="K386" s="9">
        <v>1.75926845</v>
      </c>
      <c r="L386" s="12">
        <v>7.1781852995252535</v>
      </c>
      <c r="M386" s="12">
        <v>-5.4189168495252531</v>
      </c>
    </row>
    <row r="387" spans="2:13" x14ac:dyDescent="0.3">
      <c r="B387" s="3" t="s">
        <v>373</v>
      </c>
      <c r="C387" s="9">
        <v>1.6666666670000001</v>
      </c>
      <c r="D387" s="9">
        <v>4</v>
      </c>
      <c r="E387" s="9">
        <v>40</v>
      </c>
      <c r="F387" s="9">
        <v>7.8</v>
      </c>
      <c r="G387" s="9">
        <v>3.7534178229999999</v>
      </c>
      <c r="H387" s="9">
        <v>2.16</v>
      </c>
      <c r="I387" s="9">
        <v>2.36</v>
      </c>
      <c r="J387" s="9">
        <v>8.7799999999999996E-3</v>
      </c>
      <c r="K387" s="9">
        <v>12.78058381</v>
      </c>
      <c r="L387" s="12">
        <v>23.61696023349641</v>
      </c>
      <c r="M387" s="12">
        <v>-10.836376423496411</v>
      </c>
    </row>
    <row r="388" spans="2:13" x14ac:dyDescent="0.3">
      <c r="B388" s="3" t="s">
        <v>374</v>
      </c>
      <c r="C388" s="9">
        <v>1</v>
      </c>
      <c r="D388" s="9">
        <v>2</v>
      </c>
      <c r="E388" s="9">
        <v>40</v>
      </c>
      <c r="F388" s="9">
        <v>29.4</v>
      </c>
      <c r="G388" s="9">
        <v>29.582021820000001</v>
      </c>
      <c r="H388" s="9">
        <v>7.9885999999999999</v>
      </c>
      <c r="I388" s="9">
        <v>18.600000000000001</v>
      </c>
      <c r="J388" s="9">
        <v>1.0389860000000001E-2</v>
      </c>
      <c r="K388" s="9">
        <v>-1.907733742</v>
      </c>
      <c r="L388" s="12">
        <v>5.2494502742919309</v>
      </c>
      <c r="M388" s="12">
        <v>-7.1571840162919305</v>
      </c>
    </row>
    <row r="389" spans="2:13" x14ac:dyDescent="0.3">
      <c r="B389" s="3" t="s">
        <v>375</v>
      </c>
      <c r="C389" s="9">
        <v>1.6666666670000001</v>
      </c>
      <c r="D389" s="9">
        <v>6</v>
      </c>
      <c r="E389" s="9">
        <v>20</v>
      </c>
      <c r="F389" s="9">
        <v>16.899999999999999</v>
      </c>
      <c r="G389" s="9">
        <v>34.432837229999997</v>
      </c>
      <c r="H389" s="9">
        <v>1.08</v>
      </c>
      <c r="I389" s="9">
        <v>21.65</v>
      </c>
      <c r="J389" s="9">
        <v>4.8400200000000004E-3</v>
      </c>
      <c r="K389" s="9">
        <v>-2.1605857770000001</v>
      </c>
      <c r="L389" s="12">
        <v>-7.1184127316916435</v>
      </c>
      <c r="M389" s="12">
        <v>4.9578269546916438</v>
      </c>
    </row>
    <row r="390" spans="2:13" x14ac:dyDescent="0.3">
      <c r="B390" s="3" t="s">
        <v>376</v>
      </c>
      <c r="C390" s="9">
        <v>1</v>
      </c>
      <c r="D390" s="9">
        <v>4</v>
      </c>
      <c r="E390" s="9">
        <v>60</v>
      </c>
      <c r="F390" s="9">
        <v>14.1</v>
      </c>
      <c r="G390" s="9">
        <v>0.63617251200000002</v>
      </c>
      <c r="H390" s="9">
        <v>7.9885999999999999</v>
      </c>
      <c r="I390" s="9">
        <v>0.4</v>
      </c>
      <c r="J390" s="9">
        <v>1.2535040000000001E-2</v>
      </c>
      <c r="K390" s="9">
        <v>9.4643262929999992</v>
      </c>
      <c r="L390" s="12">
        <v>10.152629313285658</v>
      </c>
      <c r="M390" s="12">
        <v>-0.68830302028565882</v>
      </c>
    </row>
    <row r="391" spans="2:13" x14ac:dyDescent="0.3">
      <c r="B391" s="3" t="s">
        <v>377</v>
      </c>
      <c r="C391" s="9">
        <v>1</v>
      </c>
      <c r="D391" s="9">
        <v>4</v>
      </c>
      <c r="E391" s="9">
        <v>40</v>
      </c>
      <c r="F391" s="9">
        <v>4.0999999999999996</v>
      </c>
      <c r="G391" s="9">
        <v>0.63617251200000002</v>
      </c>
      <c r="H391" s="9">
        <v>7.9885999999999999</v>
      </c>
      <c r="I391" s="9">
        <v>0.4</v>
      </c>
      <c r="J391" s="9">
        <v>1.0389880000000001E-2</v>
      </c>
      <c r="K391" s="9">
        <v>49.748237469999999</v>
      </c>
      <c r="L391" s="12">
        <v>41.753339456418558</v>
      </c>
      <c r="M391" s="12">
        <v>7.9948980135814409</v>
      </c>
    </row>
    <row r="392" spans="2:13" x14ac:dyDescent="0.3">
      <c r="B392" s="3" t="s">
        <v>378</v>
      </c>
      <c r="C392" s="9">
        <v>1.6666666670000001</v>
      </c>
      <c r="D392" s="9">
        <v>6</v>
      </c>
      <c r="E392" s="9">
        <v>40</v>
      </c>
      <c r="F392" s="9">
        <v>11.7</v>
      </c>
      <c r="G392" s="9">
        <v>6.6957156930000004</v>
      </c>
      <c r="H392" s="9">
        <v>2.16</v>
      </c>
      <c r="I392" s="9">
        <v>4.21</v>
      </c>
      <c r="J392" s="9">
        <v>8.7799799999999997E-3</v>
      </c>
      <c r="K392" s="9">
        <v>5.0579914170000002</v>
      </c>
      <c r="L392" s="12">
        <v>13.511100414720772</v>
      </c>
      <c r="M392" s="12">
        <v>-8.4531089977207721</v>
      </c>
    </row>
    <row r="393" spans="2:13" x14ac:dyDescent="0.3">
      <c r="B393" s="3" t="s">
        <v>379</v>
      </c>
      <c r="C393" s="9">
        <v>1</v>
      </c>
      <c r="D393" s="9">
        <v>4</v>
      </c>
      <c r="E393" s="9">
        <v>10</v>
      </c>
      <c r="F393" s="9">
        <v>1.8</v>
      </c>
      <c r="G393" s="9">
        <v>0.95425876899999995</v>
      </c>
      <c r="H393" s="9">
        <v>5.8784999999999998</v>
      </c>
      <c r="I393" s="9">
        <v>0.6</v>
      </c>
      <c r="J393" s="9">
        <v>5.5425200000000004E-3</v>
      </c>
      <c r="K393" s="9">
        <v>16.103983169999999</v>
      </c>
      <c r="L393" s="12">
        <v>12.533084424587422</v>
      </c>
      <c r="M393" s="12">
        <v>3.5708987454125776</v>
      </c>
    </row>
    <row r="394" spans="2:13" x14ac:dyDescent="0.3">
      <c r="B394" s="3" t="s">
        <v>380</v>
      </c>
      <c r="C394" s="9">
        <v>1.6666666670000001</v>
      </c>
      <c r="D394" s="9">
        <v>4</v>
      </c>
      <c r="E394" s="9">
        <v>30</v>
      </c>
      <c r="F394" s="9">
        <v>13.2</v>
      </c>
      <c r="G394" s="9">
        <v>15.31585323</v>
      </c>
      <c r="H394" s="9">
        <v>1.62</v>
      </c>
      <c r="I394" s="9">
        <v>9.6300000000000008</v>
      </c>
      <c r="J394" s="9">
        <v>6.9100000000000003E-3</v>
      </c>
      <c r="K394" s="9">
        <v>0.53808402799999999</v>
      </c>
      <c r="L394" s="12">
        <v>-0.20836929304769214</v>
      </c>
      <c r="M394" s="12">
        <v>0.74645332104769213</v>
      </c>
    </row>
    <row r="395" spans="2:13" x14ac:dyDescent="0.3">
      <c r="B395" s="3" t="s">
        <v>381</v>
      </c>
      <c r="C395" s="9">
        <v>1.6666666670000001</v>
      </c>
      <c r="D395" s="9">
        <v>1</v>
      </c>
      <c r="E395" s="9">
        <v>15</v>
      </c>
      <c r="F395" s="9">
        <v>11.4</v>
      </c>
      <c r="G395" s="9">
        <v>17.11304058</v>
      </c>
      <c r="H395" s="9">
        <v>0.81</v>
      </c>
      <c r="I395" s="9">
        <v>10.76</v>
      </c>
      <c r="J395" s="9">
        <v>3.7299999999999998E-3</v>
      </c>
      <c r="K395" s="9">
        <v>5.6277879999999999E-3</v>
      </c>
      <c r="L395" s="12">
        <v>-10.696913021246573</v>
      </c>
      <c r="M395" s="12">
        <v>10.702540809246573</v>
      </c>
    </row>
    <row r="396" spans="2:13" x14ac:dyDescent="0.3">
      <c r="B396" s="3" t="s">
        <v>382</v>
      </c>
      <c r="C396" s="9">
        <v>0.6</v>
      </c>
      <c r="D396" s="9">
        <v>6</v>
      </c>
      <c r="E396" s="9">
        <v>60</v>
      </c>
      <c r="F396" s="9">
        <v>4.5999999999999996</v>
      </c>
      <c r="G396" s="9">
        <v>0</v>
      </c>
      <c r="H396" s="9">
        <v>5.64</v>
      </c>
      <c r="I396" s="9">
        <v>0</v>
      </c>
      <c r="J396" s="9">
        <v>1.378998E-2</v>
      </c>
      <c r="K396" s="9">
        <v>86.831721079999994</v>
      </c>
      <c r="L396" s="12">
        <v>58.496889942230993</v>
      </c>
      <c r="M396" s="12">
        <v>28.334831137769001</v>
      </c>
    </row>
    <row r="397" spans="2:13" x14ac:dyDescent="0.3">
      <c r="B397" s="3" t="s">
        <v>383</v>
      </c>
      <c r="C397" s="9">
        <v>0.6</v>
      </c>
      <c r="D397" s="9">
        <v>4</v>
      </c>
      <c r="E397" s="9">
        <v>15</v>
      </c>
      <c r="F397" s="9">
        <v>3.8</v>
      </c>
      <c r="G397" s="9">
        <v>3.1808625620000002</v>
      </c>
      <c r="H397" s="9">
        <v>1.41</v>
      </c>
      <c r="I397" s="9">
        <v>2</v>
      </c>
      <c r="J397" s="9">
        <v>5.7099999999999998E-3</v>
      </c>
      <c r="K397" s="9">
        <v>7.6795559139999998</v>
      </c>
      <c r="L397" s="12">
        <v>13.392702118111218</v>
      </c>
      <c r="M397" s="12">
        <v>-5.7131462041112187</v>
      </c>
    </row>
    <row r="398" spans="2:13" x14ac:dyDescent="0.3">
      <c r="B398" s="3" t="s">
        <v>384</v>
      </c>
      <c r="C398" s="9">
        <v>1.6666666670000001</v>
      </c>
      <c r="D398" s="9">
        <v>6</v>
      </c>
      <c r="E398" s="9">
        <v>15</v>
      </c>
      <c r="F398" s="9">
        <v>1.9</v>
      </c>
      <c r="G398" s="9">
        <v>0</v>
      </c>
      <c r="H398" s="9">
        <v>0.81</v>
      </c>
      <c r="I398" s="9">
        <v>0</v>
      </c>
      <c r="J398" s="9">
        <v>3.7300200000000001E-3</v>
      </c>
      <c r="K398" s="9">
        <v>31.810235769999998</v>
      </c>
      <c r="L398" s="12">
        <v>23.154551414397204</v>
      </c>
      <c r="M398" s="12">
        <v>8.6556843556027943</v>
      </c>
    </row>
    <row r="399" spans="2:13" x14ac:dyDescent="0.3">
      <c r="B399" s="3" t="s">
        <v>385</v>
      </c>
      <c r="C399" s="9">
        <v>1</v>
      </c>
      <c r="D399" s="9">
        <v>2</v>
      </c>
      <c r="E399" s="9">
        <v>20</v>
      </c>
      <c r="F399" s="9">
        <v>8.4</v>
      </c>
      <c r="G399" s="9">
        <v>8.7473720450000005</v>
      </c>
      <c r="H399" s="9">
        <v>7.0444000000000004</v>
      </c>
      <c r="I399" s="9">
        <v>5.5</v>
      </c>
      <c r="J399" s="9">
        <v>7.5770400000000002E-3</v>
      </c>
      <c r="K399" s="9">
        <v>2.1967597699999999</v>
      </c>
      <c r="L399" s="12">
        <v>3.7641626409800111</v>
      </c>
      <c r="M399" s="12">
        <v>-1.5674028709800112</v>
      </c>
    </row>
    <row r="400" spans="2:13" x14ac:dyDescent="0.3">
      <c r="B400" s="3" t="s">
        <v>386</v>
      </c>
      <c r="C400" s="9">
        <v>1.6666666670000001</v>
      </c>
      <c r="D400" s="9">
        <v>6</v>
      </c>
      <c r="E400" s="9">
        <v>10</v>
      </c>
      <c r="F400" s="9">
        <v>3.2</v>
      </c>
      <c r="G400" s="9">
        <v>4.2146428939999998</v>
      </c>
      <c r="H400" s="9">
        <v>0.54</v>
      </c>
      <c r="I400" s="9">
        <v>2.65</v>
      </c>
      <c r="J400" s="9">
        <v>2.5500000000000002E-3</v>
      </c>
      <c r="K400" s="9">
        <v>4.6837669240000004</v>
      </c>
      <c r="L400" s="12">
        <v>8.8652596564892452</v>
      </c>
      <c r="M400" s="12">
        <v>-4.1814927324892448</v>
      </c>
    </row>
    <row r="401" spans="2:13" x14ac:dyDescent="0.3">
      <c r="B401" s="3" t="s">
        <v>387</v>
      </c>
      <c r="C401" s="9">
        <v>1.6666666670000001</v>
      </c>
      <c r="D401" s="9">
        <v>1</v>
      </c>
      <c r="E401" s="9">
        <v>60</v>
      </c>
      <c r="F401" s="9">
        <v>9.1999999999999993</v>
      </c>
      <c r="G401" s="9">
        <v>1.0337803329999999</v>
      </c>
      <c r="H401" s="9">
        <v>3.24</v>
      </c>
      <c r="I401" s="9">
        <v>0.65</v>
      </c>
      <c r="J401" s="9">
        <v>1.205E-2</v>
      </c>
      <c r="K401" s="9">
        <v>21.629217409999999</v>
      </c>
      <c r="L401" s="12">
        <v>36.141516022592292</v>
      </c>
      <c r="M401" s="12">
        <v>-14.512298612592293</v>
      </c>
    </row>
    <row r="402" spans="2:13" x14ac:dyDescent="0.3">
      <c r="B402" s="3" t="s">
        <v>388</v>
      </c>
      <c r="C402" s="9">
        <v>1.6666666670000001</v>
      </c>
      <c r="D402" s="9">
        <v>2</v>
      </c>
      <c r="E402" s="9">
        <v>30</v>
      </c>
      <c r="F402" s="9">
        <v>3.3</v>
      </c>
      <c r="G402" s="9">
        <v>1.065588958</v>
      </c>
      <c r="H402" s="9">
        <v>1.62</v>
      </c>
      <c r="I402" s="9">
        <v>0.67</v>
      </c>
      <c r="J402" s="9">
        <v>6.9100000000000003E-3</v>
      </c>
      <c r="K402" s="9">
        <v>42.017462549999998</v>
      </c>
      <c r="L402" s="12">
        <v>36.116964548181457</v>
      </c>
      <c r="M402" s="12">
        <v>5.9004980018185407</v>
      </c>
    </row>
    <row r="403" spans="2:13" x14ac:dyDescent="0.3">
      <c r="B403" s="3" t="s">
        <v>389</v>
      </c>
      <c r="C403" s="9">
        <v>0.6</v>
      </c>
      <c r="D403" s="9">
        <v>6</v>
      </c>
      <c r="E403" s="9">
        <v>30</v>
      </c>
      <c r="F403" s="9">
        <v>3.3</v>
      </c>
      <c r="G403" s="9">
        <v>0</v>
      </c>
      <c r="H403" s="9">
        <v>2.82</v>
      </c>
      <c r="I403" s="9">
        <v>0</v>
      </c>
      <c r="J403" s="9">
        <v>9.2599799999999993E-3</v>
      </c>
      <c r="K403" s="9">
        <v>42.17996368</v>
      </c>
      <c r="L403" s="12">
        <v>37.636951907271687</v>
      </c>
      <c r="M403" s="12">
        <v>4.5430117727283132</v>
      </c>
    </row>
    <row r="404" spans="2:13" x14ac:dyDescent="0.3">
      <c r="B404" s="3" t="s">
        <v>390</v>
      </c>
      <c r="C404" s="9">
        <v>0.6</v>
      </c>
      <c r="D404" s="9">
        <v>6</v>
      </c>
      <c r="E404" s="9">
        <v>15</v>
      </c>
      <c r="F404" s="9">
        <v>9.5</v>
      </c>
      <c r="G404" s="9">
        <v>22.727263000000001</v>
      </c>
      <c r="H404" s="9">
        <v>1.41</v>
      </c>
      <c r="I404" s="9">
        <v>14.29</v>
      </c>
      <c r="J404" s="9">
        <v>5.7100199999999997E-3</v>
      </c>
      <c r="K404" s="9">
        <v>-0.95752407699999997</v>
      </c>
      <c r="L404" s="12">
        <v>4.4764127419886393</v>
      </c>
      <c r="M404" s="12">
        <v>-5.4339368189886397</v>
      </c>
    </row>
    <row r="405" spans="2:13" x14ac:dyDescent="0.3">
      <c r="B405" s="3" t="s">
        <v>391</v>
      </c>
      <c r="C405" s="9">
        <v>1</v>
      </c>
      <c r="D405" s="9">
        <v>6</v>
      </c>
      <c r="E405" s="9">
        <v>15</v>
      </c>
      <c r="F405" s="9">
        <v>12.5</v>
      </c>
      <c r="G405" s="9">
        <v>32.365276569999999</v>
      </c>
      <c r="H405" s="9">
        <v>6.5609999999999999</v>
      </c>
      <c r="I405" s="9">
        <v>20.350000000000001</v>
      </c>
      <c r="J405" s="9">
        <v>6.6531000000000003E-3</v>
      </c>
      <c r="K405" s="9">
        <v>-1.9249623950000001</v>
      </c>
      <c r="L405" s="12">
        <v>-1.1245086250859124</v>
      </c>
      <c r="M405" s="12">
        <v>-0.80045376991408768</v>
      </c>
    </row>
    <row r="406" spans="2:13" x14ac:dyDescent="0.3">
      <c r="B406" s="3" t="s">
        <v>392</v>
      </c>
      <c r="C406" s="9">
        <v>0.6</v>
      </c>
      <c r="D406" s="9">
        <v>1</v>
      </c>
      <c r="E406" s="9">
        <v>10</v>
      </c>
      <c r="F406" s="9">
        <v>3.2</v>
      </c>
      <c r="G406" s="9">
        <v>3.467140192</v>
      </c>
      <c r="H406" s="9">
        <v>0.94</v>
      </c>
      <c r="I406" s="9">
        <v>2.1800000000000002</v>
      </c>
      <c r="J406" s="9">
        <v>4.0000000000000001E-3</v>
      </c>
      <c r="K406" s="9">
        <v>4.7808709379999996</v>
      </c>
      <c r="L406" s="12">
        <v>11.640998479978613</v>
      </c>
      <c r="M406" s="12">
        <v>-6.8601275419786134</v>
      </c>
    </row>
    <row r="407" spans="2:13" x14ac:dyDescent="0.3">
      <c r="B407" s="3" t="s">
        <v>393</v>
      </c>
      <c r="C407" s="9">
        <v>1</v>
      </c>
      <c r="D407" s="9">
        <v>4</v>
      </c>
      <c r="E407" s="9">
        <v>60</v>
      </c>
      <c r="F407" s="9">
        <v>4.7</v>
      </c>
      <c r="G407" s="9">
        <v>0</v>
      </c>
      <c r="H407" s="9">
        <v>7.9885999999999999</v>
      </c>
      <c r="I407" s="9">
        <v>0</v>
      </c>
      <c r="J407" s="9">
        <v>1.2535040000000001E-2</v>
      </c>
      <c r="K407" s="9">
        <v>85.296061620000003</v>
      </c>
      <c r="L407" s="12">
        <v>51.4943211048313</v>
      </c>
      <c r="M407" s="12">
        <v>33.801740515168703</v>
      </c>
    </row>
    <row r="408" spans="2:13" x14ac:dyDescent="0.3">
      <c r="B408" s="3" t="s">
        <v>394</v>
      </c>
      <c r="C408" s="9">
        <v>1</v>
      </c>
      <c r="D408" s="9">
        <v>2</v>
      </c>
      <c r="E408" s="9">
        <v>60</v>
      </c>
      <c r="F408" s="9">
        <v>18.8</v>
      </c>
      <c r="G408" s="9">
        <v>6.7593329439999996</v>
      </c>
      <c r="H408" s="9">
        <v>7.9885999999999999</v>
      </c>
      <c r="I408" s="9">
        <v>4.25</v>
      </c>
      <c r="J408" s="9">
        <v>1.2535019999999999E-2</v>
      </c>
      <c r="K408" s="9">
        <v>4.5046093230000004</v>
      </c>
      <c r="L408" s="12">
        <v>5.5844405147333163</v>
      </c>
      <c r="M408" s="12">
        <v>-1.0798311917333159</v>
      </c>
    </row>
    <row r="409" spans="2:13" x14ac:dyDescent="0.3">
      <c r="B409" s="3" t="s">
        <v>395</v>
      </c>
      <c r="C409" s="9">
        <v>0.6</v>
      </c>
      <c r="D409" s="9">
        <v>6</v>
      </c>
      <c r="E409" s="9">
        <v>15</v>
      </c>
      <c r="F409" s="9">
        <v>1.9</v>
      </c>
      <c r="G409" s="9">
        <v>0</v>
      </c>
      <c r="H409" s="9">
        <v>1.41</v>
      </c>
      <c r="I409" s="9">
        <v>0</v>
      </c>
      <c r="J409" s="9">
        <v>5.7100199999999997E-3</v>
      </c>
      <c r="K409" s="9">
        <v>31.810235769999998</v>
      </c>
      <c r="L409" s="12">
        <v>26.499915778894838</v>
      </c>
      <c r="M409" s="12">
        <v>5.3103199911051604</v>
      </c>
    </row>
    <row r="410" spans="2:13" x14ac:dyDescent="0.3">
      <c r="B410" s="3" t="s">
        <v>396</v>
      </c>
      <c r="C410" s="9">
        <v>1</v>
      </c>
      <c r="D410" s="9">
        <v>6</v>
      </c>
      <c r="E410" s="9">
        <v>20</v>
      </c>
      <c r="F410" s="9">
        <v>20.100000000000001</v>
      </c>
      <c r="G410" s="9">
        <v>35.800608130000001</v>
      </c>
      <c r="H410" s="9">
        <v>7.0444000000000004</v>
      </c>
      <c r="I410" s="9">
        <v>22.51</v>
      </c>
      <c r="J410" s="9">
        <v>7.5770400000000002E-3</v>
      </c>
      <c r="K410" s="9">
        <v>-1.7352261229999999</v>
      </c>
      <c r="L410" s="12">
        <v>-9.6753037630114918</v>
      </c>
      <c r="M410" s="12">
        <v>7.9400776400114914</v>
      </c>
    </row>
    <row r="411" spans="2:13" x14ac:dyDescent="0.3">
      <c r="B411" s="3" t="s">
        <v>397</v>
      </c>
      <c r="C411" s="9">
        <v>0.6</v>
      </c>
      <c r="D411" s="9">
        <v>6</v>
      </c>
      <c r="E411" s="9">
        <v>20</v>
      </c>
      <c r="F411" s="9">
        <v>9.1999999999999993</v>
      </c>
      <c r="G411" s="9">
        <v>11.14892328</v>
      </c>
      <c r="H411" s="9">
        <v>1.88</v>
      </c>
      <c r="I411" s="9">
        <v>7.01</v>
      </c>
      <c r="J411" s="9">
        <v>6.9700200000000004E-3</v>
      </c>
      <c r="K411" s="9">
        <v>1.3947778019999999</v>
      </c>
      <c r="L411" s="12">
        <v>4.0907656478993637</v>
      </c>
      <c r="M411" s="12">
        <v>-2.6959878458993636</v>
      </c>
    </row>
    <row r="412" spans="2:13" x14ac:dyDescent="0.3">
      <c r="B412" s="3" t="s">
        <v>398</v>
      </c>
      <c r="C412" s="9">
        <v>1.6666666670000001</v>
      </c>
      <c r="D412" s="9">
        <v>2</v>
      </c>
      <c r="E412" s="9">
        <v>15</v>
      </c>
      <c r="F412" s="9">
        <v>5.7</v>
      </c>
      <c r="G412" s="9">
        <v>12.134990670000001</v>
      </c>
      <c r="H412" s="9">
        <v>0.81</v>
      </c>
      <c r="I412" s="9">
        <v>7.63</v>
      </c>
      <c r="J412" s="9">
        <v>3.7299999999999998E-3</v>
      </c>
      <c r="K412" s="9">
        <v>1.768538419</v>
      </c>
      <c r="L412" s="12">
        <v>8.8449656158164913</v>
      </c>
      <c r="M412" s="12">
        <v>-7.0764271968164909</v>
      </c>
    </row>
    <row r="413" spans="2:13" x14ac:dyDescent="0.3">
      <c r="B413" s="3" t="s">
        <v>399</v>
      </c>
      <c r="C413" s="9">
        <v>0.6</v>
      </c>
      <c r="D413" s="9">
        <v>1</v>
      </c>
      <c r="E413" s="9">
        <v>15</v>
      </c>
      <c r="F413" s="9">
        <v>13.3</v>
      </c>
      <c r="G413" s="9">
        <v>14.234359960000001</v>
      </c>
      <c r="H413" s="9">
        <v>1.41</v>
      </c>
      <c r="I413" s="9">
        <v>8.9499999999999993</v>
      </c>
      <c r="J413" s="9">
        <v>5.7099999999999998E-3</v>
      </c>
      <c r="K413" s="9">
        <v>0.20289817800000001</v>
      </c>
      <c r="L413" s="12">
        <v>-16.673164529440477</v>
      </c>
      <c r="M413" s="12">
        <v>16.876062707440479</v>
      </c>
    </row>
    <row r="414" spans="2:13" x14ac:dyDescent="0.3">
      <c r="B414" s="3" t="s">
        <v>400</v>
      </c>
      <c r="C414" s="9">
        <v>1</v>
      </c>
      <c r="D414" s="9">
        <v>2</v>
      </c>
      <c r="E414" s="9">
        <v>30</v>
      </c>
      <c r="F414" s="9">
        <v>14.4</v>
      </c>
      <c r="G414" s="9">
        <v>11.975947550000001</v>
      </c>
      <c r="H414" s="9">
        <v>7.6656000000000004</v>
      </c>
      <c r="I414" s="9">
        <v>7.53</v>
      </c>
      <c r="J414" s="9">
        <v>9.1083599999999994E-3</v>
      </c>
      <c r="K414" s="9">
        <v>1.16621365</v>
      </c>
      <c r="L414" s="12">
        <v>-3.1333699826562262</v>
      </c>
      <c r="M414" s="12">
        <v>4.2995836326562262</v>
      </c>
    </row>
    <row r="415" spans="2:13" x14ac:dyDescent="0.3">
      <c r="B415" s="3" t="s">
        <v>401</v>
      </c>
      <c r="C415" s="9">
        <v>1.6666666670000001</v>
      </c>
      <c r="D415" s="9">
        <v>2</v>
      </c>
      <c r="E415" s="9">
        <v>30</v>
      </c>
      <c r="F415" s="9">
        <v>16.5</v>
      </c>
      <c r="G415" s="9">
        <v>27.75302585</v>
      </c>
      <c r="H415" s="9">
        <v>1.62</v>
      </c>
      <c r="I415" s="9">
        <v>17.45</v>
      </c>
      <c r="J415" s="9">
        <v>6.9100000000000003E-3</v>
      </c>
      <c r="K415" s="9">
        <v>-2.7219794529999999</v>
      </c>
      <c r="L415" s="12">
        <v>1.2834451185997042</v>
      </c>
      <c r="M415" s="12">
        <v>-4.0054245715997041</v>
      </c>
    </row>
    <row r="416" spans="2:13" x14ac:dyDescent="0.3">
      <c r="B416" s="3" t="s">
        <v>402</v>
      </c>
      <c r="C416" s="9">
        <v>1</v>
      </c>
      <c r="D416" s="9">
        <v>2</v>
      </c>
      <c r="E416" s="9">
        <v>30</v>
      </c>
      <c r="F416" s="9">
        <v>3.6</v>
      </c>
      <c r="G416" s="9">
        <v>0.85883289200000001</v>
      </c>
      <c r="H416" s="9">
        <v>7.6656000000000004</v>
      </c>
      <c r="I416" s="9">
        <v>0.54</v>
      </c>
      <c r="J416" s="9">
        <v>9.1083599999999994E-3</v>
      </c>
      <c r="K416" s="9">
        <v>36.2552983</v>
      </c>
      <c r="L416" s="12">
        <v>36.200363277458784</v>
      </c>
      <c r="M416" s="12">
        <v>5.4935022541215517E-2</v>
      </c>
    </row>
    <row r="417" spans="2:13" x14ac:dyDescent="0.3">
      <c r="B417" s="3" t="s">
        <v>403</v>
      </c>
      <c r="C417" s="9">
        <v>1</v>
      </c>
      <c r="D417" s="9">
        <v>1</v>
      </c>
      <c r="E417" s="9">
        <v>15</v>
      </c>
      <c r="F417" s="9">
        <v>7.5</v>
      </c>
      <c r="G417" s="9">
        <v>5.5665094829999999</v>
      </c>
      <c r="H417" s="9">
        <v>6.5609999999999999</v>
      </c>
      <c r="I417" s="9">
        <v>3.5</v>
      </c>
      <c r="J417" s="9">
        <v>6.6530699999999996E-3</v>
      </c>
      <c r="K417" s="9">
        <v>1.8734450499999999</v>
      </c>
      <c r="L417" s="12">
        <v>-0.41999430525431336</v>
      </c>
      <c r="M417" s="12">
        <v>2.2934393552543133</v>
      </c>
    </row>
    <row r="418" spans="2:13" x14ac:dyDescent="0.3">
      <c r="B418" s="3" t="s">
        <v>404</v>
      </c>
      <c r="C418" s="9">
        <v>0.6</v>
      </c>
      <c r="D418" s="9">
        <v>2</v>
      </c>
      <c r="E418" s="9">
        <v>30</v>
      </c>
      <c r="F418" s="9">
        <v>3.3</v>
      </c>
      <c r="G418" s="9">
        <v>0</v>
      </c>
      <c r="H418" s="9">
        <v>2.82</v>
      </c>
      <c r="I418" s="9">
        <v>0</v>
      </c>
      <c r="J418" s="9">
        <v>9.2599999999999991E-3</v>
      </c>
      <c r="K418" s="9">
        <v>42.17996368</v>
      </c>
      <c r="L418" s="12">
        <v>35.0923902366862</v>
      </c>
      <c r="M418" s="12">
        <v>7.0875734433138007</v>
      </c>
    </row>
    <row r="419" spans="2:13" x14ac:dyDescent="0.3">
      <c r="B419" s="3" t="s">
        <v>405</v>
      </c>
      <c r="C419" s="9">
        <v>1</v>
      </c>
      <c r="D419" s="9">
        <v>1</v>
      </c>
      <c r="E419" s="9">
        <v>10</v>
      </c>
      <c r="F419" s="9">
        <v>7.2</v>
      </c>
      <c r="G419" s="9">
        <v>10.735411149999999</v>
      </c>
      <c r="H419" s="9">
        <v>5.8784999999999998</v>
      </c>
      <c r="I419" s="9">
        <v>6.75</v>
      </c>
      <c r="J419" s="9">
        <v>5.5425099999999996E-3</v>
      </c>
      <c r="K419" s="9">
        <v>0.61482901599999995</v>
      </c>
      <c r="L419" s="12">
        <v>-5.1342652472377317</v>
      </c>
      <c r="M419" s="12">
        <v>5.7490942632377315</v>
      </c>
    </row>
    <row r="420" spans="2:13" x14ac:dyDescent="0.3">
      <c r="B420" s="3" t="s">
        <v>406</v>
      </c>
      <c r="C420" s="9">
        <v>1</v>
      </c>
      <c r="D420" s="9">
        <v>1</v>
      </c>
      <c r="E420" s="9">
        <v>60</v>
      </c>
      <c r="F420" s="9">
        <v>9.4</v>
      </c>
      <c r="G420" s="9">
        <v>1.6222399059999999</v>
      </c>
      <c r="H420" s="9">
        <v>7.9885999999999999</v>
      </c>
      <c r="I420" s="9">
        <v>1.02</v>
      </c>
      <c r="J420" s="9">
        <v>1.2535019999999999E-2</v>
      </c>
      <c r="K420" s="9">
        <v>21.13361411</v>
      </c>
      <c r="L420" s="12">
        <v>33.8158369504863</v>
      </c>
      <c r="M420" s="12">
        <v>-12.6822228404863</v>
      </c>
    </row>
    <row r="421" spans="2:13" x14ac:dyDescent="0.3">
      <c r="B421" s="3" t="s">
        <v>407</v>
      </c>
      <c r="C421" s="9">
        <v>0.6</v>
      </c>
      <c r="D421" s="9">
        <v>6</v>
      </c>
      <c r="E421" s="9">
        <v>15</v>
      </c>
      <c r="F421" s="9">
        <v>7.6</v>
      </c>
      <c r="G421" s="9">
        <v>12.771163189999999</v>
      </c>
      <c r="H421" s="9">
        <v>1.41</v>
      </c>
      <c r="I421" s="9">
        <v>8.0299999999999994</v>
      </c>
      <c r="J421" s="9">
        <v>5.7100199999999997E-3</v>
      </c>
      <c r="K421" s="9">
        <v>0.88792217500000004</v>
      </c>
      <c r="L421" s="12">
        <v>5.3721810993144175</v>
      </c>
      <c r="M421" s="12">
        <v>-4.4842589243144175</v>
      </c>
    </row>
    <row r="422" spans="2:13" x14ac:dyDescent="0.3">
      <c r="B422" s="3" t="s">
        <v>408</v>
      </c>
      <c r="C422" s="9">
        <v>1</v>
      </c>
      <c r="D422" s="9">
        <v>2</v>
      </c>
      <c r="E422" s="9">
        <v>10</v>
      </c>
      <c r="F422" s="9">
        <v>5.4</v>
      </c>
      <c r="G422" s="9">
        <v>9.7811523769999997</v>
      </c>
      <c r="H422" s="9">
        <v>5.8784999999999998</v>
      </c>
      <c r="I422" s="9">
        <v>6.15</v>
      </c>
      <c r="J422" s="9">
        <v>5.5424999999999997E-3</v>
      </c>
      <c r="K422" s="9">
        <v>1.2122568</v>
      </c>
      <c r="L422" s="12">
        <v>0.51858652168191988</v>
      </c>
      <c r="M422" s="12">
        <v>0.69367027831808015</v>
      </c>
    </row>
    <row r="423" spans="2:13" x14ac:dyDescent="0.3">
      <c r="B423" s="3" t="s">
        <v>409</v>
      </c>
      <c r="C423" s="9">
        <v>1.6666666670000001</v>
      </c>
      <c r="D423" s="9">
        <v>2</v>
      </c>
      <c r="E423" s="9">
        <v>30</v>
      </c>
      <c r="F423" s="9">
        <v>19.8</v>
      </c>
      <c r="G423" s="9">
        <v>36.198215949999998</v>
      </c>
      <c r="H423" s="9">
        <v>1.62</v>
      </c>
      <c r="I423" s="9">
        <v>22.76</v>
      </c>
      <c r="J423" s="9">
        <v>6.9100000000000003E-3</v>
      </c>
      <c r="K423" s="9">
        <v>-4.0372675969999996</v>
      </c>
      <c r="L423" s="12">
        <v>0.20670974481820181</v>
      </c>
      <c r="M423" s="12">
        <v>-4.2439773418182014</v>
      </c>
    </row>
    <row r="424" spans="2:13" x14ac:dyDescent="0.3">
      <c r="B424" s="3" t="s">
        <v>410</v>
      </c>
      <c r="C424" s="9">
        <v>1.6666666670000001</v>
      </c>
      <c r="D424" s="9">
        <v>4</v>
      </c>
      <c r="E424" s="9">
        <v>20</v>
      </c>
      <c r="F424" s="9">
        <v>9.1999999999999993</v>
      </c>
      <c r="G424" s="9">
        <v>17.03351902</v>
      </c>
      <c r="H424" s="9">
        <v>1.08</v>
      </c>
      <c r="I424" s="9">
        <v>10.71</v>
      </c>
      <c r="J424" s="9">
        <v>4.8399999999999997E-3</v>
      </c>
      <c r="K424" s="9">
        <v>3.7583816999999999E-2</v>
      </c>
      <c r="L424" s="12">
        <v>2.5106844011261202</v>
      </c>
      <c r="M424" s="12">
        <v>-2.4731005841261204</v>
      </c>
    </row>
    <row r="425" spans="2:13" x14ac:dyDescent="0.3">
      <c r="B425" s="3" t="s">
        <v>411</v>
      </c>
      <c r="C425" s="9">
        <v>0.6</v>
      </c>
      <c r="D425" s="9">
        <v>2</v>
      </c>
      <c r="E425" s="9">
        <v>10</v>
      </c>
      <c r="F425" s="9">
        <v>11.5</v>
      </c>
      <c r="G425" s="9">
        <v>43.482391219999997</v>
      </c>
      <c r="H425" s="9">
        <v>0.94</v>
      </c>
      <c r="I425" s="9">
        <v>27.34</v>
      </c>
      <c r="J425" s="9">
        <v>4.0000000000000001E-3</v>
      </c>
      <c r="K425" s="9">
        <v>-2.0897554239999998</v>
      </c>
      <c r="L425" s="12">
        <v>-2.8317142495803438</v>
      </c>
      <c r="M425" s="12">
        <v>0.74195882558034398</v>
      </c>
    </row>
    <row r="426" spans="2:13" x14ac:dyDescent="0.3">
      <c r="B426" s="3" t="s">
        <v>412</v>
      </c>
      <c r="C426" s="9">
        <v>1.6666666670000001</v>
      </c>
      <c r="D426" s="9">
        <v>2</v>
      </c>
      <c r="E426" s="9">
        <v>60</v>
      </c>
      <c r="F426" s="9">
        <v>4.5999999999999996</v>
      </c>
      <c r="G426" s="9">
        <v>0</v>
      </c>
      <c r="H426" s="9">
        <v>3.24</v>
      </c>
      <c r="I426" s="9">
        <v>0</v>
      </c>
      <c r="J426" s="9">
        <v>1.205E-2</v>
      </c>
      <c r="K426" s="9">
        <v>86.831721079999994</v>
      </c>
      <c r="L426" s="12">
        <v>55.749141998019333</v>
      </c>
      <c r="M426" s="12">
        <v>31.082579081980661</v>
      </c>
    </row>
    <row r="427" spans="2:13" x14ac:dyDescent="0.3">
      <c r="B427" s="3" t="s">
        <v>413</v>
      </c>
      <c r="C427" s="9">
        <v>0.6</v>
      </c>
      <c r="D427" s="9">
        <v>1</v>
      </c>
      <c r="E427" s="9">
        <v>30</v>
      </c>
      <c r="F427" s="9">
        <v>16.5</v>
      </c>
      <c r="G427" s="9">
        <v>13.12105807</v>
      </c>
      <c r="H427" s="9">
        <v>2.82</v>
      </c>
      <c r="I427" s="9">
        <v>8.25</v>
      </c>
      <c r="J427" s="9">
        <v>9.2599999999999991E-3</v>
      </c>
      <c r="K427" s="9">
        <v>0.70165761500000001</v>
      </c>
      <c r="L427" s="12">
        <v>-7.10750222976327</v>
      </c>
      <c r="M427" s="12">
        <v>7.8091598447632702</v>
      </c>
    </row>
    <row r="428" spans="2:13" x14ac:dyDescent="0.3">
      <c r="B428" s="3" t="s">
        <v>414</v>
      </c>
      <c r="C428" s="9">
        <v>1</v>
      </c>
      <c r="D428" s="9">
        <v>6</v>
      </c>
      <c r="E428" s="9">
        <v>15</v>
      </c>
      <c r="F428" s="9">
        <v>7.5</v>
      </c>
      <c r="G428" s="9">
        <v>16.953997449999999</v>
      </c>
      <c r="H428" s="9">
        <v>6.5609999999999999</v>
      </c>
      <c r="I428" s="9">
        <v>10.66</v>
      </c>
      <c r="J428" s="9">
        <v>6.6531000000000003E-3</v>
      </c>
      <c r="K428" s="9">
        <v>5.1819799999999999E-2</v>
      </c>
      <c r="L428" s="12">
        <v>8.8654993773132098</v>
      </c>
      <c r="M428" s="12">
        <v>-8.8136795773132093</v>
      </c>
    </row>
    <row r="429" spans="2:13" x14ac:dyDescent="0.3">
      <c r="B429" s="3" t="s">
        <v>415</v>
      </c>
      <c r="C429" s="9">
        <v>1.6666666670000001</v>
      </c>
      <c r="D429" s="9">
        <v>6</v>
      </c>
      <c r="E429" s="9">
        <v>30</v>
      </c>
      <c r="F429" s="9">
        <v>3.3</v>
      </c>
      <c r="G429" s="9">
        <v>0</v>
      </c>
      <c r="H429" s="9">
        <v>1.62</v>
      </c>
      <c r="I429" s="9">
        <v>0</v>
      </c>
      <c r="J429" s="9">
        <v>6.9100200000000002E-3</v>
      </c>
      <c r="K429" s="9">
        <v>42.17996368</v>
      </c>
      <c r="L429" s="12">
        <v>37.645112076586656</v>
      </c>
      <c r="M429" s="12">
        <v>4.5348516034133439</v>
      </c>
    </row>
    <row r="430" spans="2:13" x14ac:dyDescent="0.3">
      <c r="B430" s="3" t="s">
        <v>416</v>
      </c>
      <c r="C430" s="9">
        <v>0.6</v>
      </c>
      <c r="D430" s="9">
        <v>6</v>
      </c>
      <c r="E430" s="9">
        <v>60</v>
      </c>
      <c r="F430" s="9">
        <v>27.6</v>
      </c>
      <c r="G430" s="9">
        <v>1.908517537</v>
      </c>
      <c r="H430" s="9">
        <v>5.64</v>
      </c>
      <c r="I430" s="9">
        <v>1.2</v>
      </c>
      <c r="J430" s="9">
        <v>1.378998E-2</v>
      </c>
      <c r="K430" s="9">
        <v>2.3821838309999999</v>
      </c>
      <c r="L430" s="12">
        <v>-0.2975314524148871</v>
      </c>
      <c r="M430" s="12">
        <v>2.679715283414887</v>
      </c>
    </row>
    <row r="431" spans="2:13" x14ac:dyDescent="0.3">
      <c r="B431" s="3" t="s">
        <v>417</v>
      </c>
      <c r="C431" s="9">
        <v>1.6666666670000001</v>
      </c>
      <c r="D431" s="9">
        <v>4</v>
      </c>
      <c r="E431" s="9">
        <v>60</v>
      </c>
      <c r="F431" s="9">
        <v>32.5</v>
      </c>
      <c r="G431" s="9">
        <v>6.0277345550000003</v>
      </c>
      <c r="H431" s="9">
        <v>3.24</v>
      </c>
      <c r="I431" s="9">
        <v>3.79</v>
      </c>
      <c r="J431" s="9">
        <v>1.205E-2</v>
      </c>
      <c r="K431" s="9">
        <v>1.525071415</v>
      </c>
      <c r="L431" s="12">
        <v>4.8018991296474027</v>
      </c>
      <c r="M431" s="12">
        <v>-3.2768277146474025</v>
      </c>
    </row>
    <row r="432" spans="2:13" x14ac:dyDescent="0.3">
      <c r="B432" s="3" t="s">
        <v>418</v>
      </c>
      <c r="C432" s="9">
        <v>1</v>
      </c>
      <c r="D432" s="9">
        <v>4</v>
      </c>
      <c r="E432" s="9">
        <v>60</v>
      </c>
      <c r="F432" s="9">
        <v>33.299999999999997</v>
      </c>
      <c r="G432" s="9">
        <v>3.5148531310000002</v>
      </c>
      <c r="H432" s="9">
        <v>7.9885999999999999</v>
      </c>
      <c r="I432" s="9">
        <v>2.21</v>
      </c>
      <c r="J432" s="9">
        <v>1.2535040000000001E-2</v>
      </c>
      <c r="K432" s="9">
        <v>1.6279444590000001</v>
      </c>
      <c r="L432" s="12">
        <v>2.0694281876953369</v>
      </c>
      <c r="M432" s="12">
        <v>-0.44148372869533681</v>
      </c>
    </row>
    <row r="433" spans="2:13" x14ac:dyDescent="0.3">
      <c r="B433" s="3" t="s">
        <v>419</v>
      </c>
      <c r="C433" s="9">
        <v>0.6</v>
      </c>
      <c r="D433" s="9">
        <v>6</v>
      </c>
      <c r="E433" s="9">
        <v>40</v>
      </c>
      <c r="F433" s="9">
        <v>7.8</v>
      </c>
      <c r="G433" s="9">
        <v>2.0675606649999998</v>
      </c>
      <c r="H433" s="9">
        <v>3.76</v>
      </c>
      <c r="I433" s="9">
        <v>1.3</v>
      </c>
      <c r="J433" s="9">
        <v>9.2599799999999993E-3</v>
      </c>
      <c r="K433" s="9">
        <v>13.227483319999999</v>
      </c>
      <c r="L433" s="12">
        <v>26.692556969824444</v>
      </c>
      <c r="M433" s="12">
        <v>-13.465073649824445</v>
      </c>
    </row>
    <row r="434" spans="2:13" x14ac:dyDescent="0.3">
      <c r="B434" s="3" t="s">
        <v>420</v>
      </c>
      <c r="C434" s="9">
        <v>1.6666666670000001</v>
      </c>
      <c r="D434" s="9">
        <v>6</v>
      </c>
      <c r="E434" s="9">
        <v>40</v>
      </c>
      <c r="F434" s="9">
        <v>23.4</v>
      </c>
      <c r="G434" s="9">
        <v>14.218455649999999</v>
      </c>
      <c r="H434" s="9">
        <v>2.16</v>
      </c>
      <c r="I434" s="9">
        <v>8.94</v>
      </c>
      <c r="J434" s="9">
        <v>8.7799799999999997E-3</v>
      </c>
      <c r="K434" s="9">
        <v>0.46839842999999998</v>
      </c>
      <c r="L434" s="12">
        <v>-6.1580524281017546</v>
      </c>
      <c r="M434" s="12">
        <v>6.6264508581017543</v>
      </c>
    </row>
    <row r="435" spans="2:13" x14ac:dyDescent="0.3">
      <c r="B435" s="3" t="s">
        <v>421</v>
      </c>
      <c r="C435" s="9">
        <v>1</v>
      </c>
      <c r="D435" s="9">
        <v>2</v>
      </c>
      <c r="E435" s="9">
        <v>60</v>
      </c>
      <c r="F435" s="9">
        <v>9.4</v>
      </c>
      <c r="G435" s="9">
        <v>1.733570096</v>
      </c>
      <c r="H435" s="9">
        <v>7.9885999999999999</v>
      </c>
      <c r="I435" s="9">
        <v>1.0900000000000001</v>
      </c>
      <c r="J435" s="9">
        <v>1.2535019999999999E-2</v>
      </c>
      <c r="K435" s="9">
        <v>21.106583860000001</v>
      </c>
      <c r="L435" s="12">
        <v>30.849296087179525</v>
      </c>
      <c r="M435" s="12">
        <v>-9.7427122271795241</v>
      </c>
    </row>
    <row r="436" spans="2:13" x14ac:dyDescent="0.3">
      <c r="B436" s="3" t="s">
        <v>422</v>
      </c>
      <c r="C436" s="9">
        <v>1.6666666670000001</v>
      </c>
      <c r="D436" s="9">
        <v>2</v>
      </c>
      <c r="E436" s="9">
        <v>60</v>
      </c>
      <c r="F436" s="9">
        <v>23</v>
      </c>
      <c r="G436" s="9">
        <v>8.8746065470000008</v>
      </c>
      <c r="H436" s="9">
        <v>3.24</v>
      </c>
      <c r="I436" s="9">
        <v>5.58</v>
      </c>
      <c r="J436" s="9">
        <v>1.205E-2</v>
      </c>
      <c r="K436" s="9">
        <v>2.5451419120000001</v>
      </c>
      <c r="L436" s="12">
        <v>3.8863469101100421</v>
      </c>
      <c r="M436" s="12">
        <v>-1.341204998110042</v>
      </c>
    </row>
    <row r="437" spans="2:13" x14ac:dyDescent="0.3">
      <c r="B437" s="3" t="s">
        <v>423</v>
      </c>
      <c r="C437" s="9">
        <v>1.6666666670000001</v>
      </c>
      <c r="D437" s="9">
        <v>4</v>
      </c>
      <c r="E437" s="9">
        <v>20</v>
      </c>
      <c r="F437" s="9">
        <v>13.8</v>
      </c>
      <c r="G437" s="9">
        <v>36.102790079999998</v>
      </c>
      <c r="H437" s="9">
        <v>1.08</v>
      </c>
      <c r="I437" s="9">
        <v>22.7</v>
      </c>
      <c r="J437" s="9">
        <v>4.8399999999999997E-3</v>
      </c>
      <c r="K437" s="9">
        <v>-3.6687384600000001</v>
      </c>
      <c r="L437" s="12">
        <v>-1.4593886735502863</v>
      </c>
      <c r="M437" s="12">
        <v>-2.2093497864497138</v>
      </c>
    </row>
    <row r="438" spans="2:13" x14ac:dyDescent="0.3">
      <c r="B438" s="3" t="s">
        <v>424</v>
      </c>
      <c r="C438" s="9">
        <v>0.6</v>
      </c>
      <c r="D438" s="9">
        <v>6</v>
      </c>
      <c r="E438" s="9">
        <v>15</v>
      </c>
      <c r="F438" s="9">
        <v>11.4</v>
      </c>
      <c r="G438" s="9">
        <v>31.919955810000001</v>
      </c>
      <c r="H438" s="9">
        <v>1.41</v>
      </c>
      <c r="I438" s="9">
        <v>20.07</v>
      </c>
      <c r="J438" s="9">
        <v>5.7100199999999997E-3</v>
      </c>
      <c r="K438" s="9">
        <v>-2.1710200479999999</v>
      </c>
      <c r="L438" s="12">
        <v>3.1938014304768387</v>
      </c>
      <c r="M438" s="12">
        <v>-5.3648214784768387</v>
      </c>
    </row>
    <row r="439" spans="2:13" x14ac:dyDescent="0.3">
      <c r="B439" s="3" t="s">
        <v>425</v>
      </c>
      <c r="C439" s="9">
        <v>1</v>
      </c>
      <c r="D439" s="9">
        <v>6</v>
      </c>
      <c r="E439" s="9">
        <v>10</v>
      </c>
      <c r="F439" s="9">
        <v>12.4</v>
      </c>
      <c r="G439" s="9">
        <v>51.657207999999997</v>
      </c>
      <c r="H439" s="9">
        <v>5.8784999999999998</v>
      </c>
      <c r="I439" s="9">
        <v>32.479999999999997</v>
      </c>
      <c r="J439" s="9">
        <v>5.5424999999999997E-3</v>
      </c>
      <c r="K439" s="9">
        <v>-2.741458014</v>
      </c>
      <c r="L439" s="12">
        <v>-4.8506555683252017E-2</v>
      </c>
      <c r="M439" s="12">
        <v>-2.692951458316748</v>
      </c>
    </row>
    <row r="440" spans="2:13" x14ac:dyDescent="0.3">
      <c r="B440" s="3" t="s">
        <v>426</v>
      </c>
      <c r="C440" s="9">
        <v>0.6</v>
      </c>
      <c r="D440" s="9">
        <v>6</v>
      </c>
      <c r="E440" s="9">
        <v>15</v>
      </c>
      <c r="F440" s="9">
        <v>3.8</v>
      </c>
      <c r="G440" s="9">
        <v>3.4035229409999999</v>
      </c>
      <c r="H440" s="9">
        <v>1.41</v>
      </c>
      <c r="I440" s="9">
        <v>2.14</v>
      </c>
      <c r="J440" s="9">
        <v>5.7100199999999997E-3</v>
      </c>
      <c r="K440" s="9">
        <v>7.6399977750000003</v>
      </c>
      <c r="L440" s="12">
        <v>17.838364071737175</v>
      </c>
      <c r="M440" s="12">
        <v>-10.198366296737174</v>
      </c>
    </row>
    <row r="441" spans="2:13" x14ac:dyDescent="0.3">
      <c r="B441" s="3" t="s">
        <v>427</v>
      </c>
      <c r="C441" s="9">
        <v>1</v>
      </c>
      <c r="D441" s="9">
        <v>2</v>
      </c>
      <c r="E441" s="9">
        <v>40</v>
      </c>
      <c r="F441" s="9">
        <v>24.6</v>
      </c>
      <c r="G441" s="9">
        <v>24.444928789999999</v>
      </c>
      <c r="H441" s="9">
        <v>7.9885999999999999</v>
      </c>
      <c r="I441" s="9">
        <v>15.37</v>
      </c>
      <c r="J441" s="9">
        <v>1.0389860000000001E-2</v>
      </c>
      <c r="K441" s="9">
        <v>-1.4217689520000001</v>
      </c>
      <c r="L441" s="12">
        <v>-0.10480124286492298</v>
      </c>
      <c r="M441" s="12">
        <v>-1.3169677091350771</v>
      </c>
    </row>
    <row r="442" spans="2:13" x14ac:dyDescent="0.3">
      <c r="B442" s="3" t="s">
        <v>428</v>
      </c>
      <c r="C442" s="9">
        <v>1.6666666670000001</v>
      </c>
      <c r="D442" s="9">
        <v>1</v>
      </c>
      <c r="E442" s="9">
        <v>10</v>
      </c>
      <c r="F442" s="9">
        <v>9.8000000000000007</v>
      </c>
      <c r="G442" s="9">
        <v>18.544428740000001</v>
      </c>
      <c r="H442" s="9">
        <v>0.54</v>
      </c>
      <c r="I442" s="9">
        <v>11.66</v>
      </c>
      <c r="J442" s="9">
        <v>2.5500000000000002E-3</v>
      </c>
      <c r="K442" s="9">
        <v>-8.8642962000000006E-2</v>
      </c>
      <c r="L442" s="12">
        <v>-12.94944251056681</v>
      </c>
      <c r="M442" s="12">
        <v>12.86079954856681</v>
      </c>
    </row>
    <row r="443" spans="2:13" x14ac:dyDescent="0.3">
      <c r="B443" s="3" t="s">
        <v>429</v>
      </c>
      <c r="C443" s="9">
        <v>1</v>
      </c>
      <c r="D443" s="9">
        <v>6</v>
      </c>
      <c r="E443" s="9">
        <v>30</v>
      </c>
      <c r="F443" s="9">
        <v>18</v>
      </c>
      <c r="G443" s="9">
        <v>12.198607920000001</v>
      </c>
      <c r="H443" s="9">
        <v>7.6656000000000004</v>
      </c>
      <c r="I443" s="9">
        <v>7.67</v>
      </c>
      <c r="J443" s="9">
        <v>9.1083599999999994E-3</v>
      </c>
      <c r="K443" s="9">
        <v>0.71982506300000004</v>
      </c>
      <c r="L443" s="12">
        <v>-9.7868015269665349</v>
      </c>
      <c r="M443" s="12">
        <v>10.506626589966535</v>
      </c>
    </row>
    <row r="444" spans="2:13" x14ac:dyDescent="0.3">
      <c r="B444" s="3" t="s">
        <v>430</v>
      </c>
      <c r="C444" s="9">
        <v>1.6666666670000001</v>
      </c>
      <c r="D444" s="9">
        <v>6</v>
      </c>
      <c r="E444" s="9">
        <v>10</v>
      </c>
      <c r="F444" s="9">
        <v>1.6</v>
      </c>
      <c r="G444" s="9">
        <v>0</v>
      </c>
      <c r="H444" s="9">
        <v>0.54</v>
      </c>
      <c r="I444" s="9">
        <v>0</v>
      </c>
      <c r="J444" s="9">
        <v>2.5500000000000002E-3</v>
      </c>
      <c r="K444" s="9">
        <v>19.93662346</v>
      </c>
      <c r="L444" s="12">
        <v>15.097513186955284</v>
      </c>
      <c r="M444" s="12">
        <v>4.8391102730447155</v>
      </c>
    </row>
    <row r="445" spans="2:13" x14ac:dyDescent="0.3">
      <c r="B445" s="3" t="s">
        <v>431</v>
      </c>
      <c r="C445" s="9">
        <v>1</v>
      </c>
      <c r="D445" s="9">
        <v>6</v>
      </c>
      <c r="E445" s="9">
        <v>60</v>
      </c>
      <c r="F445" s="9">
        <v>18.8</v>
      </c>
      <c r="G445" s="9">
        <v>0</v>
      </c>
      <c r="H445" s="9">
        <v>7.9885999999999999</v>
      </c>
      <c r="I445" s="9">
        <v>0</v>
      </c>
      <c r="J445" s="9">
        <v>1.2535019999999999E-2</v>
      </c>
      <c r="K445" s="9">
        <v>5.3310038510000002</v>
      </c>
      <c r="L445" s="12">
        <v>1.8467927770665824</v>
      </c>
      <c r="M445" s="12">
        <v>3.4842110739334178</v>
      </c>
    </row>
    <row r="446" spans="2:13" x14ac:dyDescent="0.3">
      <c r="B446" s="3" t="s">
        <v>432</v>
      </c>
      <c r="C446" s="9">
        <v>1.6666666670000001</v>
      </c>
      <c r="D446" s="9">
        <v>4</v>
      </c>
      <c r="E446" s="9">
        <v>10</v>
      </c>
      <c r="F446" s="9">
        <v>9.6</v>
      </c>
      <c r="G446" s="9">
        <v>39.903920839999998</v>
      </c>
      <c r="H446" s="9">
        <v>0.54</v>
      </c>
      <c r="I446" s="9">
        <v>25.09</v>
      </c>
      <c r="J446" s="9">
        <v>2.5500000000000002E-3</v>
      </c>
      <c r="K446" s="9">
        <v>-2.4381319850000001</v>
      </c>
      <c r="L446" s="12">
        <v>-1.7306505503825478</v>
      </c>
      <c r="M446" s="12">
        <v>-0.70748143461745228</v>
      </c>
    </row>
    <row r="447" spans="2:13" x14ac:dyDescent="0.3">
      <c r="B447" s="3" t="s">
        <v>433</v>
      </c>
      <c r="C447" s="9">
        <v>1.6666666670000001</v>
      </c>
      <c r="D447" s="9">
        <v>1</v>
      </c>
      <c r="E447" s="9">
        <v>10</v>
      </c>
      <c r="F447" s="9">
        <v>3.2</v>
      </c>
      <c r="G447" s="9">
        <v>2.94229787</v>
      </c>
      <c r="H447" s="9">
        <v>0.54</v>
      </c>
      <c r="I447" s="9">
        <v>1.85</v>
      </c>
      <c r="J447" s="9">
        <v>2.5500000000000002E-3</v>
      </c>
      <c r="K447" s="9">
        <v>4.8377576949999996</v>
      </c>
      <c r="L447" s="12">
        <v>8.2119867351535962</v>
      </c>
      <c r="M447" s="12">
        <v>-3.3742290401535966</v>
      </c>
    </row>
    <row r="448" spans="2:13" x14ac:dyDescent="0.3">
      <c r="B448" s="3" t="s">
        <v>434</v>
      </c>
      <c r="C448" s="9">
        <v>0.6</v>
      </c>
      <c r="D448" s="9">
        <v>1</v>
      </c>
      <c r="E448" s="9">
        <v>20</v>
      </c>
      <c r="F448" s="9">
        <v>6.9</v>
      </c>
      <c r="G448" s="9">
        <v>3.2603841259999999</v>
      </c>
      <c r="H448" s="9">
        <v>1.88</v>
      </c>
      <c r="I448" s="9">
        <v>2.0499999999999998</v>
      </c>
      <c r="J448" s="9">
        <v>6.9699999999999996E-3</v>
      </c>
      <c r="K448" s="9">
        <v>4.13333204</v>
      </c>
      <c r="L448" s="12">
        <v>8.6566613133049302</v>
      </c>
      <c r="M448" s="12">
        <v>-4.5233292733049302</v>
      </c>
    </row>
    <row r="449" spans="2:13" x14ac:dyDescent="0.3">
      <c r="B449" s="3" t="s">
        <v>435</v>
      </c>
      <c r="C449" s="9">
        <v>0.6</v>
      </c>
      <c r="D449" s="9">
        <v>4</v>
      </c>
      <c r="E449" s="9">
        <v>15</v>
      </c>
      <c r="F449" s="9">
        <v>13.3</v>
      </c>
      <c r="G449" s="9">
        <v>40.619614910000003</v>
      </c>
      <c r="H449" s="9">
        <v>1.41</v>
      </c>
      <c r="I449" s="9">
        <v>25.54</v>
      </c>
      <c r="J449" s="9">
        <v>5.7099999999999998E-3</v>
      </c>
      <c r="K449" s="9">
        <v>-2.9850478840000001</v>
      </c>
      <c r="L449" s="12">
        <v>-2.3682077801233046</v>
      </c>
      <c r="M449" s="12">
        <v>-0.61684010387669552</v>
      </c>
    </row>
    <row r="450" spans="2:13" x14ac:dyDescent="0.3">
      <c r="B450" s="3" t="s">
        <v>436</v>
      </c>
      <c r="C450" s="9">
        <v>1</v>
      </c>
      <c r="D450" s="9">
        <v>2</v>
      </c>
      <c r="E450" s="9">
        <v>10</v>
      </c>
      <c r="F450" s="9">
        <v>3.6</v>
      </c>
      <c r="G450" s="9">
        <v>4.1510256429999997</v>
      </c>
      <c r="H450" s="9">
        <v>5.8784999999999998</v>
      </c>
      <c r="I450" s="9">
        <v>2.61</v>
      </c>
      <c r="J450" s="9">
        <v>5.5424999999999997E-3</v>
      </c>
      <c r="K450" s="9">
        <v>3.8023715629999999</v>
      </c>
      <c r="L450" s="12">
        <v>5.89820135681388</v>
      </c>
      <c r="M450" s="12">
        <v>-2.0958297938138801</v>
      </c>
    </row>
    <row r="451" spans="2:13" x14ac:dyDescent="0.3">
      <c r="B451" s="3" t="s">
        <v>437</v>
      </c>
      <c r="C451" s="9">
        <v>1.6666666670000001</v>
      </c>
      <c r="D451" s="9">
        <v>2</v>
      </c>
      <c r="E451" s="9">
        <v>20</v>
      </c>
      <c r="F451" s="9">
        <v>11.5</v>
      </c>
      <c r="G451" s="9">
        <v>24.937962479999999</v>
      </c>
      <c r="H451" s="9">
        <v>1.08</v>
      </c>
      <c r="I451" s="9">
        <v>15.68</v>
      </c>
      <c r="J451" s="9">
        <v>4.8399999999999997E-3</v>
      </c>
      <c r="K451" s="9">
        <v>-1.713556079</v>
      </c>
      <c r="L451" s="12">
        <v>0.68698560822110011</v>
      </c>
      <c r="M451" s="12">
        <v>-2.4005416872211001</v>
      </c>
    </row>
    <row r="452" spans="2:13" x14ac:dyDescent="0.3">
      <c r="B452" s="3" t="s">
        <v>438</v>
      </c>
      <c r="C452" s="9">
        <v>1.6666666670000001</v>
      </c>
      <c r="D452" s="9">
        <v>1</v>
      </c>
      <c r="E452" s="9">
        <v>30</v>
      </c>
      <c r="F452" s="9">
        <v>3.3</v>
      </c>
      <c r="G452" s="9">
        <v>0.63617251200000002</v>
      </c>
      <c r="H452" s="9">
        <v>1.62</v>
      </c>
      <c r="I452" s="9">
        <v>0.4</v>
      </c>
      <c r="J452" s="9">
        <v>6.9100000000000003E-3</v>
      </c>
      <c r="K452" s="9">
        <v>42.122043920000003</v>
      </c>
      <c r="L452" s="12">
        <v>38.780169195285822</v>
      </c>
      <c r="M452" s="12">
        <v>3.3418747247141809</v>
      </c>
    </row>
    <row r="453" spans="2:13" x14ac:dyDescent="0.3">
      <c r="B453" s="3" t="s">
        <v>439</v>
      </c>
      <c r="C453" s="9">
        <v>0.6</v>
      </c>
      <c r="D453" s="9">
        <v>6</v>
      </c>
      <c r="E453" s="9">
        <v>10</v>
      </c>
      <c r="F453" s="9">
        <v>1.6</v>
      </c>
      <c r="G453" s="9">
        <v>0</v>
      </c>
      <c r="H453" s="9">
        <v>0.94</v>
      </c>
      <c r="I453" s="9">
        <v>0</v>
      </c>
      <c r="J453" s="9">
        <v>4.00002E-3</v>
      </c>
      <c r="K453" s="9">
        <v>19.93662346</v>
      </c>
      <c r="L453" s="12">
        <v>18.038019988672584</v>
      </c>
      <c r="M453" s="12">
        <v>1.8986034713274158</v>
      </c>
    </row>
    <row r="454" spans="2:13" x14ac:dyDescent="0.3">
      <c r="B454" s="3" t="s">
        <v>440</v>
      </c>
      <c r="C454" s="9">
        <v>1.6666666670000001</v>
      </c>
      <c r="D454" s="9">
        <v>1</v>
      </c>
      <c r="E454" s="9">
        <v>60</v>
      </c>
      <c r="F454" s="9">
        <v>27.6</v>
      </c>
      <c r="G454" s="9">
        <v>14.791010910000001</v>
      </c>
      <c r="H454" s="9">
        <v>3.24</v>
      </c>
      <c r="I454" s="9">
        <v>9.3000000000000007</v>
      </c>
      <c r="J454" s="9">
        <v>1.205E-2</v>
      </c>
      <c r="K454" s="9">
        <v>0.62162394300000001</v>
      </c>
      <c r="L454" s="12">
        <v>11.449313159626378</v>
      </c>
      <c r="M454" s="12">
        <v>-10.827689216626379</v>
      </c>
    </row>
    <row r="455" spans="2:13" x14ac:dyDescent="0.3">
      <c r="B455" s="3" t="s">
        <v>441</v>
      </c>
      <c r="C455" s="9">
        <v>1</v>
      </c>
      <c r="D455" s="9">
        <v>2</v>
      </c>
      <c r="E455" s="9">
        <v>40</v>
      </c>
      <c r="F455" s="9">
        <v>20.5</v>
      </c>
      <c r="G455" s="9">
        <v>19.8644867</v>
      </c>
      <c r="H455" s="9">
        <v>7.9885999999999999</v>
      </c>
      <c r="I455" s="9">
        <v>12.49</v>
      </c>
      <c r="J455" s="9">
        <v>1.0389860000000001E-2</v>
      </c>
      <c r="K455" s="9">
        <v>-0.67517504399999995</v>
      </c>
      <c r="L455" s="12">
        <v>-3.2478422378730443E-2</v>
      </c>
      <c r="M455" s="12">
        <v>-0.6426966216212695</v>
      </c>
    </row>
    <row r="456" spans="2:13" x14ac:dyDescent="0.3">
      <c r="B456" s="3" t="s">
        <v>442</v>
      </c>
      <c r="C456" s="9">
        <v>0.6</v>
      </c>
      <c r="D456" s="9">
        <v>4</v>
      </c>
      <c r="E456" s="9">
        <v>60</v>
      </c>
      <c r="F456" s="9">
        <v>32.299999999999997</v>
      </c>
      <c r="G456" s="9">
        <v>7.2523666410000001</v>
      </c>
      <c r="H456" s="9">
        <v>5.64</v>
      </c>
      <c r="I456" s="9">
        <v>4.5599999999999996</v>
      </c>
      <c r="J456" s="9">
        <v>1.379E-2</v>
      </c>
      <c r="K456" s="9">
        <v>1.4468384780000001</v>
      </c>
      <c r="L456" s="12">
        <v>5.7466634144533231</v>
      </c>
      <c r="M456" s="12">
        <v>-4.299824936453323</v>
      </c>
    </row>
    <row r="457" spans="2:13" x14ac:dyDescent="0.3">
      <c r="B457" s="3" t="s">
        <v>443</v>
      </c>
      <c r="C457" s="9">
        <v>1.6666666670000001</v>
      </c>
      <c r="D457" s="9">
        <v>6</v>
      </c>
      <c r="E457" s="9">
        <v>30</v>
      </c>
      <c r="F457" s="9">
        <v>13.2</v>
      </c>
      <c r="G457" s="9">
        <v>12.96201494</v>
      </c>
      <c r="H457" s="9">
        <v>1.62</v>
      </c>
      <c r="I457" s="9">
        <v>8.15</v>
      </c>
      <c r="J457" s="9">
        <v>6.9100200000000002E-3</v>
      </c>
      <c r="K457" s="9">
        <v>1.133444871</v>
      </c>
      <c r="L457" s="12">
        <v>2.0601005717097074</v>
      </c>
      <c r="M457" s="12">
        <v>-0.92665570070970738</v>
      </c>
    </row>
    <row r="458" spans="2:13" x14ac:dyDescent="0.3">
      <c r="B458" s="3" t="s">
        <v>444</v>
      </c>
      <c r="C458" s="9">
        <v>1</v>
      </c>
      <c r="D458" s="9">
        <v>6</v>
      </c>
      <c r="E458" s="9">
        <v>30</v>
      </c>
      <c r="F458" s="9">
        <v>10.8</v>
      </c>
      <c r="G458" s="9">
        <v>7.9362520920000001</v>
      </c>
      <c r="H458" s="9">
        <v>7.6656000000000004</v>
      </c>
      <c r="I458" s="9">
        <v>4.99</v>
      </c>
      <c r="J458" s="9">
        <v>9.1083599999999994E-3</v>
      </c>
      <c r="K458" s="9">
        <v>3.175457057</v>
      </c>
      <c r="L458" s="12">
        <v>8.8083878876396611</v>
      </c>
      <c r="M458" s="12">
        <v>-5.632930830639661</v>
      </c>
    </row>
    <row r="459" spans="2:13" x14ac:dyDescent="0.3">
      <c r="B459" s="3" t="s">
        <v>445</v>
      </c>
      <c r="C459" s="9">
        <v>1.6666666670000001</v>
      </c>
      <c r="D459" s="9">
        <v>6</v>
      </c>
      <c r="E459" s="9">
        <v>10</v>
      </c>
      <c r="F459" s="9">
        <v>4.8</v>
      </c>
      <c r="G459" s="9">
        <v>9.9083868800000001</v>
      </c>
      <c r="H459" s="9">
        <v>0.54</v>
      </c>
      <c r="I459" s="9">
        <v>6.23</v>
      </c>
      <c r="J459" s="9">
        <v>2.5500000000000002E-3</v>
      </c>
      <c r="K459" s="9">
        <v>1.477300337</v>
      </c>
      <c r="L459" s="12">
        <v>4.4797884755077337</v>
      </c>
      <c r="M459" s="12">
        <v>-3.0024881385077338</v>
      </c>
    </row>
    <row r="460" spans="2:13" x14ac:dyDescent="0.3">
      <c r="B460" s="3" t="s">
        <v>446</v>
      </c>
      <c r="C460" s="9">
        <v>1</v>
      </c>
      <c r="D460" s="9">
        <v>6</v>
      </c>
      <c r="E460" s="9">
        <v>15</v>
      </c>
      <c r="F460" s="9">
        <v>2.5</v>
      </c>
      <c r="G460" s="9">
        <v>1.2723450249999999</v>
      </c>
      <c r="H460" s="9">
        <v>6.5609999999999999</v>
      </c>
      <c r="I460" s="9">
        <v>0.8</v>
      </c>
      <c r="J460" s="9">
        <v>6.6531000000000003E-3</v>
      </c>
      <c r="K460" s="9">
        <v>18.738408379999999</v>
      </c>
      <c r="L460" s="12">
        <v>23.378146374867011</v>
      </c>
      <c r="M460" s="12">
        <v>-4.6397379948670121</v>
      </c>
    </row>
    <row r="461" spans="2:13" x14ac:dyDescent="0.3">
      <c r="B461" s="3" t="s">
        <v>447</v>
      </c>
      <c r="C461" s="9">
        <v>1.6666666670000001</v>
      </c>
      <c r="D461" s="9">
        <v>2</v>
      </c>
      <c r="E461" s="9">
        <v>40</v>
      </c>
      <c r="F461" s="9">
        <v>26.8</v>
      </c>
      <c r="G461" s="9">
        <v>30.12276846</v>
      </c>
      <c r="H461" s="9">
        <v>2.16</v>
      </c>
      <c r="I461" s="9">
        <v>18.940000000000001</v>
      </c>
      <c r="J461" s="9">
        <v>8.7799999999999996E-3</v>
      </c>
      <c r="K461" s="9">
        <v>-2.363326056</v>
      </c>
      <c r="L461" s="12">
        <v>2.8984854095324231</v>
      </c>
      <c r="M461" s="12">
        <v>-5.2618114655324231</v>
      </c>
    </row>
    <row r="462" spans="2:13" x14ac:dyDescent="0.3">
      <c r="B462" s="3" t="s">
        <v>448</v>
      </c>
      <c r="C462" s="9">
        <v>1</v>
      </c>
      <c r="D462" s="9">
        <v>6</v>
      </c>
      <c r="E462" s="9">
        <v>20</v>
      </c>
      <c r="F462" s="9">
        <v>2.8</v>
      </c>
      <c r="G462" s="9">
        <v>1.145110522</v>
      </c>
      <c r="H462" s="9">
        <v>7.0444000000000004</v>
      </c>
      <c r="I462" s="9">
        <v>0.72</v>
      </c>
      <c r="J462" s="9">
        <v>7.5770400000000002E-3</v>
      </c>
      <c r="K462" s="9">
        <v>26.584568879999999</v>
      </c>
      <c r="L462" s="12">
        <v>30.141419114204048</v>
      </c>
      <c r="M462" s="12">
        <v>-3.5568502342040489</v>
      </c>
    </row>
    <row r="463" spans="2:13" x14ac:dyDescent="0.3">
      <c r="B463" s="3" t="s">
        <v>449</v>
      </c>
      <c r="C463" s="9">
        <v>1</v>
      </c>
      <c r="D463" s="9">
        <v>2</v>
      </c>
      <c r="E463" s="9">
        <v>10</v>
      </c>
      <c r="F463" s="9">
        <v>1.8</v>
      </c>
      <c r="G463" s="9">
        <v>0.77931132800000003</v>
      </c>
      <c r="H463" s="9">
        <v>5.8784999999999998</v>
      </c>
      <c r="I463" s="9">
        <v>0.49</v>
      </c>
      <c r="J463" s="9">
        <v>5.5424999999999997E-3</v>
      </c>
      <c r="K463" s="9">
        <v>16.120605699999999</v>
      </c>
      <c r="L463" s="12">
        <v>14.060600988605712</v>
      </c>
      <c r="M463" s="12">
        <v>2.0600047113942868</v>
      </c>
    </row>
    <row r="464" spans="2:13" x14ac:dyDescent="0.3">
      <c r="B464" s="3" t="s">
        <v>450</v>
      </c>
      <c r="C464" s="9">
        <v>1.6666666670000001</v>
      </c>
      <c r="D464" s="9">
        <v>1</v>
      </c>
      <c r="E464" s="9">
        <v>30</v>
      </c>
      <c r="F464" s="9">
        <v>19.8</v>
      </c>
      <c r="G464" s="9">
        <v>25.16062286</v>
      </c>
      <c r="H464" s="9">
        <v>1.62</v>
      </c>
      <c r="I464" s="9">
        <v>15.82</v>
      </c>
      <c r="J464" s="9">
        <v>6.9100000000000003E-3</v>
      </c>
      <c r="K464" s="9">
        <v>-1.344951977</v>
      </c>
      <c r="L464" s="12">
        <v>-4.3908404828869401</v>
      </c>
      <c r="M464" s="12">
        <v>3.04588850588694</v>
      </c>
    </row>
    <row r="465" spans="2:13" x14ac:dyDescent="0.3">
      <c r="B465" s="3" t="s">
        <v>451</v>
      </c>
      <c r="C465" s="9">
        <v>1.6666666670000001</v>
      </c>
      <c r="D465" s="9">
        <v>1</v>
      </c>
      <c r="E465" s="9">
        <v>60</v>
      </c>
      <c r="F465" s="9">
        <v>4.5999999999999996</v>
      </c>
      <c r="G465" s="9">
        <v>0</v>
      </c>
      <c r="H465" s="9">
        <v>3.24</v>
      </c>
      <c r="I465" s="9">
        <v>0</v>
      </c>
      <c r="J465" s="9">
        <v>1.205E-2</v>
      </c>
      <c r="K465" s="9">
        <v>86.831721079999994</v>
      </c>
      <c r="L465" s="12">
        <v>58.820782442177567</v>
      </c>
      <c r="M465" s="12">
        <v>28.010938637822427</v>
      </c>
    </row>
    <row r="466" spans="2:13" x14ac:dyDescent="0.3">
      <c r="B466" s="3" t="s">
        <v>452</v>
      </c>
      <c r="C466" s="9">
        <v>0.6</v>
      </c>
      <c r="D466" s="9">
        <v>2</v>
      </c>
      <c r="E466" s="9">
        <v>60</v>
      </c>
      <c r="F466" s="9">
        <v>13.8</v>
      </c>
      <c r="G466" s="9">
        <v>4.0078868280000002</v>
      </c>
      <c r="H466" s="9">
        <v>5.64</v>
      </c>
      <c r="I466" s="9">
        <v>2.52</v>
      </c>
      <c r="J466" s="9">
        <v>1.379E-2</v>
      </c>
      <c r="K466" s="9">
        <v>9.1221484559999997</v>
      </c>
      <c r="L466" s="12">
        <v>18.165554041202512</v>
      </c>
      <c r="M466" s="12">
        <v>-9.0434055852025121</v>
      </c>
    </row>
    <row r="467" spans="2:13" x14ac:dyDescent="0.3">
      <c r="B467" s="3" t="s">
        <v>453</v>
      </c>
      <c r="C467" s="9">
        <v>0.6</v>
      </c>
      <c r="D467" s="9">
        <v>4</v>
      </c>
      <c r="E467" s="9">
        <v>40</v>
      </c>
      <c r="F467" s="9">
        <v>19.5</v>
      </c>
      <c r="G467" s="9">
        <v>14.74329797</v>
      </c>
      <c r="H467" s="9">
        <v>3.76</v>
      </c>
      <c r="I467" s="9">
        <v>9.27</v>
      </c>
      <c r="J467" s="9">
        <v>9.2599999999999991E-3</v>
      </c>
      <c r="K467" s="9">
        <v>0.56373785899999995</v>
      </c>
      <c r="L467" s="12">
        <v>-4.9625581856432177</v>
      </c>
      <c r="M467" s="12">
        <v>5.5262960446432174</v>
      </c>
    </row>
    <row r="468" spans="2:13" x14ac:dyDescent="0.3">
      <c r="B468" s="3" t="s">
        <v>454</v>
      </c>
      <c r="C468" s="9">
        <v>0.6</v>
      </c>
      <c r="D468" s="9">
        <v>2</v>
      </c>
      <c r="E468" s="9">
        <v>60</v>
      </c>
      <c r="F468" s="9">
        <v>23</v>
      </c>
      <c r="G468" s="9">
        <v>10.369611949999999</v>
      </c>
      <c r="H468" s="9">
        <v>5.64</v>
      </c>
      <c r="I468" s="9">
        <v>6.52</v>
      </c>
      <c r="J468" s="9">
        <v>1.379E-2</v>
      </c>
      <c r="K468" s="9">
        <v>2.206100927</v>
      </c>
      <c r="L468" s="12">
        <v>5.398740755210369</v>
      </c>
      <c r="M468" s="12">
        <v>-3.192639828210369</v>
      </c>
    </row>
    <row r="469" spans="2:13" x14ac:dyDescent="0.3">
      <c r="B469" s="3" t="s">
        <v>455</v>
      </c>
      <c r="C469" s="9">
        <v>1</v>
      </c>
      <c r="D469" s="9">
        <v>6</v>
      </c>
      <c r="E469" s="9">
        <v>10</v>
      </c>
      <c r="F469" s="9">
        <v>5.4</v>
      </c>
      <c r="G469" s="9">
        <v>12.75525887</v>
      </c>
      <c r="H469" s="9">
        <v>5.8784999999999998</v>
      </c>
      <c r="I469" s="9">
        <v>8.02</v>
      </c>
      <c r="J469" s="9">
        <v>5.5424999999999997E-3</v>
      </c>
      <c r="K469" s="9">
        <v>0.804081512</v>
      </c>
      <c r="L469" s="12">
        <v>5.6257067736904904</v>
      </c>
      <c r="M469" s="12">
        <v>-4.8216252616904907</v>
      </c>
    </row>
    <row r="470" spans="2:13" x14ac:dyDescent="0.3">
      <c r="B470" s="3" t="s">
        <v>456</v>
      </c>
      <c r="C470" s="9">
        <v>0.6</v>
      </c>
      <c r="D470" s="9">
        <v>4</v>
      </c>
      <c r="E470" s="9">
        <v>30</v>
      </c>
      <c r="F470" s="9">
        <v>6.6</v>
      </c>
      <c r="G470" s="9">
        <v>4.4213989610000004</v>
      </c>
      <c r="H470" s="9">
        <v>2.82</v>
      </c>
      <c r="I470" s="9">
        <v>2.78</v>
      </c>
      <c r="J470" s="9">
        <v>9.2599999999999991E-3</v>
      </c>
      <c r="K470" s="9">
        <v>9.8455736080000005</v>
      </c>
      <c r="L470" s="12">
        <v>18.819411812538853</v>
      </c>
      <c r="M470" s="12">
        <v>-8.9738382045388523</v>
      </c>
    </row>
    <row r="471" spans="2:13" x14ac:dyDescent="0.3">
      <c r="B471" s="3" t="s">
        <v>457</v>
      </c>
      <c r="C471" s="9">
        <v>1</v>
      </c>
      <c r="D471" s="9">
        <v>2</v>
      </c>
      <c r="E471" s="9">
        <v>15</v>
      </c>
      <c r="F471" s="9">
        <v>5</v>
      </c>
      <c r="G471" s="9">
        <v>6.6002898160000001</v>
      </c>
      <c r="H471" s="9">
        <v>6.5609999999999999</v>
      </c>
      <c r="I471" s="9">
        <v>4.1500000000000004</v>
      </c>
      <c r="J471" s="9">
        <v>6.6530799999999996E-3</v>
      </c>
      <c r="K471" s="9">
        <v>4.0142309919999999</v>
      </c>
      <c r="L471" s="12">
        <v>10.750121679963293</v>
      </c>
      <c r="M471" s="12">
        <v>-6.7358906879632929</v>
      </c>
    </row>
    <row r="472" spans="2:13" x14ac:dyDescent="0.3">
      <c r="B472" s="3" t="s">
        <v>458</v>
      </c>
      <c r="C472" s="9">
        <v>0.6</v>
      </c>
      <c r="D472" s="9">
        <v>1</v>
      </c>
      <c r="E472" s="9">
        <v>30</v>
      </c>
      <c r="F472" s="9">
        <v>13.2</v>
      </c>
      <c r="G472" s="9">
        <v>8.4133814759999996</v>
      </c>
      <c r="H472" s="9">
        <v>2.82</v>
      </c>
      <c r="I472" s="9">
        <v>5.29</v>
      </c>
      <c r="J472" s="9">
        <v>9.2599999999999991E-3</v>
      </c>
      <c r="K472" s="9">
        <v>2.003110081</v>
      </c>
      <c r="L472" s="12">
        <v>-1.3628884478537771</v>
      </c>
      <c r="M472" s="12">
        <v>3.365998528853777</v>
      </c>
    </row>
    <row r="473" spans="2:13" x14ac:dyDescent="0.3">
      <c r="B473" s="3" t="s">
        <v>459</v>
      </c>
      <c r="C473" s="9">
        <v>1</v>
      </c>
      <c r="D473" s="9">
        <v>2</v>
      </c>
      <c r="E473" s="9">
        <v>40</v>
      </c>
      <c r="F473" s="9">
        <v>16.399999999999999</v>
      </c>
      <c r="G473" s="9">
        <v>12.230416549999999</v>
      </c>
      <c r="H473" s="9">
        <v>7.9885999999999999</v>
      </c>
      <c r="I473" s="9">
        <v>7.69</v>
      </c>
      <c r="J473" s="9">
        <v>1.0389860000000001E-2</v>
      </c>
      <c r="K473" s="9">
        <v>1.5333559450000001</v>
      </c>
      <c r="L473" s="12">
        <v>1.8791621832376819</v>
      </c>
      <c r="M473" s="12">
        <v>-0.34580623823768186</v>
      </c>
    </row>
    <row r="474" spans="2:13" x14ac:dyDescent="0.3">
      <c r="B474" s="3" t="s">
        <v>460</v>
      </c>
      <c r="C474" s="9">
        <v>1.6666666670000001</v>
      </c>
      <c r="D474" s="9">
        <v>6</v>
      </c>
      <c r="E474" s="9">
        <v>60</v>
      </c>
      <c r="F474" s="9">
        <v>9.1999999999999993</v>
      </c>
      <c r="G474" s="9">
        <v>0</v>
      </c>
      <c r="H474" s="9">
        <v>3.24</v>
      </c>
      <c r="I474" s="9">
        <v>0</v>
      </c>
      <c r="J474" s="9">
        <v>1.204998E-2</v>
      </c>
      <c r="K474" s="9">
        <v>21.707930269999999</v>
      </c>
      <c r="L474" s="12">
        <v>34.628244342475028</v>
      </c>
      <c r="M474" s="12">
        <v>-12.92031407247503</v>
      </c>
    </row>
    <row r="475" spans="2:13" x14ac:dyDescent="0.3">
      <c r="B475" s="3" t="s">
        <v>461</v>
      </c>
      <c r="C475" s="9">
        <v>1.6666666670000001</v>
      </c>
      <c r="D475" s="9">
        <v>4</v>
      </c>
      <c r="E475" s="9">
        <v>15</v>
      </c>
      <c r="F475" s="9">
        <v>9.5</v>
      </c>
      <c r="G475" s="9">
        <v>29.645639079999999</v>
      </c>
      <c r="H475" s="9">
        <v>0.81</v>
      </c>
      <c r="I475" s="9">
        <v>18.64</v>
      </c>
      <c r="J475" s="9">
        <v>3.7299999999999998E-3</v>
      </c>
      <c r="K475" s="9">
        <v>-2.5217822879999998</v>
      </c>
      <c r="L475" s="12">
        <v>1.9666267101813579</v>
      </c>
      <c r="M475" s="12">
        <v>-4.4884089981813577</v>
      </c>
    </row>
    <row r="476" spans="2:13" x14ac:dyDescent="0.3">
      <c r="B476" s="3" t="s">
        <v>462</v>
      </c>
      <c r="C476" s="9">
        <v>1</v>
      </c>
      <c r="D476" s="9">
        <v>4</v>
      </c>
      <c r="E476" s="9">
        <v>40</v>
      </c>
      <c r="F476" s="9">
        <v>20.5</v>
      </c>
      <c r="G476" s="9">
        <v>11.75328717</v>
      </c>
      <c r="H476" s="9">
        <v>7.9885999999999999</v>
      </c>
      <c r="I476" s="9">
        <v>7.39</v>
      </c>
      <c r="J476" s="9">
        <v>1.0389880000000001E-2</v>
      </c>
      <c r="K476" s="9">
        <v>1.0587151379999999</v>
      </c>
      <c r="L476" s="12">
        <v>-8.3987807442804154</v>
      </c>
      <c r="M476" s="12">
        <v>9.4574958822804156</v>
      </c>
    </row>
    <row r="477" spans="2:13" x14ac:dyDescent="0.3">
      <c r="B477" s="3" t="s">
        <v>463</v>
      </c>
      <c r="C477" s="9">
        <v>0.6</v>
      </c>
      <c r="D477" s="9">
        <v>2</v>
      </c>
      <c r="E477" s="9">
        <v>40</v>
      </c>
      <c r="F477" s="9">
        <v>11.7</v>
      </c>
      <c r="G477" s="9">
        <v>5.1211887239999996</v>
      </c>
      <c r="H477" s="9">
        <v>3.76</v>
      </c>
      <c r="I477" s="9">
        <v>3.22</v>
      </c>
      <c r="J477" s="9">
        <v>9.2599999999999991E-3</v>
      </c>
      <c r="K477" s="9">
        <v>5.4345776299999997</v>
      </c>
      <c r="L477" s="12">
        <v>9.9481183255047156</v>
      </c>
      <c r="M477" s="12">
        <v>-4.5135406955047159</v>
      </c>
    </row>
    <row r="478" spans="2:13" x14ac:dyDescent="0.3">
      <c r="B478" s="3" t="s">
        <v>464</v>
      </c>
      <c r="C478" s="9">
        <v>1</v>
      </c>
      <c r="D478" s="9">
        <v>6</v>
      </c>
      <c r="E478" s="9">
        <v>60</v>
      </c>
      <c r="F478" s="9">
        <v>33.299999999999997</v>
      </c>
      <c r="G478" s="9">
        <v>0</v>
      </c>
      <c r="H478" s="9">
        <v>7.9885999999999999</v>
      </c>
      <c r="I478" s="9">
        <v>0</v>
      </c>
      <c r="J478" s="9">
        <v>1.2535019999999999E-2</v>
      </c>
      <c r="K478" s="9">
        <v>1.699167637</v>
      </c>
      <c r="L478" s="12">
        <v>2.9922470180996896</v>
      </c>
      <c r="M478" s="12">
        <v>-1.2930793810996897</v>
      </c>
    </row>
    <row r="479" spans="2:13" x14ac:dyDescent="0.3">
      <c r="B479" s="3" t="s">
        <v>465</v>
      </c>
      <c r="C479" s="9">
        <v>0.6</v>
      </c>
      <c r="D479" s="9">
        <v>4</v>
      </c>
      <c r="E479" s="9">
        <v>10</v>
      </c>
      <c r="F479" s="9">
        <v>11.45</v>
      </c>
      <c r="G479" s="9">
        <v>46.233837340000001</v>
      </c>
      <c r="H479" s="9">
        <v>0.94</v>
      </c>
      <c r="I479" s="9">
        <v>29.07</v>
      </c>
      <c r="J479" s="9">
        <v>4.0000000000000001E-3</v>
      </c>
      <c r="K479" s="9">
        <v>-2.4340957919999999</v>
      </c>
      <c r="L479" s="12">
        <v>-2.7542825259502735</v>
      </c>
      <c r="M479" s="12">
        <v>0.32018673395027353</v>
      </c>
    </row>
    <row r="480" spans="2:13" x14ac:dyDescent="0.3">
      <c r="B480" s="3" t="s">
        <v>466</v>
      </c>
      <c r="C480" s="9">
        <v>1.6666666670000001</v>
      </c>
      <c r="D480" s="9">
        <v>4</v>
      </c>
      <c r="E480" s="9">
        <v>10</v>
      </c>
      <c r="F480" s="9">
        <v>9.8000000000000007</v>
      </c>
      <c r="G480" s="9">
        <v>40.937701169999997</v>
      </c>
      <c r="H480" s="9">
        <v>0.54</v>
      </c>
      <c r="I480" s="9">
        <v>25.74</v>
      </c>
      <c r="J480" s="9">
        <v>2.5500000000000002E-3</v>
      </c>
      <c r="K480" s="9">
        <v>-2.4903180530000002</v>
      </c>
      <c r="L480" s="12">
        <v>-1.9750697505892689</v>
      </c>
      <c r="M480" s="12">
        <v>-0.51524830241073127</v>
      </c>
    </row>
    <row r="481" spans="2:13" x14ac:dyDescent="0.3">
      <c r="B481" s="3" t="s">
        <v>467</v>
      </c>
      <c r="C481" s="9">
        <v>0.6</v>
      </c>
      <c r="D481" s="9">
        <v>4</v>
      </c>
      <c r="E481" s="9">
        <v>20</v>
      </c>
      <c r="F481" s="9">
        <v>4.5999999999999996</v>
      </c>
      <c r="G481" s="9">
        <v>3.5466617560000002</v>
      </c>
      <c r="H481" s="9">
        <v>1.88</v>
      </c>
      <c r="I481" s="9">
        <v>2.23</v>
      </c>
      <c r="J481" s="9">
        <v>6.9699999999999996E-3</v>
      </c>
      <c r="K481" s="9">
        <v>9.2362070680000006</v>
      </c>
      <c r="L481" s="12">
        <v>16.711332444464517</v>
      </c>
      <c r="M481" s="12">
        <v>-7.4751253764645167</v>
      </c>
    </row>
    <row r="482" spans="2:13" x14ac:dyDescent="0.3">
      <c r="B482" s="3" t="s">
        <v>468</v>
      </c>
      <c r="C482" s="9">
        <v>0.6</v>
      </c>
      <c r="D482" s="9">
        <v>6</v>
      </c>
      <c r="E482" s="9">
        <v>30</v>
      </c>
      <c r="F482" s="9">
        <v>6.6</v>
      </c>
      <c r="G482" s="9">
        <v>2.6719245520000001</v>
      </c>
      <c r="H482" s="9">
        <v>2.82</v>
      </c>
      <c r="I482" s="9">
        <v>1.68</v>
      </c>
      <c r="J482" s="9">
        <v>9.2599799999999993E-3</v>
      </c>
      <c r="K482" s="9">
        <v>10.289564779999999</v>
      </c>
      <c r="L482" s="12">
        <v>21.434448096484822</v>
      </c>
      <c r="M482" s="12">
        <v>-11.144883316484822</v>
      </c>
    </row>
    <row r="483" spans="2:13" x14ac:dyDescent="0.3">
      <c r="B483" s="3" t="s">
        <v>469</v>
      </c>
      <c r="C483" s="9">
        <v>1.6666666670000001</v>
      </c>
      <c r="D483" s="9">
        <v>4</v>
      </c>
      <c r="E483" s="9">
        <v>30</v>
      </c>
      <c r="F483" s="9">
        <v>16.5</v>
      </c>
      <c r="G483" s="9">
        <v>21.18454466</v>
      </c>
      <c r="H483" s="9">
        <v>1.62</v>
      </c>
      <c r="I483" s="9">
        <v>13.32</v>
      </c>
      <c r="J483" s="9">
        <v>6.9100000000000003E-3</v>
      </c>
      <c r="K483" s="9">
        <v>-0.88186719999999996</v>
      </c>
      <c r="L483" s="12">
        <v>-5.3249898105246096</v>
      </c>
      <c r="M483" s="12">
        <v>4.4431226105246093</v>
      </c>
    </row>
    <row r="484" spans="2:13" x14ac:dyDescent="0.3">
      <c r="B484" s="3" t="s">
        <v>470</v>
      </c>
      <c r="C484" s="9">
        <v>1</v>
      </c>
      <c r="D484" s="9">
        <v>2</v>
      </c>
      <c r="E484" s="9">
        <v>10</v>
      </c>
      <c r="F484" s="9">
        <v>10.8</v>
      </c>
      <c r="G484" s="9">
        <v>50.257628480000001</v>
      </c>
      <c r="H484" s="9">
        <v>5.8784999999999998</v>
      </c>
      <c r="I484" s="9">
        <v>31.6</v>
      </c>
      <c r="J484" s="9">
        <v>5.5424999999999997E-3</v>
      </c>
      <c r="K484" s="9">
        <v>-3.3967507440000002</v>
      </c>
      <c r="L484" s="12">
        <v>2.8585500250009321</v>
      </c>
      <c r="M484" s="12">
        <v>-6.2553007690009323</v>
      </c>
    </row>
    <row r="485" spans="2:13" x14ac:dyDescent="0.3">
      <c r="B485" s="3" t="s">
        <v>471</v>
      </c>
      <c r="C485" s="9">
        <v>1</v>
      </c>
      <c r="D485" s="9">
        <v>4</v>
      </c>
      <c r="E485" s="9">
        <v>30</v>
      </c>
      <c r="F485" s="9">
        <v>7.2</v>
      </c>
      <c r="G485" s="9">
        <v>3.9919825150000001</v>
      </c>
      <c r="H485" s="9">
        <v>7.6656000000000004</v>
      </c>
      <c r="I485" s="9">
        <v>2.5099999999999998</v>
      </c>
      <c r="J485" s="9">
        <v>9.1083599999999994E-3</v>
      </c>
      <c r="K485" s="9">
        <v>8.5952633420000009</v>
      </c>
      <c r="L485" s="12">
        <v>17.450271242770462</v>
      </c>
      <c r="M485" s="12">
        <v>-8.8550079007704614</v>
      </c>
    </row>
    <row r="486" spans="2:13" ht="15" thickBot="1" x14ac:dyDescent="0.35">
      <c r="B486" s="7" t="s">
        <v>472</v>
      </c>
      <c r="C486" s="10">
        <v>0.6</v>
      </c>
      <c r="D486" s="10">
        <v>4</v>
      </c>
      <c r="E486" s="10">
        <v>30</v>
      </c>
      <c r="F486" s="10">
        <v>16.5</v>
      </c>
      <c r="G486" s="10">
        <v>18.65575892</v>
      </c>
      <c r="H486" s="10">
        <v>2.82</v>
      </c>
      <c r="I486" s="10">
        <v>11.73</v>
      </c>
      <c r="J486" s="10">
        <v>9.2599999999999991E-3</v>
      </c>
      <c r="K486" s="10">
        <v>-0.30513842099999999</v>
      </c>
      <c r="L486" s="13">
        <v>-7.3239854059119693</v>
      </c>
      <c r="M486" s="13">
        <v>7.0188469849119697</v>
      </c>
    </row>
    <row r="506" spans="6:6" x14ac:dyDescent="0.3">
      <c r="F506" t="s">
        <v>66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410602">
              <controlPr defaultSize="0" autoFill="0" autoPict="0" macro="[0]!GoToResultsNew1406202514184349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7620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7AC4-6484-4A0F-BC6B-01431A8E8126}">
  <sheetPr codeName="XLSTAT_20250614_141341_1">
    <tabColor rgb="FF007800"/>
  </sheetPr>
  <dimension ref="B1:M569"/>
  <sheetViews>
    <sheetView topLeftCell="A118" zoomScaleNormal="100" workbookViewId="0">
      <selection activeCell="D99" sqref="D99"/>
    </sheetView>
  </sheetViews>
  <sheetFormatPr defaultRowHeight="14.4" x14ac:dyDescent="0.3"/>
  <cols>
    <col min="1" max="1" width="4.77734375" customWidth="1"/>
    <col min="4" max="4" width="10.5546875" bestFit="1" customWidth="1"/>
    <col min="7" max="7" width="9.21875" bestFit="1" customWidth="1"/>
  </cols>
  <sheetData>
    <row r="1" spans="2:13" x14ac:dyDescent="0.3">
      <c r="B1" s="45" t="s">
        <v>9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</row>
    <row r="2" spans="2:13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"/>
    </row>
    <row r="3" spans="2:13" x14ac:dyDescent="0.3">
      <c r="B3" t="s">
        <v>482</v>
      </c>
    </row>
    <row r="4" spans="2:13" x14ac:dyDescent="0.3">
      <c r="B4" t="s">
        <v>10</v>
      </c>
    </row>
    <row r="5" spans="2:13" x14ac:dyDescent="0.3">
      <c r="B5" t="s">
        <v>11</v>
      </c>
    </row>
    <row r="6" spans="2:13" x14ac:dyDescent="0.3">
      <c r="B6" t="s">
        <v>12</v>
      </c>
    </row>
    <row r="7" spans="2:13" x14ac:dyDescent="0.3">
      <c r="B7" t="s">
        <v>13</v>
      </c>
    </row>
    <row r="8" spans="2:13" ht="37.950000000000003" customHeight="1" x14ac:dyDescent="0.3"/>
    <row r="9" spans="2:13" ht="16.2" customHeight="1" x14ac:dyDescent="0.3">
      <c r="B9" s="39"/>
    </row>
    <row r="12" spans="2:13" x14ac:dyDescent="0.3">
      <c r="B12" t="s">
        <v>14</v>
      </c>
    </row>
    <row r="13" spans="2:13" ht="15" thickBot="1" x14ac:dyDescent="0.35"/>
    <row r="14" spans="2:13" ht="28.8" customHeight="1" x14ac:dyDescent="0.3">
      <c r="B14" s="4" t="s">
        <v>15</v>
      </c>
      <c r="C14" s="5" t="s">
        <v>16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  <c r="I14" s="5" t="s">
        <v>22</v>
      </c>
    </row>
    <row r="15" spans="2:13" x14ac:dyDescent="0.3">
      <c r="B15" s="6" t="s">
        <v>8</v>
      </c>
      <c r="C15" s="8">
        <v>403</v>
      </c>
      <c r="D15" s="8">
        <v>0</v>
      </c>
      <c r="E15" s="8">
        <v>403</v>
      </c>
      <c r="F15" s="11">
        <v>-4.6774985500000001</v>
      </c>
      <c r="G15" s="11">
        <v>86.831721079999994</v>
      </c>
      <c r="H15" s="11">
        <v>7.9564016907096748</v>
      </c>
      <c r="I15" s="11">
        <v>16.922561775623798</v>
      </c>
    </row>
    <row r="16" spans="2:13" x14ac:dyDescent="0.3">
      <c r="B16" s="3" t="s">
        <v>0</v>
      </c>
      <c r="C16" s="9">
        <v>403</v>
      </c>
      <c r="D16" s="9">
        <v>0</v>
      </c>
      <c r="E16" s="9">
        <v>403</v>
      </c>
      <c r="F16" s="12">
        <v>0.6</v>
      </c>
      <c r="G16" s="12">
        <v>1.6666666670000001</v>
      </c>
      <c r="H16" s="12">
        <v>1.0952853599156331</v>
      </c>
      <c r="I16" s="12">
        <v>0.44362363471463173</v>
      </c>
    </row>
    <row r="17" spans="2:11" x14ac:dyDescent="0.3">
      <c r="B17" s="3" t="s">
        <v>1</v>
      </c>
      <c r="C17" s="9">
        <v>403</v>
      </c>
      <c r="D17" s="9">
        <v>0</v>
      </c>
      <c r="E17" s="9">
        <v>403</v>
      </c>
      <c r="F17" s="12">
        <v>1</v>
      </c>
      <c r="G17" s="12">
        <v>6</v>
      </c>
      <c r="H17" s="12">
        <v>3.2208436724565761</v>
      </c>
      <c r="I17" s="12">
        <v>1.9196191275625192</v>
      </c>
    </row>
    <row r="18" spans="2:11" x14ac:dyDescent="0.3">
      <c r="B18" s="3" t="s">
        <v>2</v>
      </c>
      <c r="C18" s="9">
        <v>403</v>
      </c>
      <c r="D18" s="9">
        <v>0</v>
      </c>
      <c r="E18" s="9">
        <v>403</v>
      </c>
      <c r="F18" s="12">
        <v>10</v>
      </c>
      <c r="G18" s="12">
        <v>60</v>
      </c>
      <c r="H18" s="12">
        <v>28.858560794044653</v>
      </c>
      <c r="I18" s="12">
        <v>16.808471712402003</v>
      </c>
    </row>
    <row r="19" spans="2:11" x14ac:dyDescent="0.3">
      <c r="B19" s="3" t="s">
        <v>3</v>
      </c>
      <c r="C19" s="9">
        <v>403</v>
      </c>
      <c r="D19" s="9">
        <v>0</v>
      </c>
      <c r="E19" s="9">
        <v>403</v>
      </c>
      <c r="F19" s="12">
        <v>1.6</v>
      </c>
      <c r="G19" s="12">
        <v>33.299999999999997</v>
      </c>
      <c r="H19" s="12">
        <v>11.931637717121591</v>
      </c>
      <c r="I19" s="12">
        <v>7.542068437516714</v>
      </c>
    </row>
    <row r="20" spans="2:11" x14ac:dyDescent="0.3">
      <c r="B20" s="3" t="s">
        <v>4</v>
      </c>
      <c r="C20" s="9">
        <v>403</v>
      </c>
      <c r="D20" s="9">
        <v>0</v>
      </c>
      <c r="E20" s="9">
        <v>403</v>
      </c>
      <c r="F20" s="12">
        <v>0</v>
      </c>
      <c r="G20" s="12">
        <v>57.525899430000003</v>
      </c>
      <c r="H20" s="12">
        <v>13.57425424515136</v>
      </c>
      <c r="I20" s="12">
        <v>12.990829096363877</v>
      </c>
    </row>
    <row r="21" spans="2:11" x14ac:dyDescent="0.3">
      <c r="B21" s="3" t="s">
        <v>5</v>
      </c>
      <c r="C21" s="9">
        <v>403</v>
      </c>
      <c r="D21" s="9">
        <v>0</v>
      </c>
      <c r="E21" s="9">
        <v>403</v>
      </c>
      <c r="F21" s="12">
        <v>0.54</v>
      </c>
      <c r="G21" s="12">
        <v>7.9885999999999999</v>
      </c>
      <c r="H21" s="12">
        <v>3.796960297766748</v>
      </c>
      <c r="I21" s="12">
        <v>2.6560383295374428</v>
      </c>
    </row>
    <row r="22" spans="2:11" x14ac:dyDescent="0.3">
      <c r="B22" s="3" t="s">
        <v>6</v>
      </c>
      <c r="C22" s="9">
        <v>403</v>
      </c>
      <c r="D22" s="9">
        <v>0</v>
      </c>
      <c r="E22" s="9">
        <v>403</v>
      </c>
      <c r="F22" s="12">
        <v>0</v>
      </c>
      <c r="G22" s="12">
        <v>36.17</v>
      </c>
      <c r="H22" s="12">
        <v>8.5447394540942838</v>
      </c>
      <c r="I22" s="12">
        <v>8.1589305293154499</v>
      </c>
    </row>
    <row r="23" spans="2:11" ht="15" thickBot="1" x14ac:dyDescent="0.35">
      <c r="B23" s="7" t="s">
        <v>7</v>
      </c>
      <c r="C23" s="10">
        <v>403</v>
      </c>
      <c r="D23" s="10">
        <v>0</v>
      </c>
      <c r="E23" s="10">
        <v>403</v>
      </c>
      <c r="F23" s="13">
        <v>2.5500000000000002E-3</v>
      </c>
      <c r="G23" s="13">
        <v>1.379E-2</v>
      </c>
      <c r="H23" s="13">
        <v>7.6972563275434251E-3</v>
      </c>
      <c r="I23" s="13">
        <v>3.0892513886996158E-3</v>
      </c>
    </row>
    <row r="26" spans="2:11" x14ac:dyDescent="0.3">
      <c r="B26" s="2" t="s">
        <v>23</v>
      </c>
    </row>
    <row r="27" spans="2:11" ht="15" thickBot="1" x14ac:dyDescent="0.35"/>
    <row r="28" spans="2:11" x14ac:dyDescent="0.3">
      <c r="B28" s="4"/>
      <c r="C28" s="5" t="s">
        <v>0</v>
      </c>
      <c r="D28" s="5" t="s">
        <v>1</v>
      </c>
      <c r="E28" s="5" t="s">
        <v>2</v>
      </c>
      <c r="F28" s="5" t="s">
        <v>3</v>
      </c>
      <c r="G28" s="5" t="s">
        <v>4</v>
      </c>
      <c r="H28" s="5" t="s">
        <v>5</v>
      </c>
      <c r="I28" s="5" t="s">
        <v>6</v>
      </c>
      <c r="J28" s="5" t="s">
        <v>7</v>
      </c>
      <c r="K28" s="14" t="s">
        <v>8</v>
      </c>
    </row>
    <row r="29" spans="2:11" x14ac:dyDescent="0.3">
      <c r="B29" s="15" t="s">
        <v>0</v>
      </c>
      <c r="C29" s="23">
        <v>1</v>
      </c>
      <c r="D29" s="17">
        <v>3.2704555284092025E-3</v>
      </c>
      <c r="E29" s="17">
        <v>-4.2979984811257685E-2</v>
      </c>
      <c r="F29" s="17">
        <v>-2.4273272583796916E-2</v>
      </c>
      <c r="G29" s="17">
        <v>6.3263149297964019E-2</v>
      </c>
      <c r="H29" s="17">
        <v>-0.33415578705979171</v>
      </c>
      <c r="I29" s="17">
        <v>6.240713252966263E-2</v>
      </c>
      <c r="J29" s="17">
        <v>-0.29265078399556571</v>
      </c>
      <c r="K29" s="18">
        <v>-5.2658941940250991E-3</v>
      </c>
    </row>
    <row r="30" spans="2:11" x14ac:dyDescent="0.3">
      <c r="B30" s="3" t="s">
        <v>1</v>
      </c>
      <c r="C30" s="12">
        <v>3.2704555284092025E-3</v>
      </c>
      <c r="D30" s="24">
        <v>1</v>
      </c>
      <c r="E30" s="12">
        <v>-1.8380554074159013E-2</v>
      </c>
      <c r="F30" s="12">
        <v>-2.7682571161050322E-2</v>
      </c>
      <c r="G30" s="12">
        <v>2.482737479598968E-2</v>
      </c>
      <c r="H30" s="12">
        <v>-3.241622532694767E-2</v>
      </c>
      <c r="I30" s="12">
        <v>2.5227869083105314E-2</v>
      </c>
      <c r="J30" s="12">
        <v>-2.0422460071790948E-2</v>
      </c>
      <c r="K30" s="19">
        <v>8.41493643322575E-3</v>
      </c>
    </row>
    <row r="31" spans="2:11" x14ac:dyDescent="0.3">
      <c r="B31" s="3" t="s">
        <v>2</v>
      </c>
      <c r="C31" s="12">
        <v>-4.2979984811257685E-2</v>
      </c>
      <c r="D31" s="12">
        <v>-1.8380554074159013E-2</v>
      </c>
      <c r="E31" s="24">
        <v>1</v>
      </c>
      <c r="F31" s="12">
        <v>0.52064593346337473</v>
      </c>
      <c r="G31" s="12">
        <v>-0.38554480844573102</v>
      </c>
      <c r="H31" s="12">
        <v>0.37728162448505753</v>
      </c>
      <c r="I31" s="12">
        <v>-0.38480941645082739</v>
      </c>
      <c r="J31" s="12">
        <v>0.93421996002346175</v>
      </c>
      <c r="K31" s="19">
        <v>0.30542368911328516</v>
      </c>
    </row>
    <row r="32" spans="2:11" x14ac:dyDescent="0.3">
      <c r="B32" s="3" t="s">
        <v>3</v>
      </c>
      <c r="C32" s="12">
        <v>-2.4273272583796916E-2</v>
      </c>
      <c r="D32" s="12">
        <v>-2.7682571161050322E-2</v>
      </c>
      <c r="E32" s="12">
        <v>0.52064593346337473</v>
      </c>
      <c r="F32" s="24">
        <v>1</v>
      </c>
      <c r="G32" s="12">
        <v>0.35204436889459562</v>
      </c>
      <c r="H32" s="12">
        <v>0.27019724210094159</v>
      </c>
      <c r="I32" s="12">
        <v>0.35268576487996695</v>
      </c>
      <c r="J32" s="12">
        <v>0.51406424867129508</v>
      </c>
      <c r="K32" s="19">
        <v>-0.44460240270917267</v>
      </c>
    </row>
    <row r="33" spans="2:11" x14ac:dyDescent="0.3">
      <c r="B33" s="3" t="s">
        <v>4</v>
      </c>
      <c r="C33" s="12">
        <v>6.3263149297964019E-2</v>
      </c>
      <c r="D33" s="12">
        <v>2.482737479598968E-2</v>
      </c>
      <c r="E33" s="12">
        <v>-0.38554480844573102</v>
      </c>
      <c r="F33" s="12">
        <v>0.35204436889459562</v>
      </c>
      <c r="G33" s="24">
        <v>1</v>
      </c>
      <c r="H33" s="12">
        <v>-8.4391135796361302E-2</v>
      </c>
      <c r="I33" s="12">
        <v>0.99995057913913221</v>
      </c>
      <c r="J33" s="12">
        <v>-0.35035407925831724</v>
      </c>
      <c r="K33" s="19">
        <v>-0.52341552952393999</v>
      </c>
    </row>
    <row r="34" spans="2:11" x14ac:dyDescent="0.3">
      <c r="B34" s="3" t="s">
        <v>5</v>
      </c>
      <c r="C34" s="12">
        <v>-0.33415578705979171</v>
      </c>
      <c r="D34" s="12">
        <v>-3.241622532694767E-2</v>
      </c>
      <c r="E34" s="12">
        <v>0.37728162448505753</v>
      </c>
      <c r="F34" s="12">
        <v>0.27019724210094159</v>
      </c>
      <c r="G34" s="12">
        <v>-8.4391135796361302E-2</v>
      </c>
      <c r="H34" s="24">
        <v>1</v>
      </c>
      <c r="I34" s="12">
        <v>-8.4437506302499035E-2</v>
      </c>
      <c r="J34" s="12">
        <v>0.59628184081178648</v>
      </c>
      <c r="K34" s="19">
        <v>6.9198892248631336E-2</v>
      </c>
    </row>
    <row r="35" spans="2:11" x14ac:dyDescent="0.3">
      <c r="B35" s="3" t="s">
        <v>6</v>
      </c>
      <c r="C35" s="12">
        <v>6.240713252966263E-2</v>
      </c>
      <c r="D35" s="12">
        <v>2.5227869083105314E-2</v>
      </c>
      <c r="E35" s="12">
        <v>-0.38480941645082739</v>
      </c>
      <c r="F35" s="12">
        <v>0.35268576487996695</v>
      </c>
      <c r="G35" s="12">
        <v>0.99995057913913221</v>
      </c>
      <c r="H35" s="12">
        <v>-8.4437506302499035E-2</v>
      </c>
      <c r="I35" s="24">
        <v>1</v>
      </c>
      <c r="J35" s="12">
        <v>-0.34959682592868596</v>
      </c>
      <c r="K35" s="19">
        <v>-0.52395988624354317</v>
      </c>
    </row>
    <row r="36" spans="2:11" x14ac:dyDescent="0.3">
      <c r="B36" s="3" t="s">
        <v>7</v>
      </c>
      <c r="C36" s="12">
        <v>-0.29265078399556571</v>
      </c>
      <c r="D36" s="12">
        <v>-2.0422460071790948E-2</v>
      </c>
      <c r="E36" s="12">
        <v>0.93421996002346175</v>
      </c>
      <c r="F36" s="12">
        <v>0.51406424867129508</v>
      </c>
      <c r="G36" s="12">
        <v>-0.35035407925831724</v>
      </c>
      <c r="H36" s="12">
        <v>0.59628184081178648</v>
      </c>
      <c r="I36" s="12">
        <v>-0.34959682592868596</v>
      </c>
      <c r="J36" s="24">
        <v>1</v>
      </c>
      <c r="K36" s="19">
        <v>0.26779847231995796</v>
      </c>
    </row>
    <row r="37" spans="2:11" ht="15" thickBot="1" x14ac:dyDescent="0.35">
      <c r="B37" s="16" t="s">
        <v>8</v>
      </c>
      <c r="C37" s="20">
        <v>-5.2658941940250991E-3</v>
      </c>
      <c r="D37" s="20">
        <v>8.41493643322575E-3</v>
      </c>
      <c r="E37" s="20">
        <v>0.30542368911328516</v>
      </c>
      <c r="F37" s="20">
        <v>-0.44460240270917267</v>
      </c>
      <c r="G37" s="20">
        <v>-0.52341552952393999</v>
      </c>
      <c r="H37" s="20">
        <v>6.9198892248631336E-2</v>
      </c>
      <c r="I37" s="20">
        <v>-0.52395988624354317</v>
      </c>
      <c r="J37" s="20">
        <v>0.26779847231995796</v>
      </c>
      <c r="K37" s="25">
        <v>1</v>
      </c>
    </row>
    <row r="40" spans="2:11" x14ac:dyDescent="0.3">
      <c r="B40" s="2" t="s">
        <v>24</v>
      </c>
    </row>
    <row r="42" spans="2:11" x14ac:dyDescent="0.3">
      <c r="B42" t="s">
        <v>25</v>
      </c>
    </row>
    <row r="43" spans="2:11" ht="15" thickBot="1" x14ac:dyDescent="0.35"/>
    <row r="44" spans="2:11" x14ac:dyDescent="0.3">
      <c r="B44" s="26" t="s">
        <v>16</v>
      </c>
      <c r="C44" s="27">
        <v>403</v>
      </c>
    </row>
    <row r="45" spans="2:11" x14ac:dyDescent="0.3">
      <c r="B45" s="3" t="s">
        <v>26</v>
      </c>
      <c r="C45" s="9">
        <v>403</v>
      </c>
    </row>
    <row r="46" spans="2:11" x14ac:dyDescent="0.3">
      <c r="B46" s="3" t="s">
        <v>27</v>
      </c>
      <c r="C46" s="9">
        <v>395</v>
      </c>
    </row>
    <row r="47" spans="2:11" x14ac:dyDescent="0.3">
      <c r="B47" s="3" t="s">
        <v>28</v>
      </c>
      <c r="C47" s="12">
        <v>0.60021711227362418</v>
      </c>
    </row>
    <row r="48" spans="2:11" x14ac:dyDescent="0.3">
      <c r="B48" s="3" t="s">
        <v>29</v>
      </c>
      <c r="C48" s="12">
        <v>0.5931323522379669</v>
      </c>
    </row>
    <row r="49" spans="2:8" x14ac:dyDescent="0.3">
      <c r="B49" s="3" t="s">
        <v>30</v>
      </c>
      <c r="C49" s="12">
        <v>116.51594837898203</v>
      </c>
    </row>
    <row r="50" spans="2:8" x14ac:dyDescent="0.3">
      <c r="B50" s="3" t="s">
        <v>31</v>
      </c>
      <c r="C50" s="12">
        <v>10.79425534156859</v>
      </c>
    </row>
    <row r="51" spans="2:8" x14ac:dyDescent="0.3">
      <c r="B51" s="3" t="s">
        <v>32</v>
      </c>
      <c r="C51" s="12">
        <v>803.8903642259404</v>
      </c>
    </row>
    <row r="52" spans="2:8" x14ac:dyDescent="0.3">
      <c r="B52" s="3" t="s">
        <v>33</v>
      </c>
      <c r="C52" s="12">
        <v>1.8606161160179266</v>
      </c>
    </row>
    <row r="53" spans="2:8" x14ac:dyDescent="0.3">
      <c r="B53" s="3" t="s">
        <v>34</v>
      </c>
      <c r="C53" s="12">
        <v>8</v>
      </c>
    </row>
    <row r="54" spans="2:8" x14ac:dyDescent="0.3">
      <c r="B54" s="3" t="s">
        <v>35</v>
      </c>
      <c r="C54" s="12">
        <v>1925.4048771067332</v>
      </c>
    </row>
    <row r="55" spans="2:8" x14ac:dyDescent="0.3">
      <c r="B55" s="3" t="s">
        <v>36</v>
      </c>
      <c r="C55" s="12">
        <v>1925.7703593402357</v>
      </c>
    </row>
    <row r="56" spans="2:8" x14ac:dyDescent="0.3">
      <c r="B56" s="3" t="s">
        <v>37</v>
      </c>
      <c r="C56" s="12">
        <v>1957.3963696023068</v>
      </c>
    </row>
    <row r="57" spans="2:8" ht="15" thickBot="1" x14ac:dyDescent="0.35">
      <c r="B57" s="7" t="s">
        <v>38</v>
      </c>
      <c r="C57" s="13">
        <v>0.41597662495073529</v>
      </c>
    </row>
    <row r="60" spans="2:8" x14ac:dyDescent="0.3">
      <c r="B60" t="s">
        <v>39</v>
      </c>
    </row>
    <row r="61" spans="2:8" ht="15" thickBot="1" x14ac:dyDescent="0.35"/>
    <row r="62" spans="2:8" ht="43.2" x14ac:dyDescent="0.3">
      <c r="B62" s="4" t="s">
        <v>40</v>
      </c>
      <c r="C62" s="5" t="s">
        <v>27</v>
      </c>
      <c r="D62" s="5" t="s">
        <v>41</v>
      </c>
      <c r="E62" s="5" t="s">
        <v>42</v>
      </c>
      <c r="F62" s="5" t="s">
        <v>43</v>
      </c>
      <c r="G62" s="5" t="s">
        <v>44</v>
      </c>
      <c r="H62" s="5" t="s">
        <v>45</v>
      </c>
    </row>
    <row r="63" spans="2:8" x14ac:dyDescent="0.3">
      <c r="B63" s="15" t="s">
        <v>46</v>
      </c>
      <c r="C63" s="17">
        <v>7</v>
      </c>
      <c r="D63" s="17">
        <v>69098.185404323172</v>
      </c>
      <c r="E63" s="17">
        <v>9871.1693434747394</v>
      </c>
      <c r="F63" s="17">
        <v>84.71946957310584</v>
      </c>
      <c r="G63" s="31">
        <v>1.0879534130012466E-74</v>
      </c>
      <c r="H63" s="34" t="s">
        <v>49</v>
      </c>
    </row>
    <row r="64" spans="2:8" x14ac:dyDescent="0.3">
      <c r="B64" s="3" t="s">
        <v>47</v>
      </c>
      <c r="C64" s="12">
        <v>395</v>
      </c>
      <c r="D64" s="12">
        <v>46023.799609697904</v>
      </c>
      <c r="E64" s="12">
        <v>116.51594837898203</v>
      </c>
      <c r="F64" s="12"/>
      <c r="G64" s="32"/>
      <c r="H64" s="35" t="s">
        <v>50</v>
      </c>
    </row>
    <row r="65" spans="2:9" ht="15" thickBot="1" x14ac:dyDescent="0.35">
      <c r="B65" s="7" t="s">
        <v>48</v>
      </c>
      <c r="C65" s="13">
        <v>402</v>
      </c>
      <c r="D65" s="13">
        <v>115121.98501402108</v>
      </c>
      <c r="E65" s="13"/>
      <c r="F65" s="13"/>
      <c r="G65" s="33"/>
      <c r="H65" s="36" t="s">
        <v>50</v>
      </c>
    </row>
    <row r="66" spans="2:9" x14ac:dyDescent="0.3">
      <c r="B66" s="37" t="s">
        <v>51</v>
      </c>
    </row>
    <row r="67" spans="2:9" x14ac:dyDescent="0.3">
      <c r="B67" s="37" t="s">
        <v>52</v>
      </c>
    </row>
    <row r="70" spans="2:9" x14ac:dyDescent="0.3">
      <c r="B70" t="s">
        <v>53</v>
      </c>
    </row>
    <row r="71" spans="2:9" ht="15" thickBot="1" x14ac:dyDescent="0.35"/>
    <row r="72" spans="2:9" ht="43.2" x14ac:dyDescent="0.3">
      <c r="B72" s="4" t="s">
        <v>40</v>
      </c>
      <c r="C72" s="5" t="s">
        <v>54</v>
      </c>
      <c r="D72" s="5" t="s">
        <v>55</v>
      </c>
      <c r="E72" s="5" t="s">
        <v>56</v>
      </c>
      <c r="F72" s="5" t="s">
        <v>57</v>
      </c>
      <c r="G72" s="5" t="s">
        <v>58</v>
      </c>
      <c r="H72" s="5" t="s">
        <v>59</v>
      </c>
      <c r="I72" s="5" t="s">
        <v>45</v>
      </c>
    </row>
    <row r="73" spans="2:9" x14ac:dyDescent="0.3">
      <c r="B73" s="15" t="s">
        <v>60</v>
      </c>
      <c r="C73" s="17">
        <v>3.2522558799317229</v>
      </c>
      <c r="D73" s="17">
        <v>4.4902465536404588</v>
      </c>
      <c r="E73" s="17">
        <v>0.72429338591551562</v>
      </c>
      <c r="F73" s="28">
        <v>0.46931440618365239</v>
      </c>
      <c r="G73" s="17">
        <v>-5.5755143601759078</v>
      </c>
      <c r="H73" s="17">
        <v>12.080026120039353</v>
      </c>
      <c r="I73" s="34" t="s">
        <v>61</v>
      </c>
    </row>
    <row r="74" spans="2:9" x14ac:dyDescent="0.3">
      <c r="B74" s="3" t="s">
        <v>0</v>
      </c>
      <c r="C74" s="12">
        <v>1.1949173802189197</v>
      </c>
      <c r="D74" s="12">
        <v>1.8652131355618027</v>
      </c>
      <c r="E74" s="12">
        <v>0.64063315737855897</v>
      </c>
      <c r="F74" s="29">
        <v>0.52213252054623793</v>
      </c>
      <c r="G74" s="12">
        <v>-2.4720690119249169</v>
      </c>
      <c r="H74" s="12">
        <v>4.8619037723627567</v>
      </c>
      <c r="I74" s="35" t="s">
        <v>61</v>
      </c>
    </row>
    <row r="75" spans="2:9" x14ac:dyDescent="0.3">
      <c r="B75" s="3" t="s">
        <v>1</v>
      </c>
      <c r="C75" s="12">
        <v>-4.1749663860598932E-2</v>
      </c>
      <c r="D75" s="12">
        <v>0.2810530626070053</v>
      </c>
      <c r="E75" s="12">
        <v>-0.14854726532184145</v>
      </c>
      <c r="F75" s="29">
        <v>0.88198669186293399</v>
      </c>
      <c r="G75" s="12">
        <v>-0.59429657466702313</v>
      </c>
      <c r="H75" s="12">
        <v>0.51079724694582518</v>
      </c>
      <c r="I75" s="35" t="s">
        <v>61</v>
      </c>
    </row>
    <row r="76" spans="2:9" x14ac:dyDescent="0.3">
      <c r="B76" s="3" t="s">
        <v>2</v>
      </c>
      <c r="C76" s="12">
        <v>0.71780900758255151</v>
      </c>
      <c r="D76" s="12">
        <v>0.16867414957740909</v>
      </c>
      <c r="E76" s="12">
        <v>4.2555958300719325</v>
      </c>
      <c r="F76" s="32">
        <v>2.6068930259581791E-5</v>
      </c>
      <c r="G76" s="12">
        <v>0.3861976761941453</v>
      </c>
      <c r="H76" s="12">
        <v>1.0494203389709578</v>
      </c>
      <c r="I76" s="35" t="s">
        <v>49</v>
      </c>
    </row>
    <row r="77" spans="2:9" x14ac:dyDescent="0.3">
      <c r="B77" s="3" t="s">
        <v>3</v>
      </c>
      <c r="C77" s="12">
        <v>-2.0731859157285593</v>
      </c>
      <c r="D77" s="12">
        <v>0.11814031421271769</v>
      </c>
      <c r="E77" s="12">
        <v>-17.548505178305874</v>
      </c>
      <c r="F77" s="32">
        <v>0</v>
      </c>
      <c r="G77" s="12">
        <v>-2.3054483399641397</v>
      </c>
      <c r="H77" s="12">
        <v>-1.8409234914929786</v>
      </c>
      <c r="I77" s="35" t="s">
        <v>49</v>
      </c>
    </row>
    <row r="78" spans="2:9" x14ac:dyDescent="0.3">
      <c r="B78" s="3" t="s">
        <v>4</v>
      </c>
      <c r="C78" s="12">
        <v>0.15755708639808921</v>
      </c>
      <c r="D78" s="12">
        <v>6.3358957880583322E-2</v>
      </c>
      <c r="E78" s="12">
        <v>2.4867373402044763</v>
      </c>
      <c r="F78" s="32">
        <v>1.3304190719291009E-2</v>
      </c>
      <c r="G78" s="12">
        <v>3.2994143998193587E-2</v>
      </c>
      <c r="H78" s="12">
        <v>0.28212002879798481</v>
      </c>
      <c r="I78" s="35" t="s">
        <v>62</v>
      </c>
    </row>
    <row r="79" spans="2:9" x14ac:dyDescent="0.3">
      <c r="B79" s="3" t="s">
        <v>5</v>
      </c>
      <c r="C79" s="12">
        <v>-5.9641659684126741E-2</v>
      </c>
      <c r="D79" s="12">
        <v>0.35077040849043239</v>
      </c>
      <c r="E79" s="12">
        <v>-0.17003047646122499</v>
      </c>
      <c r="F79" s="29">
        <v>0.86507321886241018</v>
      </c>
      <c r="G79" s="12">
        <v>-0.74925202655178524</v>
      </c>
      <c r="H79" s="12">
        <v>0.62996870718353182</v>
      </c>
      <c r="I79" s="35" t="s">
        <v>61</v>
      </c>
    </row>
    <row r="80" spans="2:9" x14ac:dyDescent="0.3">
      <c r="B80" s="3" t="s">
        <v>6</v>
      </c>
      <c r="C80" s="12">
        <v>0</v>
      </c>
      <c r="D80" s="12">
        <v>0</v>
      </c>
      <c r="E80" s="12"/>
      <c r="F80" s="32"/>
      <c r="G80" s="12"/>
      <c r="H80" s="12"/>
      <c r="I80" s="35" t="s">
        <v>50</v>
      </c>
    </row>
    <row r="81" spans="2:9" ht="15" thickBot="1" x14ac:dyDescent="0.35">
      <c r="B81" s="7" t="s">
        <v>7</v>
      </c>
      <c r="C81" s="13">
        <v>732.61752584593683</v>
      </c>
      <c r="D81" s="13">
        <v>1044.2897548759413</v>
      </c>
      <c r="E81" s="13">
        <v>0.70154621590917521</v>
      </c>
      <c r="F81" s="30">
        <v>0.48337532199611566</v>
      </c>
      <c r="G81" s="13">
        <v>-1320.4434608985537</v>
      </c>
      <c r="H81" s="13">
        <v>2785.6785125904271</v>
      </c>
      <c r="I81" s="36" t="s">
        <v>61</v>
      </c>
    </row>
    <row r="82" spans="2:9" x14ac:dyDescent="0.3">
      <c r="B82" s="37" t="s">
        <v>52</v>
      </c>
    </row>
    <row r="85" spans="2:9" x14ac:dyDescent="0.3">
      <c r="B85" t="s">
        <v>63</v>
      </c>
    </row>
    <row r="87" spans="2:9" x14ac:dyDescent="0.3">
      <c r="B87" t="s">
        <v>64</v>
      </c>
    </row>
    <row r="90" spans="2:9" x14ac:dyDescent="0.3">
      <c r="B90" t="s">
        <v>65</v>
      </c>
    </row>
    <row r="91" spans="2:9" ht="15" thickBot="1" x14ac:dyDescent="0.35"/>
    <row r="92" spans="2:9" ht="43.2" x14ac:dyDescent="0.3">
      <c r="B92" s="4" t="s">
        <v>40</v>
      </c>
      <c r="C92" s="5" t="s">
        <v>54</v>
      </c>
      <c r="D92" s="5" t="s">
        <v>55</v>
      </c>
      <c r="E92" s="5" t="s">
        <v>56</v>
      </c>
      <c r="F92" s="5" t="s">
        <v>57</v>
      </c>
      <c r="G92" s="5" t="s">
        <v>58</v>
      </c>
      <c r="H92" s="5" t="s">
        <v>59</v>
      </c>
      <c r="I92" s="5" t="s">
        <v>45</v>
      </c>
    </row>
    <row r="93" spans="2:9" x14ac:dyDescent="0.3">
      <c r="B93" s="15" t="s">
        <v>0</v>
      </c>
      <c r="C93" s="17">
        <v>3.1324665758347484E-2</v>
      </c>
      <c r="D93" s="17">
        <v>4.8896416611538741E-2</v>
      </c>
      <c r="E93" s="17">
        <v>0.64063315737855897</v>
      </c>
      <c r="F93" s="28">
        <v>0.52213252054623793</v>
      </c>
      <c r="G93" s="17">
        <v>-6.4805095994108997E-2</v>
      </c>
      <c r="H93" s="17">
        <v>0.12745442751080396</v>
      </c>
      <c r="I93" s="34" t="s">
        <v>61</v>
      </c>
    </row>
    <row r="94" spans="2:9" x14ac:dyDescent="0.3">
      <c r="B94" s="3" t="s">
        <v>1</v>
      </c>
      <c r="C94" s="12">
        <v>-4.7358936772536686E-3</v>
      </c>
      <c r="D94" s="12">
        <v>3.1881392545281231E-2</v>
      </c>
      <c r="E94" s="12">
        <v>-0.14854726532184143</v>
      </c>
      <c r="F94" s="29">
        <v>0.88198669186293399</v>
      </c>
      <c r="G94" s="12">
        <v>-6.7414324574604889E-2</v>
      </c>
      <c r="H94" s="12">
        <v>5.7942537220097547E-2</v>
      </c>
      <c r="I94" s="35" t="s">
        <v>61</v>
      </c>
    </row>
    <row r="95" spans="2:9" x14ac:dyDescent="0.3">
      <c r="B95" s="3" t="s">
        <v>2</v>
      </c>
      <c r="C95" s="12">
        <v>0.71296961765198952</v>
      </c>
      <c r="D95" s="12">
        <v>0.16753696688342185</v>
      </c>
      <c r="E95" s="12">
        <v>4.2555958300719325</v>
      </c>
      <c r="F95" s="32">
        <v>2.6068930259581791E-5</v>
      </c>
      <c r="G95" s="12">
        <v>0.38359397364146397</v>
      </c>
      <c r="H95" s="12">
        <v>1.0423452616625151</v>
      </c>
      <c r="I95" s="35" t="s">
        <v>49</v>
      </c>
    </row>
    <row r="96" spans="2:9" x14ac:dyDescent="0.3">
      <c r="B96" s="3" t="s">
        <v>3</v>
      </c>
      <c r="C96" s="12">
        <v>-0.92398008454273617</v>
      </c>
      <c r="D96" s="12">
        <v>5.2652922579696157E-2</v>
      </c>
      <c r="E96" s="12">
        <v>-17.54850517830587</v>
      </c>
      <c r="F96" s="32">
        <v>0</v>
      </c>
      <c r="G96" s="12">
        <v>-1.0274950914473995</v>
      </c>
      <c r="H96" s="12">
        <v>-0.82046507763807286</v>
      </c>
      <c r="I96" s="35" t="s">
        <v>49</v>
      </c>
    </row>
    <row r="97" spans="2:9" x14ac:dyDescent="0.3">
      <c r="B97" s="3" t="s">
        <v>4</v>
      </c>
      <c r="C97" s="12">
        <v>0.1209507880341696</v>
      </c>
      <c r="D97" s="12">
        <v>4.8638344741396861E-2</v>
      </c>
      <c r="E97" s="12">
        <v>2.4867373402044763</v>
      </c>
      <c r="F97" s="32">
        <v>1.3304190719291009E-2</v>
      </c>
      <c r="G97" s="12">
        <v>2.5328392446985357E-2</v>
      </c>
      <c r="H97" s="12">
        <v>0.21657318362135386</v>
      </c>
      <c r="I97" s="35" t="s">
        <v>62</v>
      </c>
    </row>
    <row r="98" spans="2:9" x14ac:dyDescent="0.3">
      <c r="B98" s="3" t="s">
        <v>5</v>
      </c>
      <c r="C98" s="12">
        <v>-9.3609074239842348E-3</v>
      </c>
      <c r="D98" s="12">
        <v>5.5054291552955596E-2</v>
      </c>
      <c r="E98" s="12">
        <v>-0.17003047646122499</v>
      </c>
      <c r="F98" s="29">
        <v>0.86507321886241018</v>
      </c>
      <c r="G98" s="12">
        <v>-0.11759697659202611</v>
      </c>
      <c r="H98" s="12">
        <v>9.8875161744057638E-2</v>
      </c>
      <c r="I98" s="35" t="s">
        <v>61</v>
      </c>
    </row>
    <row r="99" spans="2:9" x14ac:dyDescent="0.3">
      <c r="B99" s="3" t="s">
        <v>6</v>
      </c>
      <c r="C99" s="12">
        <v>0</v>
      </c>
      <c r="D99" s="12">
        <v>0</v>
      </c>
      <c r="E99" s="12"/>
      <c r="F99" s="32"/>
      <c r="G99" s="12"/>
      <c r="H99" s="12"/>
      <c r="I99" s="35" t="s">
        <v>50</v>
      </c>
    </row>
    <row r="100" spans="2:9" ht="15" thickBot="1" x14ac:dyDescent="0.35">
      <c r="B100" s="7" t="s">
        <v>7</v>
      </c>
      <c r="C100" s="13">
        <v>0.13374096304764763</v>
      </c>
      <c r="D100" s="13">
        <v>0.19063742347227233</v>
      </c>
      <c r="E100" s="13">
        <v>0.70154621590917521</v>
      </c>
      <c r="F100" s="30">
        <v>0.48337532199611566</v>
      </c>
      <c r="G100" s="13">
        <v>-0.2410498983171723</v>
      </c>
      <c r="H100" s="13">
        <v>0.50853182441246758</v>
      </c>
      <c r="I100" s="36" t="s">
        <v>61</v>
      </c>
    </row>
    <row r="101" spans="2:9" x14ac:dyDescent="0.3">
      <c r="B101" s="37" t="s">
        <v>52</v>
      </c>
    </row>
    <row r="121" spans="2:13" x14ac:dyDescent="0.3">
      <c r="G121" t="s">
        <v>66</v>
      </c>
    </row>
    <row r="124" spans="2:13" x14ac:dyDescent="0.3">
      <c r="B124" t="s">
        <v>67</v>
      </c>
    </row>
    <row r="125" spans="2:13" ht="15" thickBot="1" x14ac:dyDescent="0.35"/>
    <row r="126" spans="2:13" ht="72" x14ac:dyDescent="0.3">
      <c r="B126" s="4" t="s">
        <v>68</v>
      </c>
      <c r="C126" s="5" t="s">
        <v>69</v>
      </c>
      <c r="D126" s="5" t="s">
        <v>8</v>
      </c>
      <c r="E126" s="5" t="s">
        <v>473</v>
      </c>
      <c r="F126" s="5" t="s">
        <v>474</v>
      </c>
      <c r="G126" s="5" t="s">
        <v>475</v>
      </c>
      <c r="H126" s="5" t="s">
        <v>476</v>
      </c>
      <c r="I126" s="5" t="s">
        <v>477</v>
      </c>
      <c r="J126" s="5" t="s">
        <v>478</v>
      </c>
      <c r="K126" s="5" t="s">
        <v>479</v>
      </c>
      <c r="L126" s="5" t="s">
        <v>480</v>
      </c>
      <c r="M126" s="5" t="s">
        <v>481</v>
      </c>
    </row>
    <row r="127" spans="2:13" x14ac:dyDescent="0.3">
      <c r="B127" s="15" t="s">
        <v>70</v>
      </c>
      <c r="C127" s="38">
        <v>1</v>
      </c>
      <c r="D127" s="17">
        <v>-2.6523485720000002</v>
      </c>
      <c r="E127" s="17">
        <v>-0.41561557716360031</v>
      </c>
      <c r="F127" s="17">
        <v>-2.2367329948363999</v>
      </c>
      <c r="G127" s="17">
        <v>-0.20721512731153943</v>
      </c>
      <c r="H127" s="17">
        <v>1.4230744362569074</v>
      </c>
      <c r="I127" s="17">
        <v>-3.2133626513552365</v>
      </c>
      <c r="J127" s="17">
        <v>2.3821314970280358</v>
      </c>
      <c r="K127" s="17">
        <v>10.887657655809626</v>
      </c>
      <c r="L127" s="17">
        <v>-21.820618418380011</v>
      </c>
      <c r="M127" s="17">
        <v>20.989387264052812</v>
      </c>
    </row>
    <row r="128" spans="2:13" x14ac:dyDescent="0.3">
      <c r="B128" s="3" t="s">
        <v>71</v>
      </c>
      <c r="C128" s="9">
        <v>1</v>
      </c>
      <c r="D128" s="12">
        <v>8.5512575000000002</v>
      </c>
      <c r="E128" s="12">
        <v>17.676291315549697</v>
      </c>
      <c r="F128" s="12">
        <v>-9.1250338155496973</v>
      </c>
      <c r="G128" s="12">
        <v>-0.84536019640088245</v>
      </c>
      <c r="H128" s="12">
        <v>1.407039201791769</v>
      </c>
      <c r="I128" s="12">
        <v>14.910069317746068</v>
      </c>
      <c r="J128" s="12">
        <v>20.442513313353327</v>
      </c>
      <c r="K128" s="12">
        <v>10.885573374625741</v>
      </c>
      <c r="L128" s="12">
        <v>-3.7246138541497267</v>
      </c>
      <c r="M128" s="12">
        <v>39.077196485249118</v>
      </c>
    </row>
    <row r="129" spans="2:13" x14ac:dyDescent="0.3">
      <c r="B129" s="3" t="s">
        <v>72</v>
      </c>
      <c r="C129" s="9">
        <v>1</v>
      </c>
      <c r="D129" s="12">
        <v>4.7125161450000004</v>
      </c>
      <c r="E129" s="12">
        <v>7.8519807126284329</v>
      </c>
      <c r="F129" s="12">
        <v>-3.1394645676284325</v>
      </c>
      <c r="G129" s="12">
        <v>-0.29084586831463766</v>
      </c>
      <c r="H129" s="12">
        <v>1.5428814637666828</v>
      </c>
      <c r="I129" s="12">
        <v>4.818694476082988</v>
      </c>
      <c r="J129" s="12">
        <v>10.885266949173879</v>
      </c>
      <c r="K129" s="12">
        <v>10.903964031040127</v>
      </c>
      <c r="L129" s="12">
        <v>-13.585080264430687</v>
      </c>
      <c r="M129" s="12">
        <v>29.289041689687551</v>
      </c>
    </row>
    <row r="130" spans="2:13" x14ac:dyDescent="0.3">
      <c r="B130" s="3" t="s">
        <v>73</v>
      </c>
      <c r="C130" s="9">
        <v>1</v>
      </c>
      <c r="D130" s="12">
        <v>5.2274105290000001</v>
      </c>
      <c r="E130" s="12">
        <v>19.152216304242209</v>
      </c>
      <c r="F130" s="12">
        <v>-13.924805775242209</v>
      </c>
      <c r="G130" s="12">
        <v>-1.2900200462757161</v>
      </c>
      <c r="H130" s="12">
        <v>1.4601174522994542</v>
      </c>
      <c r="I130" s="12">
        <v>16.281643109988391</v>
      </c>
      <c r="J130" s="12">
        <v>22.022789498496028</v>
      </c>
      <c r="K130" s="12">
        <v>10.892561285275905</v>
      </c>
      <c r="L130" s="12">
        <v>-2.2624270130045971</v>
      </c>
      <c r="M130" s="12">
        <v>40.566859621489016</v>
      </c>
    </row>
    <row r="131" spans="2:13" x14ac:dyDescent="0.3">
      <c r="B131" s="3" t="s">
        <v>74</v>
      </c>
      <c r="C131" s="9">
        <v>1</v>
      </c>
      <c r="D131" s="12">
        <v>-1.0631378490000001</v>
      </c>
      <c r="E131" s="12">
        <v>2.4460115370118976</v>
      </c>
      <c r="F131" s="12">
        <v>-3.5091493860118979</v>
      </c>
      <c r="G131" s="12">
        <v>-0.32509416119685364</v>
      </c>
      <c r="H131" s="12">
        <v>1.3746105633077961</v>
      </c>
      <c r="I131" s="12">
        <v>-0.25645615101915853</v>
      </c>
      <c r="J131" s="12">
        <v>5.1484792250429532</v>
      </c>
      <c r="K131" s="12">
        <v>10.881429252618398</v>
      </c>
      <c r="L131" s="12">
        <v>-18.946746339105587</v>
      </c>
      <c r="M131" s="12">
        <v>23.838769413129384</v>
      </c>
    </row>
    <row r="132" spans="2:13" x14ac:dyDescent="0.3">
      <c r="B132" s="3" t="s">
        <v>75</v>
      </c>
      <c r="C132" s="9">
        <v>1</v>
      </c>
      <c r="D132" s="12">
        <v>-1.8012541989999999</v>
      </c>
      <c r="E132" s="12">
        <v>-0.46988654067305635</v>
      </c>
      <c r="F132" s="12">
        <v>-1.3313676583269436</v>
      </c>
      <c r="G132" s="12">
        <v>-0.12334038951254539</v>
      </c>
      <c r="H132" s="12">
        <v>1.6984780461542537</v>
      </c>
      <c r="I132" s="12">
        <v>-3.8090737701940061</v>
      </c>
      <c r="J132" s="12">
        <v>2.8693006888478934</v>
      </c>
      <c r="K132" s="12">
        <v>10.927066214325325</v>
      </c>
      <c r="L132" s="12">
        <v>-21.952366129750537</v>
      </c>
      <c r="M132" s="12">
        <v>21.012593048404426</v>
      </c>
    </row>
    <row r="133" spans="2:13" x14ac:dyDescent="0.3">
      <c r="B133" s="3" t="s">
        <v>76</v>
      </c>
      <c r="C133" s="9">
        <v>1</v>
      </c>
      <c r="D133" s="12">
        <v>9.3266259460000001</v>
      </c>
      <c r="E133" s="12">
        <v>28.663813144734256</v>
      </c>
      <c r="F133" s="12">
        <v>-19.337187198734256</v>
      </c>
      <c r="G133" s="12">
        <v>-1.791433182450938</v>
      </c>
      <c r="H133" s="12">
        <v>1.5625920902712398</v>
      </c>
      <c r="I133" s="12">
        <v>25.591776055648268</v>
      </c>
      <c r="J133" s="12">
        <v>31.735850233820244</v>
      </c>
      <c r="K133" s="12">
        <v>10.906770485325172</v>
      </c>
      <c r="L133" s="12">
        <v>7.2212347126040655</v>
      </c>
      <c r="M133" s="12">
        <v>50.106391576864446</v>
      </c>
    </row>
    <row r="134" spans="2:13" x14ac:dyDescent="0.3">
      <c r="B134" s="3" t="s">
        <v>77</v>
      </c>
      <c r="C134" s="9">
        <v>1</v>
      </c>
      <c r="D134" s="12">
        <v>2.3933102380000002</v>
      </c>
      <c r="E134" s="12">
        <v>-0.28526186541965082</v>
      </c>
      <c r="F134" s="12">
        <v>2.678572103419651</v>
      </c>
      <c r="G134" s="12">
        <v>0.2481479285657151</v>
      </c>
      <c r="H134" s="12">
        <v>2.0233839308106063</v>
      </c>
      <c r="I134" s="12">
        <v>-4.2632101217888501</v>
      </c>
      <c r="J134" s="12">
        <v>3.692686390949548</v>
      </c>
      <c r="K134" s="12">
        <v>10.982259827123222</v>
      </c>
      <c r="L134" s="12">
        <v>-21.876251427542215</v>
      </c>
      <c r="M134" s="12">
        <v>21.30572769670291</v>
      </c>
    </row>
    <row r="135" spans="2:13" x14ac:dyDescent="0.3">
      <c r="B135" s="3" t="s">
        <v>78</v>
      </c>
      <c r="C135" s="9">
        <v>1</v>
      </c>
      <c r="D135" s="12">
        <v>38.591876030000002</v>
      </c>
      <c r="E135" s="12">
        <v>18.509527024617842</v>
      </c>
      <c r="F135" s="12">
        <v>20.082349005382159</v>
      </c>
      <c r="G135" s="12">
        <v>1.8604663656644471</v>
      </c>
      <c r="H135" s="12">
        <v>1.4921404526234587</v>
      </c>
      <c r="I135" s="12">
        <v>15.575997000291961</v>
      </c>
      <c r="J135" s="12">
        <v>21.443057048943722</v>
      </c>
      <c r="K135" s="12">
        <v>10.896900087150353</v>
      </c>
      <c r="L135" s="12">
        <v>-2.9136463244674005</v>
      </c>
      <c r="M135" s="12">
        <v>39.932700373703085</v>
      </c>
    </row>
    <row r="136" spans="2:13" x14ac:dyDescent="0.3">
      <c r="B136" s="3" t="s">
        <v>79</v>
      </c>
      <c r="C136" s="9">
        <v>1</v>
      </c>
      <c r="D136" s="12">
        <v>1.622004843</v>
      </c>
      <c r="E136" s="12">
        <v>4.9377016516643977</v>
      </c>
      <c r="F136" s="12">
        <v>-3.3156968086643976</v>
      </c>
      <c r="G136" s="12">
        <v>-0.30717235267686099</v>
      </c>
      <c r="H136" s="12">
        <v>1.4473573894425176</v>
      </c>
      <c r="I136" s="12">
        <v>2.0922145861575716</v>
      </c>
      <c r="J136" s="12">
        <v>7.7831887171712237</v>
      </c>
      <c r="K136" s="12">
        <v>10.890858175174071</v>
      </c>
      <c r="L136" s="12">
        <v>-16.473593371787626</v>
      </c>
      <c r="M136" s="12">
        <v>26.348996675116421</v>
      </c>
    </row>
    <row r="137" spans="2:13" x14ac:dyDescent="0.3">
      <c r="B137" s="3" t="s">
        <v>80</v>
      </c>
      <c r="C137" s="9">
        <v>1</v>
      </c>
      <c r="D137" s="12">
        <v>2.1826909890000001</v>
      </c>
      <c r="E137" s="12">
        <v>7.7432652937761643</v>
      </c>
      <c r="F137" s="12">
        <v>-5.5605743047761642</v>
      </c>
      <c r="G137" s="12">
        <v>-0.51514200181669201</v>
      </c>
      <c r="H137" s="12">
        <v>1.1962008676822289</v>
      </c>
      <c r="I137" s="12">
        <v>5.3915489025337324</v>
      </c>
      <c r="J137" s="12">
        <v>10.094981685018595</v>
      </c>
      <c r="K137" s="12">
        <v>10.860333553571259</v>
      </c>
      <c r="L137" s="12">
        <v>-13.608018693988434</v>
      </c>
      <c r="M137" s="12">
        <v>29.094549281540765</v>
      </c>
    </row>
    <row r="138" spans="2:13" x14ac:dyDescent="0.3">
      <c r="B138" s="3" t="s">
        <v>81</v>
      </c>
      <c r="C138" s="9">
        <v>1</v>
      </c>
      <c r="D138" s="12">
        <v>3.4642517960000001</v>
      </c>
      <c r="E138" s="12">
        <v>9.1511598593368948</v>
      </c>
      <c r="F138" s="12">
        <v>-5.6869080633368947</v>
      </c>
      <c r="G138" s="12">
        <v>-0.52684579745271154</v>
      </c>
      <c r="H138" s="12">
        <v>1.777730967955738</v>
      </c>
      <c r="I138" s="12">
        <v>5.6561623472038463</v>
      </c>
      <c r="J138" s="12">
        <v>12.646157371469943</v>
      </c>
      <c r="K138" s="12">
        <v>10.939665249604801</v>
      </c>
      <c r="L138" s="12">
        <v>-12.356089280224188</v>
      </c>
      <c r="M138" s="12">
        <v>30.658408998897976</v>
      </c>
    </row>
    <row r="139" spans="2:13" x14ac:dyDescent="0.3">
      <c r="B139" s="3" t="s">
        <v>82</v>
      </c>
      <c r="C139" s="9">
        <v>1</v>
      </c>
      <c r="D139" s="12">
        <v>-0.980954522</v>
      </c>
      <c r="E139" s="12">
        <v>-1.5797486666497795</v>
      </c>
      <c r="F139" s="12">
        <v>0.59879414464977954</v>
      </c>
      <c r="G139" s="12">
        <v>5.5473409299836379E-2</v>
      </c>
      <c r="H139" s="12">
        <v>1.4110831927598424</v>
      </c>
      <c r="I139" s="12">
        <v>-4.3539211016271278</v>
      </c>
      <c r="J139" s="12">
        <v>1.1944237683275685</v>
      </c>
      <c r="K139" s="12">
        <v>10.886096828334358</v>
      </c>
      <c r="L139" s="12">
        <v>-22.981682939988794</v>
      </c>
      <c r="M139" s="12">
        <v>19.822185606689231</v>
      </c>
    </row>
    <row r="140" spans="2:13" x14ac:dyDescent="0.3">
      <c r="B140" s="3" t="s">
        <v>83</v>
      </c>
      <c r="C140" s="9">
        <v>1</v>
      </c>
      <c r="D140" s="12">
        <v>2.0166808340000002</v>
      </c>
      <c r="E140" s="12">
        <v>5.0614115938726325</v>
      </c>
      <c r="F140" s="12">
        <v>-3.0447307598726323</v>
      </c>
      <c r="G140" s="12">
        <v>-0.28206955121280103</v>
      </c>
      <c r="H140" s="12">
        <v>1.2685244820363517</v>
      </c>
      <c r="I140" s="12">
        <v>2.5675078543798646</v>
      </c>
      <c r="J140" s="12">
        <v>7.5553153333654004</v>
      </c>
      <c r="K140" s="12">
        <v>10.868537286153442</v>
      </c>
      <c r="L140" s="12">
        <v>-16.306000832605001</v>
      </c>
      <c r="M140" s="12">
        <v>26.42882402035027</v>
      </c>
    </row>
    <row r="141" spans="2:13" x14ac:dyDescent="0.3">
      <c r="B141" s="3" t="s">
        <v>84</v>
      </c>
      <c r="C141" s="9">
        <v>1</v>
      </c>
      <c r="D141" s="12">
        <v>-1.883711527</v>
      </c>
      <c r="E141" s="12">
        <v>-15.771120974779006</v>
      </c>
      <c r="F141" s="12">
        <v>13.887409447779007</v>
      </c>
      <c r="G141" s="12">
        <v>1.2865555805687405</v>
      </c>
      <c r="H141" s="12">
        <v>1.5686118351390015</v>
      </c>
      <c r="I141" s="12">
        <v>-18.854992809231835</v>
      </c>
      <c r="J141" s="12">
        <v>-12.687249140326177</v>
      </c>
      <c r="K141" s="12">
        <v>10.907634549631748</v>
      </c>
      <c r="L141" s="12">
        <v>-37.215398146851427</v>
      </c>
      <c r="M141" s="12">
        <v>5.6731561972934124</v>
      </c>
    </row>
    <row r="142" spans="2:13" x14ac:dyDescent="0.3">
      <c r="B142" s="3" t="s">
        <v>85</v>
      </c>
      <c r="C142" s="9">
        <v>1</v>
      </c>
      <c r="D142" s="12">
        <v>-0.955468447</v>
      </c>
      <c r="E142" s="12">
        <v>-1.2628391323058816</v>
      </c>
      <c r="F142" s="12">
        <v>0.30737068530588163</v>
      </c>
      <c r="G142" s="12">
        <v>2.8475395067059383E-2</v>
      </c>
      <c r="H142" s="12">
        <v>1.4019171523740119</v>
      </c>
      <c r="I142" s="12">
        <v>-4.0189912431048045</v>
      </c>
      <c r="J142" s="12">
        <v>1.493312978493041</v>
      </c>
      <c r="K142" s="12">
        <v>10.884912497631872</v>
      </c>
      <c r="L142" s="12">
        <v>-22.662445025854392</v>
      </c>
      <c r="M142" s="12">
        <v>20.13676676124263</v>
      </c>
    </row>
    <row r="143" spans="2:13" x14ac:dyDescent="0.3">
      <c r="B143" s="3" t="s">
        <v>86</v>
      </c>
      <c r="C143" s="9">
        <v>1</v>
      </c>
      <c r="D143" s="12">
        <v>-1.199120535</v>
      </c>
      <c r="E143" s="12">
        <v>1.4657025868722888</v>
      </c>
      <c r="F143" s="12">
        <v>-2.6648231218722889</v>
      </c>
      <c r="G143" s="12">
        <v>-0.24687419720469986</v>
      </c>
      <c r="H143" s="12">
        <v>1.6728790574175347</v>
      </c>
      <c r="I143" s="12">
        <v>-1.8231573414086779</v>
      </c>
      <c r="J143" s="12">
        <v>4.7545625151532551</v>
      </c>
      <c r="K143" s="12">
        <v>10.923116438074265</v>
      </c>
      <c r="L143" s="12">
        <v>-20.009011790021926</v>
      </c>
      <c r="M143" s="12">
        <v>22.940416963766506</v>
      </c>
    </row>
    <row r="144" spans="2:13" x14ac:dyDescent="0.3">
      <c r="B144" s="3" t="s">
        <v>87</v>
      </c>
      <c r="C144" s="9">
        <v>1</v>
      </c>
      <c r="D144" s="12">
        <v>86.831721079999994</v>
      </c>
      <c r="E144" s="12">
        <v>47.159959663516133</v>
      </c>
      <c r="F144" s="12">
        <v>39.671761416483861</v>
      </c>
      <c r="G144" s="12">
        <v>3.6752661634479065</v>
      </c>
      <c r="H144" s="12">
        <v>2.2187596122239257</v>
      </c>
      <c r="I144" s="12">
        <v>42.797905188163718</v>
      </c>
      <c r="J144" s="12">
        <v>51.522014138868549</v>
      </c>
      <c r="K144" s="12">
        <v>11.019929337151764</v>
      </c>
      <c r="L144" s="12">
        <v>25.494912301756759</v>
      </c>
      <c r="M144" s="12">
        <v>68.825007025275511</v>
      </c>
    </row>
    <row r="145" spans="2:13" x14ac:dyDescent="0.3">
      <c r="B145" s="3" t="s">
        <v>88</v>
      </c>
      <c r="C145" s="9">
        <v>1</v>
      </c>
      <c r="D145" s="12">
        <v>38.405573400000002</v>
      </c>
      <c r="E145" s="12">
        <v>18.334032359132433</v>
      </c>
      <c r="F145" s="12">
        <v>20.071541040867569</v>
      </c>
      <c r="G145" s="12">
        <v>1.8594650956210224</v>
      </c>
      <c r="H145" s="12">
        <v>1.205680338885446</v>
      </c>
      <c r="I145" s="12">
        <v>15.963679442527742</v>
      </c>
      <c r="J145" s="12">
        <v>20.704385275737124</v>
      </c>
      <c r="K145" s="12">
        <v>10.861381747206796</v>
      </c>
      <c r="L145" s="12">
        <v>-3.0193123646009212</v>
      </c>
      <c r="M145" s="12">
        <v>39.687377082865787</v>
      </c>
    </row>
    <row r="146" spans="2:13" x14ac:dyDescent="0.3">
      <c r="B146" s="3" t="s">
        <v>89</v>
      </c>
      <c r="C146" s="9">
        <v>1</v>
      </c>
      <c r="D146" s="12">
        <v>-4.0432285129999999</v>
      </c>
      <c r="E146" s="12">
        <v>-5.3159001041643208</v>
      </c>
      <c r="F146" s="12">
        <v>1.2726715911643209</v>
      </c>
      <c r="G146" s="12">
        <v>0.11790267608950039</v>
      </c>
      <c r="H146" s="12">
        <v>1.6365731924924904</v>
      </c>
      <c r="I146" s="12">
        <v>-8.5333831425355733</v>
      </c>
      <c r="J146" s="12">
        <v>-2.0984170657930692</v>
      </c>
      <c r="K146" s="12">
        <v>10.917615133048384</v>
      </c>
      <c r="L146" s="12">
        <v>-26.779798982130121</v>
      </c>
      <c r="M146" s="12">
        <v>16.147998773801479</v>
      </c>
    </row>
    <row r="147" spans="2:13" x14ac:dyDescent="0.3">
      <c r="B147" s="3" t="s">
        <v>90</v>
      </c>
      <c r="C147" s="9">
        <v>1</v>
      </c>
      <c r="D147" s="12">
        <v>-1.1155772479999999</v>
      </c>
      <c r="E147" s="12">
        <v>-1.9150271935585295</v>
      </c>
      <c r="F147" s="12">
        <v>0.79944994555852955</v>
      </c>
      <c r="G147" s="12">
        <v>7.4062537920504282E-2</v>
      </c>
      <c r="H147" s="12">
        <v>1.2861058350634813</v>
      </c>
      <c r="I147" s="12">
        <v>-4.4434956597716795</v>
      </c>
      <c r="J147" s="12">
        <v>0.61344127265462056</v>
      </c>
      <c r="K147" s="12">
        <v>10.870603322629631</v>
      </c>
      <c r="L147" s="12">
        <v>-23.286501422679201</v>
      </c>
      <c r="M147" s="12">
        <v>19.456447035562142</v>
      </c>
    </row>
    <row r="148" spans="2:13" x14ac:dyDescent="0.3">
      <c r="B148" s="3" t="s">
        <v>91</v>
      </c>
      <c r="C148" s="9">
        <v>1</v>
      </c>
      <c r="D148" s="12">
        <v>-0.27178638300000002</v>
      </c>
      <c r="E148" s="12">
        <v>-2.3112576408814824</v>
      </c>
      <c r="F148" s="12">
        <v>2.0394712578814822</v>
      </c>
      <c r="G148" s="12">
        <v>0.18894043112242259</v>
      </c>
      <c r="H148" s="12">
        <v>1.387054757556148</v>
      </c>
      <c r="I148" s="12">
        <v>-5.0381904638077835</v>
      </c>
      <c r="J148" s="12">
        <v>0.41567518204481813</v>
      </c>
      <c r="K148" s="12">
        <v>10.883008282613828</v>
      </c>
      <c r="L148" s="12">
        <v>-23.707119870810139</v>
      </c>
      <c r="M148" s="12">
        <v>19.084604589047174</v>
      </c>
    </row>
    <row r="149" spans="2:13" x14ac:dyDescent="0.3">
      <c r="B149" s="3" t="s">
        <v>92</v>
      </c>
      <c r="C149" s="9">
        <v>1</v>
      </c>
      <c r="D149" s="12">
        <v>0.38197231199999998</v>
      </c>
      <c r="E149" s="12">
        <v>-6.9800134110159711</v>
      </c>
      <c r="F149" s="12">
        <v>7.3619857230159713</v>
      </c>
      <c r="G149" s="12">
        <v>0.68202812422502401</v>
      </c>
      <c r="H149" s="12">
        <v>1.6756744073289638</v>
      </c>
      <c r="I149" s="12">
        <v>-10.274368963304219</v>
      </c>
      <c r="J149" s="12">
        <v>-3.6856578587277222</v>
      </c>
      <c r="K149" s="12">
        <v>10.923544896157075</v>
      </c>
      <c r="L149" s="12">
        <v>-28.45557013130211</v>
      </c>
      <c r="M149" s="12">
        <v>14.495543309270168</v>
      </c>
    </row>
    <row r="150" spans="2:13" x14ac:dyDescent="0.3">
      <c r="B150" s="3" t="s">
        <v>93</v>
      </c>
      <c r="C150" s="9">
        <v>1</v>
      </c>
      <c r="D150" s="12">
        <v>31.810235769999998</v>
      </c>
      <c r="E150" s="12">
        <v>14.729440858900368</v>
      </c>
      <c r="F150" s="12">
        <v>17.08079491109963</v>
      </c>
      <c r="G150" s="12">
        <v>1.5823967814918762</v>
      </c>
      <c r="H150" s="12">
        <v>1.3403754538673764</v>
      </c>
      <c r="I150" s="12">
        <v>12.094278980622663</v>
      </c>
      <c r="J150" s="12">
        <v>17.364602737178075</v>
      </c>
      <c r="K150" s="12">
        <v>10.877157475016725</v>
      </c>
      <c r="L150" s="12">
        <v>-6.6549187542856885</v>
      </c>
      <c r="M150" s="12">
        <v>36.113800472086425</v>
      </c>
    </row>
    <row r="151" spans="2:13" x14ac:dyDescent="0.3">
      <c r="B151" s="3" t="s">
        <v>94</v>
      </c>
      <c r="C151" s="9">
        <v>1</v>
      </c>
      <c r="D151" s="12">
        <v>0.588666358</v>
      </c>
      <c r="E151" s="12">
        <v>-8.3147890264419502</v>
      </c>
      <c r="F151" s="12">
        <v>8.9034553844419495</v>
      </c>
      <c r="G151" s="12">
        <v>0.82483275619345553</v>
      </c>
      <c r="H151" s="12">
        <v>1.9189754163697499</v>
      </c>
      <c r="I151" s="12">
        <v>-12.087471410306314</v>
      </c>
      <c r="J151" s="12">
        <v>-4.5421066425775862</v>
      </c>
      <c r="K151" s="12">
        <v>10.963503775144764</v>
      </c>
      <c r="L151" s="12">
        <v>-29.868904417959538</v>
      </c>
      <c r="M151" s="12">
        <v>13.239326365075637</v>
      </c>
    </row>
    <row r="152" spans="2:13" x14ac:dyDescent="0.3">
      <c r="B152" s="3" t="s">
        <v>95</v>
      </c>
      <c r="C152" s="9">
        <v>1</v>
      </c>
      <c r="D152" s="12">
        <v>-0.13829327699999999</v>
      </c>
      <c r="E152" s="12">
        <v>3.2089731576992531</v>
      </c>
      <c r="F152" s="12">
        <v>-3.3472664346992529</v>
      </c>
      <c r="G152" s="12">
        <v>-0.31009702186763705</v>
      </c>
      <c r="H152" s="12">
        <v>1.1408945804734945</v>
      </c>
      <c r="I152" s="12">
        <v>0.96598825602642613</v>
      </c>
      <c r="J152" s="12">
        <v>5.45195805937208</v>
      </c>
      <c r="K152" s="12">
        <v>10.854381088884608</v>
      </c>
      <c r="L152" s="12">
        <v>-18.130608356718199</v>
      </c>
      <c r="M152" s="12">
        <v>24.548554672116708</v>
      </c>
    </row>
    <row r="153" spans="2:13" x14ac:dyDescent="0.3">
      <c r="B153" s="3" t="s">
        <v>96</v>
      </c>
      <c r="C153" s="9">
        <v>1</v>
      </c>
      <c r="D153" s="12">
        <v>19.93662346</v>
      </c>
      <c r="E153" s="12">
        <v>10.773746997256698</v>
      </c>
      <c r="F153" s="12">
        <v>9.1628764627433021</v>
      </c>
      <c r="G153" s="12">
        <v>0.84886601000229622</v>
      </c>
      <c r="H153" s="12">
        <v>1.580525845498653</v>
      </c>
      <c r="I153" s="12">
        <v>7.6664523630005936</v>
      </c>
      <c r="J153" s="12">
        <v>13.881041631512801</v>
      </c>
      <c r="K153" s="12">
        <v>10.909354258033391</v>
      </c>
      <c r="L153" s="12">
        <v>-10.673911100666526</v>
      </c>
      <c r="M153" s="12">
        <v>32.221405095179918</v>
      </c>
    </row>
    <row r="154" spans="2:13" x14ac:dyDescent="0.3">
      <c r="B154" s="3" t="s">
        <v>97</v>
      </c>
      <c r="C154" s="9">
        <v>1</v>
      </c>
      <c r="D154" s="12">
        <v>21.67812185</v>
      </c>
      <c r="E154" s="12">
        <v>37.608402620359328</v>
      </c>
      <c r="F154" s="12">
        <v>-15.930280770359328</v>
      </c>
      <c r="G154" s="12">
        <v>-1.475811000042953</v>
      </c>
      <c r="H154" s="12">
        <v>1.6713150197048194</v>
      </c>
      <c r="I154" s="12">
        <v>34.322617571243633</v>
      </c>
      <c r="J154" s="12">
        <v>40.894187669475023</v>
      </c>
      <c r="K154" s="12">
        <v>10.922877014508263</v>
      </c>
      <c r="L154" s="12">
        <v>16.134158947290725</v>
      </c>
      <c r="M154" s="12">
        <v>59.082646293427928</v>
      </c>
    </row>
    <row r="155" spans="2:13" x14ac:dyDescent="0.3">
      <c r="B155" s="3" t="s">
        <v>98</v>
      </c>
      <c r="C155" s="9">
        <v>1</v>
      </c>
      <c r="D155" s="12">
        <v>53.688632269999999</v>
      </c>
      <c r="E155" s="12">
        <v>32.132526307471252</v>
      </c>
      <c r="F155" s="12">
        <v>21.556105962528747</v>
      </c>
      <c r="G155" s="12">
        <v>1.9969979660863086</v>
      </c>
      <c r="H155" s="12">
        <v>1.6034497396097669</v>
      </c>
      <c r="I155" s="12">
        <v>28.980163575549689</v>
      </c>
      <c r="J155" s="12">
        <v>35.284889039392816</v>
      </c>
      <c r="K155" s="12">
        <v>10.912698999167743</v>
      </c>
      <c r="L155" s="12">
        <v>10.678292489062756</v>
      </c>
      <c r="M155" s="12">
        <v>53.586760125879749</v>
      </c>
    </row>
    <row r="156" spans="2:13" x14ac:dyDescent="0.3">
      <c r="B156" s="3" t="s">
        <v>99</v>
      </c>
      <c r="C156" s="9">
        <v>1</v>
      </c>
      <c r="D156" s="12">
        <v>53.688632269999999</v>
      </c>
      <c r="E156" s="12">
        <v>30.98892853350241</v>
      </c>
      <c r="F156" s="12">
        <v>22.69970373649759</v>
      </c>
      <c r="G156" s="12">
        <v>2.1029430023839821</v>
      </c>
      <c r="H156" s="12">
        <v>1.5238751710149878</v>
      </c>
      <c r="I156" s="12">
        <v>27.99300843788572</v>
      </c>
      <c r="J156" s="12">
        <v>33.984848629119099</v>
      </c>
      <c r="K156" s="12">
        <v>10.901290928867919</v>
      </c>
      <c r="L156" s="12">
        <v>9.5571228428786092</v>
      </c>
      <c r="M156" s="12">
        <v>52.420734224126207</v>
      </c>
    </row>
    <row r="157" spans="2:13" x14ac:dyDescent="0.3">
      <c r="B157" s="3" t="s">
        <v>100</v>
      </c>
      <c r="C157" s="9">
        <v>1</v>
      </c>
      <c r="D157" s="12">
        <v>49.816643599999999</v>
      </c>
      <c r="E157" s="12">
        <v>31.753061809638066</v>
      </c>
      <c r="F157" s="12">
        <v>18.063581790361933</v>
      </c>
      <c r="G157" s="12">
        <v>1.6734439957890588</v>
      </c>
      <c r="H157" s="12">
        <v>1.5471316482912605</v>
      </c>
      <c r="I157" s="12">
        <v>28.711419761888752</v>
      </c>
      <c r="J157" s="12">
        <v>34.794703857387375</v>
      </c>
      <c r="K157" s="12">
        <v>10.904566232369193</v>
      </c>
      <c r="L157" s="12">
        <v>10.314816912073073</v>
      </c>
      <c r="M157" s="12">
        <v>53.191306707203054</v>
      </c>
    </row>
    <row r="158" spans="2:13" x14ac:dyDescent="0.3">
      <c r="B158" s="3" t="s">
        <v>101</v>
      </c>
      <c r="C158" s="9">
        <v>1</v>
      </c>
      <c r="D158" s="12">
        <v>1.7908950480000001</v>
      </c>
      <c r="E158" s="12">
        <v>3.8895147745188727</v>
      </c>
      <c r="F158" s="12">
        <v>-2.0986197265188729</v>
      </c>
      <c r="G158" s="12">
        <v>-0.19442005586407662</v>
      </c>
      <c r="H158" s="12">
        <v>1.4162094044975533</v>
      </c>
      <c r="I158" s="12">
        <v>1.1052642694662933</v>
      </c>
      <c r="J158" s="12">
        <v>6.6737652795714517</v>
      </c>
      <c r="K158" s="12">
        <v>10.886762487368287</v>
      </c>
      <c r="L158" s="12">
        <v>-17.513728176403781</v>
      </c>
      <c r="M158" s="12">
        <v>25.292757725441525</v>
      </c>
    </row>
    <row r="159" spans="2:13" x14ac:dyDescent="0.3">
      <c r="B159" s="3" t="s">
        <v>102</v>
      </c>
      <c r="C159" s="9">
        <v>1</v>
      </c>
      <c r="D159" s="12">
        <v>13.215319020000001</v>
      </c>
      <c r="E159" s="12">
        <v>23.177988979556297</v>
      </c>
      <c r="F159" s="12">
        <v>-9.9626699595562958</v>
      </c>
      <c r="G159" s="12">
        <v>-0.92296037515345175</v>
      </c>
      <c r="H159" s="12">
        <v>1.4791150529911088</v>
      </c>
      <c r="I159" s="12">
        <v>20.270066732858293</v>
      </c>
      <c r="J159" s="12">
        <v>26.0859112262543</v>
      </c>
      <c r="K159" s="12">
        <v>10.895124125909119</v>
      </c>
      <c r="L159" s="12">
        <v>1.7583071487219257</v>
      </c>
      <c r="M159" s="12">
        <v>44.597670810390667</v>
      </c>
    </row>
    <row r="160" spans="2:13" x14ac:dyDescent="0.3">
      <c r="B160" s="3" t="s">
        <v>103</v>
      </c>
      <c r="C160" s="9">
        <v>1</v>
      </c>
      <c r="D160" s="12">
        <v>21.52533506</v>
      </c>
      <c r="E160" s="12">
        <v>37.895431612922515</v>
      </c>
      <c r="F160" s="12">
        <v>-16.370096552922515</v>
      </c>
      <c r="G160" s="12">
        <v>-1.5165563565910292</v>
      </c>
      <c r="H160" s="12">
        <v>1.736729971230079</v>
      </c>
      <c r="I160" s="12">
        <v>34.48104156284878</v>
      </c>
      <c r="J160" s="12">
        <v>41.309821662996249</v>
      </c>
      <c r="K160" s="12">
        <v>10.933077305678895</v>
      </c>
      <c r="L160" s="12">
        <v>16.401134291182096</v>
      </c>
      <c r="M160" s="12">
        <v>59.389728934662934</v>
      </c>
    </row>
    <row r="161" spans="2:13" x14ac:dyDescent="0.3">
      <c r="B161" s="3" t="s">
        <v>104</v>
      </c>
      <c r="C161" s="9">
        <v>1</v>
      </c>
      <c r="D161" s="12">
        <v>3.2130864840000002</v>
      </c>
      <c r="E161" s="12">
        <v>10.946139878736503</v>
      </c>
      <c r="F161" s="12">
        <v>-7.733053394736503</v>
      </c>
      <c r="G161" s="12">
        <v>-0.71640452722630865</v>
      </c>
      <c r="H161" s="12">
        <v>1.1144051798847647</v>
      </c>
      <c r="I161" s="12">
        <v>8.7552328172005147</v>
      </c>
      <c r="J161" s="12">
        <v>13.137046940272491</v>
      </c>
      <c r="K161" s="12">
        <v>10.851628784838525</v>
      </c>
      <c r="L161" s="12">
        <v>-10.388030639322622</v>
      </c>
      <c r="M161" s="12">
        <v>32.280310396795628</v>
      </c>
    </row>
    <row r="162" spans="2:13" x14ac:dyDescent="0.3">
      <c r="B162" s="3" t="s">
        <v>105</v>
      </c>
      <c r="C162" s="9">
        <v>1</v>
      </c>
      <c r="D162" s="12">
        <v>6.3091121550000002</v>
      </c>
      <c r="E162" s="12">
        <v>12.874922355007779</v>
      </c>
      <c r="F162" s="12">
        <v>-6.5658102000077792</v>
      </c>
      <c r="G162" s="12">
        <v>-0.60826893493272272</v>
      </c>
      <c r="H162" s="12">
        <v>1.3016825755194241</v>
      </c>
      <c r="I162" s="12">
        <v>10.315830206065366</v>
      </c>
      <c r="J162" s="12">
        <v>15.434014503950193</v>
      </c>
      <c r="K162" s="12">
        <v>10.872457215661642</v>
      </c>
      <c r="L162" s="12">
        <v>-8.5001966053188163</v>
      </c>
      <c r="M162" s="12">
        <v>34.250041315334371</v>
      </c>
    </row>
    <row r="163" spans="2:13" x14ac:dyDescent="0.3">
      <c r="B163" s="3" t="s">
        <v>106</v>
      </c>
      <c r="C163" s="9">
        <v>1</v>
      </c>
      <c r="D163" s="12">
        <v>9.5716594500000003</v>
      </c>
      <c r="E163" s="12">
        <v>13.98175978848068</v>
      </c>
      <c r="F163" s="12">
        <v>-4.4101003384806798</v>
      </c>
      <c r="G163" s="12">
        <v>-0.40855994220346253</v>
      </c>
      <c r="H163" s="12">
        <v>1.4419322860627082</v>
      </c>
      <c r="I163" s="12">
        <v>11.146938410390721</v>
      </c>
      <c r="J163" s="12">
        <v>16.816581166570639</v>
      </c>
      <c r="K163" s="12">
        <v>10.890138525132361</v>
      </c>
      <c r="L163" s="12">
        <v>-7.4281204117215296</v>
      </c>
      <c r="M163" s="12">
        <v>35.39163998868289</v>
      </c>
    </row>
    <row r="164" spans="2:13" x14ac:dyDescent="0.3">
      <c r="B164" s="3" t="s">
        <v>107</v>
      </c>
      <c r="C164" s="9">
        <v>1</v>
      </c>
      <c r="D164" s="12">
        <v>-2.1338590549999998</v>
      </c>
      <c r="E164" s="12">
        <v>6.364117525616475E-2</v>
      </c>
      <c r="F164" s="12">
        <v>-2.1975002302561646</v>
      </c>
      <c r="G164" s="12">
        <v>-0.20358053063592157</v>
      </c>
      <c r="H164" s="12">
        <v>1.7725487320246578</v>
      </c>
      <c r="I164" s="12">
        <v>-3.4211681239172815</v>
      </c>
      <c r="J164" s="12">
        <v>3.548450474429611</v>
      </c>
      <c r="K164" s="12">
        <v>10.938824314632001</v>
      </c>
      <c r="L164" s="12">
        <v>-21.441954696352241</v>
      </c>
      <c r="M164" s="12">
        <v>21.569237046864572</v>
      </c>
    </row>
    <row r="165" spans="2:13" x14ac:dyDescent="0.3">
      <c r="B165" s="3" t="s">
        <v>108</v>
      </c>
      <c r="C165" s="9">
        <v>1</v>
      </c>
      <c r="D165" s="12">
        <v>-3.8517822E-2</v>
      </c>
      <c r="E165" s="12">
        <v>3.2492276932393347</v>
      </c>
      <c r="F165" s="12">
        <v>-3.2877455152393349</v>
      </c>
      <c r="G165" s="12">
        <v>-0.30458289258530447</v>
      </c>
      <c r="H165" s="12">
        <v>1.5951143722431329</v>
      </c>
      <c r="I165" s="12">
        <v>0.11325219241978512</v>
      </c>
      <c r="J165" s="12">
        <v>6.3852031940588843</v>
      </c>
      <c r="K165" s="12">
        <v>10.911477362828492</v>
      </c>
      <c r="L165" s="12">
        <v>-18.202604402949447</v>
      </c>
      <c r="M165" s="12">
        <v>24.701059789428115</v>
      </c>
    </row>
    <row r="166" spans="2:13" x14ac:dyDescent="0.3">
      <c r="B166" s="3" t="s">
        <v>109</v>
      </c>
      <c r="C166" s="9">
        <v>1</v>
      </c>
      <c r="D166" s="12">
        <v>-0.19043934200000001</v>
      </c>
      <c r="E166" s="12">
        <v>3.4905801118909263</v>
      </c>
      <c r="F166" s="12">
        <v>-3.6810194538909262</v>
      </c>
      <c r="G166" s="12">
        <v>-0.34101652568059515</v>
      </c>
      <c r="H166" s="12">
        <v>1.4169246985850865</v>
      </c>
      <c r="I166" s="12">
        <v>0.70492334734158701</v>
      </c>
      <c r="J166" s="12">
        <v>6.2762368764402652</v>
      </c>
      <c r="K166" s="12">
        <v>10.886855559822701</v>
      </c>
      <c r="L166" s="12">
        <v>-17.912845818347769</v>
      </c>
      <c r="M166" s="12">
        <v>24.894006042129625</v>
      </c>
    </row>
    <row r="167" spans="2:13" x14ac:dyDescent="0.3">
      <c r="B167" s="3" t="s">
        <v>110</v>
      </c>
      <c r="C167" s="9">
        <v>1</v>
      </c>
      <c r="D167" s="12">
        <v>1.6833985899999999</v>
      </c>
      <c r="E167" s="12">
        <v>9.6604500385537335</v>
      </c>
      <c r="F167" s="12">
        <v>-7.977051448553734</v>
      </c>
      <c r="G167" s="12">
        <v>-0.73900896320602805</v>
      </c>
      <c r="H167" s="12">
        <v>1.1459092701146794</v>
      </c>
      <c r="I167" s="12">
        <v>7.4076063178942437</v>
      </c>
      <c r="J167" s="12">
        <v>11.913293759213223</v>
      </c>
      <c r="K167" s="12">
        <v>10.854909324094642</v>
      </c>
      <c r="L167" s="12">
        <v>-11.680169979877075</v>
      </c>
      <c r="M167" s="12">
        <v>31.001070056984542</v>
      </c>
    </row>
    <row r="168" spans="2:13" x14ac:dyDescent="0.3">
      <c r="B168" s="3" t="s">
        <v>111</v>
      </c>
      <c r="C168" s="9">
        <v>1</v>
      </c>
      <c r="D168" s="12">
        <v>1.0030785849999999</v>
      </c>
      <c r="E168" s="12">
        <v>6.2301102221995208</v>
      </c>
      <c r="F168" s="12">
        <v>-5.2270316371995209</v>
      </c>
      <c r="G168" s="12">
        <v>-0.4842419853707059</v>
      </c>
      <c r="H168" s="12">
        <v>1.2055286152563336</v>
      </c>
      <c r="I168" s="12">
        <v>3.8600555924086604</v>
      </c>
      <c r="J168" s="12">
        <v>8.6001648519903817</v>
      </c>
      <c r="K168" s="12">
        <v>10.861364905995188</v>
      </c>
      <c r="L168" s="12">
        <v>-15.123201391916165</v>
      </c>
      <c r="M168" s="12">
        <v>27.583421836315207</v>
      </c>
    </row>
    <row r="169" spans="2:13" x14ac:dyDescent="0.3">
      <c r="B169" s="3" t="s">
        <v>112</v>
      </c>
      <c r="C169" s="9">
        <v>1</v>
      </c>
      <c r="D169" s="12">
        <v>7.3545731090000004</v>
      </c>
      <c r="E169" s="12">
        <v>11.391896260332564</v>
      </c>
      <c r="F169" s="12">
        <v>-4.0373231513325631</v>
      </c>
      <c r="G169" s="12">
        <v>-0.37402516649618844</v>
      </c>
      <c r="H169" s="12">
        <v>1.2350207807523228</v>
      </c>
      <c r="I169" s="12">
        <v>8.9638603910325401</v>
      </c>
      <c r="J169" s="12">
        <v>13.819932129632587</v>
      </c>
      <c r="K169" s="12">
        <v>10.864677846483627</v>
      </c>
      <c r="L169" s="12">
        <v>-9.967928554584395</v>
      </c>
      <c r="M169" s="12">
        <v>32.75172107524952</v>
      </c>
    </row>
    <row r="170" spans="2:13" x14ac:dyDescent="0.3">
      <c r="B170" s="3" t="s">
        <v>113</v>
      </c>
      <c r="C170" s="9">
        <v>1</v>
      </c>
      <c r="D170" s="12">
        <v>-1.2174162580000001</v>
      </c>
      <c r="E170" s="12">
        <v>-1.2170992260140796</v>
      </c>
      <c r="F170" s="12">
        <v>-3.1703198592047954E-4</v>
      </c>
      <c r="G170" s="12">
        <v>-2.937043602253802E-5</v>
      </c>
      <c r="H170" s="12">
        <v>1.1845557049427091</v>
      </c>
      <c r="I170" s="12">
        <v>-3.5459213686122366</v>
      </c>
      <c r="J170" s="12">
        <v>1.1117229165840774</v>
      </c>
      <c r="K170" s="12">
        <v>10.859057076795128</v>
      </c>
      <c r="L170" s="12">
        <v>-22.565873675925495</v>
      </c>
      <c r="M170" s="12">
        <v>20.131675223897332</v>
      </c>
    </row>
    <row r="171" spans="2:13" x14ac:dyDescent="0.3">
      <c r="B171" s="3" t="s">
        <v>114</v>
      </c>
      <c r="C171" s="9">
        <v>1</v>
      </c>
      <c r="D171" s="12">
        <v>-0.610887917</v>
      </c>
      <c r="E171" s="12">
        <v>7.6717648788542352</v>
      </c>
      <c r="F171" s="12">
        <v>-8.2826527958542346</v>
      </c>
      <c r="G171" s="12">
        <v>-0.76732044349162332</v>
      </c>
      <c r="H171" s="12">
        <v>1.4948030670149233</v>
      </c>
      <c r="I171" s="12">
        <v>4.7330001869427187</v>
      </c>
      <c r="J171" s="12">
        <v>10.610529570765753</v>
      </c>
      <c r="K171" s="12">
        <v>10.897265004951437</v>
      </c>
      <c r="L171" s="12">
        <v>-13.75212589420005</v>
      </c>
      <c r="M171" s="12">
        <v>29.095655651908523</v>
      </c>
    </row>
    <row r="172" spans="2:13" x14ac:dyDescent="0.3">
      <c r="B172" s="3" t="s">
        <v>115</v>
      </c>
      <c r="C172" s="9">
        <v>1</v>
      </c>
      <c r="D172" s="12">
        <v>86.831721079999994</v>
      </c>
      <c r="E172" s="12">
        <v>47.100509616019394</v>
      </c>
      <c r="F172" s="12">
        <v>39.7312114639806</v>
      </c>
      <c r="G172" s="12">
        <v>3.6807737270190399</v>
      </c>
      <c r="H172" s="12">
        <v>2.0417152534266583</v>
      </c>
      <c r="I172" s="12">
        <v>43.08652220181807</v>
      </c>
      <c r="J172" s="12">
        <v>51.114497030220718</v>
      </c>
      <c r="K172" s="12">
        <v>10.985651985888554</v>
      </c>
      <c r="L172" s="12">
        <v>25.502851110924414</v>
      </c>
      <c r="M172" s="12">
        <v>68.698168121114378</v>
      </c>
    </row>
    <row r="173" spans="2:13" x14ac:dyDescent="0.3">
      <c r="B173" s="3" t="s">
        <v>116</v>
      </c>
      <c r="C173" s="9">
        <v>1</v>
      </c>
      <c r="D173" s="12">
        <v>-1.61303051</v>
      </c>
      <c r="E173" s="12">
        <v>-15.977222650854998</v>
      </c>
      <c r="F173" s="12">
        <v>14.364192140854998</v>
      </c>
      <c r="G173" s="12">
        <v>1.3307256208345017</v>
      </c>
      <c r="H173" s="12">
        <v>1.4687104688457302</v>
      </c>
      <c r="I173" s="12">
        <v>-18.864689611371709</v>
      </c>
      <c r="J173" s="12">
        <v>-13.089755690338285</v>
      </c>
      <c r="K173" s="12">
        <v>10.893716483380642</v>
      </c>
      <c r="L173" s="12">
        <v>-37.394137073558625</v>
      </c>
      <c r="M173" s="12">
        <v>5.4396917718486257</v>
      </c>
    </row>
    <row r="174" spans="2:13" x14ac:dyDescent="0.3">
      <c r="B174" s="3" t="s">
        <v>117</v>
      </c>
      <c r="C174" s="9">
        <v>1</v>
      </c>
      <c r="D174" s="12">
        <v>1.3179103839999999</v>
      </c>
      <c r="E174" s="12">
        <v>5.5414377486026343</v>
      </c>
      <c r="F174" s="12">
        <v>-4.2235273646026341</v>
      </c>
      <c r="G174" s="12">
        <v>-0.39127547301367466</v>
      </c>
      <c r="H174" s="12">
        <v>1.6234384400244461</v>
      </c>
      <c r="I174" s="12">
        <v>2.3497774742073552</v>
      </c>
      <c r="J174" s="12">
        <v>8.7330980229979129</v>
      </c>
      <c r="K174" s="12">
        <v>10.915653931282863</v>
      </c>
      <c r="L174" s="12">
        <v>-15.918605430489242</v>
      </c>
      <c r="M174" s="12">
        <v>27.001480927694509</v>
      </c>
    </row>
    <row r="175" spans="2:13" x14ac:dyDescent="0.3">
      <c r="B175" s="3" t="s">
        <v>118</v>
      </c>
      <c r="C175" s="9">
        <v>1</v>
      </c>
      <c r="D175" s="12">
        <v>9.501502018</v>
      </c>
      <c r="E175" s="12">
        <v>13.836292301417123</v>
      </c>
      <c r="F175" s="12">
        <v>-4.3347902834171226</v>
      </c>
      <c r="G175" s="12">
        <v>-0.40158307787327213</v>
      </c>
      <c r="H175" s="12">
        <v>1.3083329009984224</v>
      </c>
      <c r="I175" s="12">
        <v>11.264125693277601</v>
      </c>
      <c r="J175" s="12">
        <v>16.408458909556643</v>
      </c>
      <c r="K175" s="12">
        <v>10.873255416792938</v>
      </c>
      <c r="L175" s="12">
        <v>-7.5403959126482807</v>
      </c>
      <c r="M175" s="12">
        <v>35.212980515482528</v>
      </c>
    </row>
    <row r="176" spans="2:13" x14ac:dyDescent="0.3">
      <c r="B176" s="3" t="s">
        <v>119</v>
      </c>
      <c r="C176" s="9">
        <v>1</v>
      </c>
      <c r="D176" s="12">
        <v>-1.352229618</v>
      </c>
      <c r="E176" s="12">
        <v>-8.5299793619079942</v>
      </c>
      <c r="F176" s="12">
        <v>7.1777497439079943</v>
      </c>
      <c r="G176" s="12">
        <v>0.66496015860089375</v>
      </c>
      <c r="H176" s="12">
        <v>1.2720808668577446</v>
      </c>
      <c r="I176" s="12">
        <v>-11.030874910806686</v>
      </c>
      <c r="J176" s="12">
        <v>-6.0290838130093025</v>
      </c>
      <c r="K176" s="12">
        <v>10.868952944548411</v>
      </c>
      <c r="L176" s="12">
        <v>-29.898208967746566</v>
      </c>
      <c r="M176" s="12">
        <v>12.838250243930577</v>
      </c>
    </row>
    <row r="177" spans="2:13" x14ac:dyDescent="0.3">
      <c r="B177" s="3" t="s">
        <v>120</v>
      </c>
      <c r="C177" s="9">
        <v>1</v>
      </c>
      <c r="D177" s="12">
        <v>7.9630390999999995E-2</v>
      </c>
      <c r="E177" s="12">
        <v>-10.23806788795893</v>
      </c>
      <c r="F177" s="12">
        <v>10.317698278958931</v>
      </c>
      <c r="G177" s="12">
        <v>0.95585086256256679</v>
      </c>
      <c r="H177" s="12">
        <v>1.6080445813269431</v>
      </c>
      <c r="I177" s="12">
        <v>-13.399464022942965</v>
      </c>
      <c r="J177" s="12">
        <v>-7.0766717529748968</v>
      </c>
      <c r="K177" s="12">
        <v>10.913375085394847</v>
      </c>
      <c r="L177" s="12">
        <v>-31.693630883686328</v>
      </c>
      <c r="M177" s="12">
        <v>11.217495107768467</v>
      </c>
    </row>
    <row r="178" spans="2:13" x14ac:dyDescent="0.3">
      <c r="B178" s="3" t="s">
        <v>121</v>
      </c>
      <c r="C178" s="9">
        <v>1</v>
      </c>
      <c r="D178" s="12">
        <v>-1.085184283</v>
      </c>
      <c r="E178" s="12">
        <v>-1.2692914701959248</v>
      </c>
      <c r="F178" s="12">
        <v>0.18410718719592478</v>
      </c>
      <c r="G178" s="12">
        <v>1.7056034100558053E-2</v>
      </c>
      <c r="H178" s="12">
        <v>1.6621111292470481</v>
      </c>
      <c r="I178" s="12">
        <v>-4.536981782351031</v>
      </c>
      <c r="J178" s="12">
        <v>1.9983988419591809</v>
      </c>
      <c r="K178" s="12">
        <v>10.921472509920488</v>
      </c>
      <c r="L178" s="12">
        <v>-22.740773904287128</v>
      </c>
      <c r="M178" s="12">
        <v>20.20219096389528</v>
      </c>
    </row>
    <row r="179" spans="2:13" x14ac:dyDescent="0.3">
      <c r="B179" s="3" t="s">
        <v>122</v>
      </c>
      <c r="C179" s="9">
        <v>1</v>
      </c>
      <c r="D179" s="12">
        <v>1.488454451</v>
      </c>
      <c r="E179" s="12">
        <v>0.27096787778824805</v>
      </c>
      <c r="F179" s="12">
        <v>1.2174865732117519</v>
      </c>
      <c r="G179" s="12">
        <v>0.11279023283090414</v>
      </c>
      <c r="H179" s="12">
        <v>1.5411486806542716</v>
      </c>
      <c r="I179" s="12">
        <v>-2.7589117281836701</v>
      </c>
      <c r="J179" s="12">
        <v>3.3008474837601662</v>
      </c>
      <c r="K179" s="12">
        <v>10.903718981836629</v>
      </c>
      <c r="L179" s="12">
        <v>-21.165611335510203</v>
      </c>
      <c r="M179" s="12">
        <v>21.707547091086699</v>
      </c>
    </row>
    <row r="180" spans="2:13" x14ac:dyDescent="0.3">
      <c r="B180" s="3" t="s">
        <v>123</v>
      </c>
      <c r="C180" s="9">
        <v>1</v>
      </c>
      <c r="D180" s="12">
        <v>1.0051906260000001</v>
      </c>
      <c r="E180" s="12">
        <v>4.8142115641261176</v>
      </c>
      <c r="F180" s="12">
        <v>-3.8090209381261175</v>
      </c>
      <c r="G180" s="12">
        <v>-0.35287482254172814</v>
      </c>
      <c r="H180" s="12">
        <v>1.1487262798320785</v>
      </c>
      <c r="I180" s="12">
        <v>2.5558296365436273</v>
      </c>
      <c r="J180" s="12">
        <v>7.0725934917086075</v>
      </c>
      <c r="K180" s="12">
        <v>10.855207065964191</v>
      </c>
      <c r="L180" s="12">
        <v>-16.526993811207443</v>
      </c>
      <c r="M180" s="12">
        <v>26.15541693945968</v>
      </c>
    </row>
    <row r="181" spans="2:13" x14ac:dyDescent="0.3">
      <c r="B181" s="3" t="s">
        <v>124</v>
      </c>
      <c r="C181" s="9">
        <v>1</v>
      </c>
      <c r="D181" s="12">
        <v>1.3970597389999999</v>
      </c>
      <c r="E181" s="12">
        <v>5.5472414707052451</v>
      </c>
      <c r="F181" s="12">
        <v>-4.1501817317052456</v>
      </c>
      <c r="G181" s="12">
        <v>-0.38448059642640925</v>
      </c>
      <c r="H181" s="12">
        <v>1.4481879886078772</v>
      </c>
      <c r="I181" s="12">
        <v>2.7001214573177563</v>
      </c>
      <c r="J181" s="12">
        <v>8.3943614840927339</v>
      </c>
      <c r="K181" s="12">
        <v>10.890968590044237</v>
      </c>
      <c r="L181" s="12">
        <v>-15.864270627041758</v>
      </c>
      <c r="M181" s="12">
        <v>26.958753568452249</v>
      </c>
    </row>
    <row r="182" spans="2:13" x14ac:dyDescent="0.3">
      <c r="B182" s="3" t="s">
        <v>125</v>
      </c>
      <c r="C182" s="9">
        <v>1</v>
      </c>
      <c r="D182" s="12">
        <v>5.2805623309999996</v>
      </c>
      <c r="E182" s="12">
        <v>17.342869377272052</v>
      </c>
      <c r="F182" s="12">
        <v>-12.062307046272053</v>
      </c>
      <c r="G182" s="12">
        <v>-1.1174746811686218</v>
      </c>
      <c r="H182" s="12">
        <v>1.7772643121580478</v>
      </c>
      <c r="I182" s="12">
        <v>13.848789304774893</v>
      </c>
      <c r="J182" s="12">
        <v>20.836949449769211</v>
      </c>
      <c r="K182" s="12">
        <v>10.939589426219461</v>
      </c>
      <c r="L182" s="12">
        <v>-4.1642306944334884</v>
      </c>
      <c r="M182" s="12">
        <v>38.849969448977589</v>
      </c>
    </row>
    <row r="183" spans="2:13" x14ac:dyDescent="0.3">
      <c r="B183" s="3" t="s">
        <v>126</v>
      </c>
      <c r="C183" s="9">
        <v>1</v>
      </c>
      <c r="D183" s="12">
        <v>-2.3618366659999999</v>
      </c>
      <c r="E183" s="12">
        <v>2.2621160608008153</v>
      </c>
      <c r="F183" s="12">
        <v>-4.6239527268008151</v>
      </c>
      <c r="G183" s="12">
        <v>-0.42837162735941686</v>
      </c>
      <c r="H183" s="12">
        <v>1.6487700713556608</v>
      </c>
      <c r="I183" s="12">
        <v>-0.97934589341932199</v>
      </c>
      <c r="J183" s="12">
        <v>5.5035780150209526</v>
      </c>
      <c r="K183" s="12">
        <v>10.919450129341687</v>
      </c>
      <c r="L183" s="12">
        <v>-19.205390397611897</v>
      </c>
      <c r="M183" s="12">
        <v>23.729622519213525</v>
      </c>
    </row>
    <row r="184" spans="2:13" x14ac:dyDescent="0.3">
      <c r="B184" s="3" t="s">
        <v>127</v>
      </c>
      <c r="C184" s="9">
        <v>1</v>
      </c>
      <c r="D184" s="12">
        <v>6.9291757999999995E-2</v>
      </c>
      <c r="E184" s="12">
        <v>3.340187012705107</v>
      </c>
      <c r="F184" s="12">
        <v>-3.2708952547051071</v>
      </c>
      <c r="G184" s="12">
        <v>-0.30302185293958317</v>
      </c>
      <c r="H184" s="12">
        <v>1.5388552543630096</v>
      </c>
      <c r="I184" s="12">
        <v>0.31481625499352939</v>
      </c>
      <c r="J184" s="12">
        <v>6.3655577704166841</v>
      </c>
      <c r="K184" s="12">
        <v>10.903395061762307</v>
      </c>
      <c r="L184" s="12">
        <v>-18.09575537765765</v>
      </c>
      <c r="M184" s="12">
        <v>24.776129403067866</v>
      </c>
    </row>
    <row r="185" spans="2:13" x14ac:dyDescent="0.3">
      <c r="B185" s="3" t="s">
        <v>128</v>
      </c>
      <c r="C185" s="9">
        <v>1</v>
      </c>
      <c r="D185" s="12">
        <v>53.52275556</v>
      </c>
      <c r="E185" s="12">
        <v>32.157627547202921</v>
      </c>
      <c r="F185" s="12">
        <v>21.365128012797079</v>
      </c>
      <c r="G185" s="12">
        <v>1.9793054116961772</v>
      </c>
      <c r="H185" s="12">
        <v>1.4797883120325557</v>
      </c>
      <c r="I185" s="12">
        <v>29.248381681398712</v>
      </c>
      <c r="J185" s="12">
        <v>35.06687341300713</v>
      </c>
      <c r="K185" s="12">
        <v>10.895215547542426</v>
      </c>
      <c r="L185" s="12">
        <v>10.737765982546772</v>
      </c>
      <c r="M185" s="12">
        <v>53.577489111859066</v>
      </c>
    </row>
    <row r="186" spans="2:13" x14ac:dyDescent="0.3">
      <c r="B186" s="3" t="s">
        <v>129</v>
      </c>
      <c r="C186" s="9">
        <v>1</v>
      </c>
      <c r="D186" s="12">
        <v>-0.29386874000000002</v>
      </c>
      <c r="E186" s="12">
        <v>3.8294592264533871</v>
      </c>
      <c r="F186" s="12">
        <v>-4.1233279664533873</v>
      </c>
      <c r="G186" s="12">
        <v>-0.38199281339718588</v>
      </c>
      <c r="H186" s="12">
        <v>1.300551794052027</v>
      </c>
      <c r="I186" s="12">
        <v>1.2725901801550505</v>
      </c>
      <c r="J186" s="12">
        <v>6.3863282727517241</v>
      </c>
      <c r="K186" s="12">
        <v>10.872321893137361</v>
      </c>
      <c r="L186" s="12">
        <v>-17.545393691432466</v>
      </c>
      <c r="M186" s="12">
        <v>25.204312144339241</v>
      </c>
    </row>
    <row r="187" spans="2:13" x14ac:dyDescent="0.3">
      <c r="B187" s="3" t="s">
        <v>130</v>
      </c>
      <c r="C187" s="9">
        <v>1</v>
      </c>
      <c r="D187" s="12">
        <v>1.2777786229999999</v>
      </c>
      <c r="E187" s="12">
        <v>0.55883165977976379</v>
      </c>
      <c r="F187" s="12">
        <v>0.7189469632202361</v>
      </c>
      <c r="G187" s="12">
        <v>6.6604591096856597E-2</v>
      </c>
      <c r="H187" s="12">
        <v>1.4533517290931244</v>
      </c>
      <c r="I187" s="12">
        <v>-2.298440204745241</v>
      </c>
      <c r="J187" s="12">
        <v>3.4161035243047686</v>
      </c>
      <c r="K187" s="12">
        <v>10.891656422575952</v>
      </c>
      <c r="L187" s="12">
        <v>-20.85403270837848</v>
      </c>
      <c r="M187" s="12">
        <v>21.971696027938005</v>
      </c>
    </row>
    <row r="188" spans="2:13" x14ac:dyDescent="0.3">
      <c r="B188" s="3" t="s">
        <v>131</v>
      </c>
      <c r="C188" s="9">
        <v>1</v>
      </c>
      <c r="D188" s="12">
        <v>-0.10778186100000001</v>
      </c>
      <c r="E188" s="12">
        <v>-6.353684074817056</v>
      </c>
      <c r="F188" s="12">
        <v>6.2459022138170557</v>
      </c>
      <c r="G188" s="12">
        <v>0.57863206086705554</v>
      </c>
      <c r="H188" s="12">
        <v>1.7206866526444013</v>
      </c>
      <c r="I188" s="12">
        <v>-9.7365331552198988</v>
      </c>
      <c r="J188" s="12">
        <v>-2.9708349944142127</v>
      </c>
      <c r="K188" s="12">
        <v>10.930540285620406</v>
      </c>
      <c r="L188" s="12">
        <v>-27.842993645906521</v>
      </c>
      <c r="M188" s="12">
        <v>15.135625496272407</v>
      </c>
    </row>
    <row r="189" spans="2:13" x14ac:dyDescent="0.3">
      <c r="B189" s="3" t="s">
        <v>132</v>
      </c>
      <c r="C189" s="9">
        <v>1</v>
      </c>
      <c r="D189" s="12">
        <v>1.21634335</v>
      </c>
      <c r="E189" s="12">
        <v>1.5481331711754853</v>
      </c>
      <c r="F189" s="12">
        <v>-0.33178982117548528</v>
      </c>
      <c r="G189" s="12">
        <v>-3.0737629477576408E-2</v>
      </c>
      <c r="H189" s="12">
        <v>1.6519071713848381</v>
      </c>
      <c r="I189" s="12">
        <v>-1.6994962836366536</v>
      </c>
      <c r="J189" s="12">
        <v>4.7957626259876243</v>
      </c>
      <c r="K189" s="12">
        <v>10.91992425256946</v>
      </c>
      <c r="L189" s="12">
        <v>-19.920305407750046</v>
      </c>
      <c r="M189" s="12">
        <v>23.016571750101019</v>
      </c>
    </row>
    <row r="190" spans="2:13" x14ac:dyDescent="0.3">
      <c r="B190" s="3" t="s">
        <v>133</v>
      </c>
      <c r="C190" s="9">
        <v>1</v>
      </c>
      <c r="D190" s="12">
        <v>-4.6774985500000001</v>
      </c>
      <c r="E190" s="12">
        <v>-9.3692890725059605</v>
      </c>
      <c r="F190" s="12">
        <v>4.6917905225059604</v>
      </c>
      <c r="G190" s="12">
        <v>0.43465624760958849</v>
      </c>
      <c r="H190" s="12">
        <v>1.710403903453267</v>
      </c>
      <c r="I190" s="12">
        <v>-12.731922392769221</v>
      </c>
      <c r="J190" s="12">
        <v>-6.0066557522427004</v>
      </c>
      <c r="K190" s="12">
        <v>10.92892629181523</v>
      </c>
      <c r="L190" s="12">
        <v>-30.85542555135854</v>
      </c>
      <c r="M190" s="12">
        <v>12.116847406346618</v>
      </c>
    </row>
    <row r="191" spans="2:13" x14ac:dyDescent="0.3">
      <c r="B191" s="3" t="s">
        <v>134</v>
      </c>
      <c r="C191" s="9">
        <v>1</v>
      </c>
      <c r="D191" s="12">
        <v>7.8459171339999996</v>
      </c>
      <c r="E191" s="12">
        <v>11.054849787699153</v>
      </c>
      <c r="F191" s="12">
        <v>-3.2089326536991534</v>
      </c>
      <c r="G191" s="12">
        <v>-0.29728152171290406</v>
      </c>
      <c r="H191" s="12">
        <v>1.453945788587806</v>
      </c>
      <c r="I191" s="12">
        <v>8.1964100094158816</v>
      </c>
      <c r="J191" s="12">
        <v>13.913289565982424</v>
      </c>
      <c r="K191" s="12">
        <v>10.891735708101544</v>
      </c>
      <c r="L191" s="12">
        <v>-10.35817045484036</v>
      </c>
      <c r="M191" s="12">
        <v>32.467870030238664</v>
      </c>
    </row>
    <row r="192" spans="2:13" x14ac:dyDescent="0.3">
      <c r="B192" s="3" t="s">
        <v>135</v>
      </c>
      <c r="C192" s="9">
        <v>1</v>
      </c>
      <c r="D192" s="12">
        <v>-0.68174233699999998</v>
      </c>
      <c r="E192" s="12">
        <v>7.3288381080200447</v>
      </c>
      <c r="F192" s="12">
        <v>-8.0105804450200448</v>
      </c>
      <c r="G192" s="12">
        <v>-0.74211515213757862</v>
      </c>
      <c r="H192" s="12">
        <v>1.0811347476258273</v>
      </c>
      <c r="I192" s="12">
        <v>5.2033403126039408</v>
      </c>
      <c r="J192" s="12">
        <v>9.4543359034361494</v>
      </c>
      <c r="K192" s="12">
        <v>10.848262566950801</v>
      </c>
      <c r="L192" s="12">
        <v>-13.998714466517278</v>
      </c>
      <c r="M192" s="12">
        <v>28.656390682557365</v>
      </c>
    </row>
    <row r="193" spans="2:13" x14ac:dyDescent="0.3">
      <c r="B193" s="3" t="s">
        <v>136</v>
      </c>
      <c r="C193" s="9">
        <v>1</v>
      </c>
      <c r="D193" s="12">
        <v>85.296061620000003</v>
      </c>
      <c r="E193" s="12">
        <v>46.43691222359562</v>
      </c>
      <c r="F193" s="12">
        <v>38.859149396404383</v>
      </c>
      <c r="G193" s="12">
        <v>3.5999842663308246</v>
      </c>
      <c r="H193" s="12">
        <v>2.3669938784919839</v>
      </c>
      <c r="I193" s="12">
        <v>41.783430979424814</v>
      </c>
      <c r="J193" s="12">
        <v>51.090393467766425</v>
      </c>
      <c r="K193" s="12">
        <v>11.050728862830749</v>
      </c>
      <c r="L193" s="12">
        <v>24.711313368070734</v>
      </c>
      <c r="M193" s="12">
        <v>68.162511079120506</v>
      </c>
    </row>
    <row r="194" spans="2:13" x14ac:dyDescent="0.3">
      <c r="B194" s="3" t="s">
        <v>137</v>
      </c>
      <c r="C194" s="9">
        <v>1</v>
      </c>
      <c r="D194" s="12">
        <v>-1.492583027</v>
      </c>
      <c r="E194" s="12">
        <v>-0.93175263067828507</v>
      </c>
      <c r="F194" s="12">
        <v>-0.56083039632171494</v>
      </c>
      <c r="G194" s="12">
        <v>-5.1956376662868224E-2</v>
      </c>
      <c r="H194" s="12">
        <v>1.7735454737884369</v>
      </c>
      <c r="I194" s="12">
        <v>-4.4185215120649239</v>
      </c>
      <c r="J194" s="12">
        <v>2.5550162507083534</v>
      </c>
      <c r="K194" s="12">
        <v>10.93898587285757</v>
      </c>
      <c r="L194" s="12">
        <v>-22.437666123797825</v>
      </c>
      <c r="M194" s="12">
        <v>20.574160862441254</v>
      </c>
    </row>
    <row r="195" spans="2:13" x14ac:dyDescent="0.3">
      <c r="B195" s="3" t="s">
        <v>138</v>
      </c>
      <c r="C195" s="9">
        <v>1</v>
      </c>
      <c r="D195" s="12">
        <v>19.903498330000001</v>
      </c>
      <c r="E195" s="12">
        <v>10.670109572658559</v>
      </c>
      <c r="F195" s="12">
        <v>9.2333887573414426</v>
      </c>
      <c r="G195" s="12">
        <v>0.855398400831203</v>
      </c>
      <c r="H195" s="12">
        <v>1.6277088618848463</v>
      </c>
      <c r="I195" s="12">
        <v>7.4700537007027448</v>
      </c>
      <c r="J195" s="12">
        <v>13.870165444614372</v>
      </c>
      <c r="K195" s="12">
        <v>10.916289869641631</v>
      </c>
      <c r="L195" s="12">
        <v>-10.791183853530219</v>
      </c>
      <c r="M195" s="12">
        <v>32.131402998847335</v>
      </c>
    </row>
    <row r="196" spans="2:13" x14ac:dyDescent="0.3">
      <c r="B196" s="3" t="s">
        <v>139</v>
      </c>
      <c r="C196" s="9">
        <v>1</v>
      </c>
      <c r="D196" s="12">
        <v>4.7444077570000003</v>
      </c>
      <c r="E196" s="12">
        <v>15.733569209230673</v>
      </c>
      <c r="F196" s="12">
        <v>-10.989161452230672</v>
      </c>
      <c r="G196" s="12">
        <v>-1.0180564665643492</v>
      </c>
      <c r="H196" s="12">
        <v>1.1214936037582759</v>
      </c>
      <c r="I196" s="12">
        <v>13.528726392369819</v>
      </c>
      <c r="J196" s="12">
        <v>17.938412026091527</v>
      </c>
      <c r="K196" s="12">
        <v>10.85235901922954</v>
      </c>
      <c r="L196" s="12">
        <v>-5.6020369407805717</v>
      </c>
      <c r="M196" s="12">
        <v>37.069175359241918</v>
      </c>
    </row>
    <row r="197" spans="2:13" x14ac:dyDescent="0.3">
      <c r="B197" s="3" t="s">
        <v>140</v>
      </c>
      <c r="C197" s="9">
        <v>1</v>
      </c>
      <c r="D197" s="12">
        <v>1.319095804</v>
      </c>
      <c r="E197" s="12">
        <v>6.4147123948658615</v>
      </c>
      <c r="F197" s="12">
        <v>-5.0956165908658617</v>
      </c>
      <c r="G197" s="12">
        <v>-0.47206744973344139</v>
      </c>
      <c r="H197" s="12">
        <v>1.5864923605164654</v>
      </c>
      <c r="I197" s="12">
        <v>3.2956876644820303</v>
      </c>
      <c r="J197" s="12">
        <v>9.5337371252496936</v>
      </c>
      <c r="K197" s="12">
        <v>10.910220272247447</v>
      </c>
      <c r="L197" s="12">
        <v>-15.034648276494035</v>
      </c>
      <c r="M197" s="12">
        <v>27.86407306622576</v>
      </c>
    </row>
    <row r="198" spans="2:13" x14ac:dyDescent="0.3">
      <c r="B198" s="3" t="s">
        <v>141</v>
      </c>
      <c r="C198" s="9">
        <v>1</v>
      </c>
      <c r="D198" s="12">
        <v>3.1214443599999999</v>
      </c>
      <c r="E198" s="12">
        <v>7.8594876289030493</v>
      </c>
      <c r="F198" s="12">
        <v>-4.7380432689030494</v>
      </c>
      <c r="G198" s="12">
        <v>-0.43894118852802039</v>
      </c>
      <c r="H198" s="12">
        <v>1.2609424511341514</v>
      </c>
      <c r="I198" s="12">
        <v>5.3804900701641554</v>
      </c>
      <c r="J198" s="12">
        <v>10.338485187641943</v>
      </c>
      <c r="K198" s="12">
        <v>10.867654956063623</v>
      </c>
      <c r="L198" s="12">
        <v>-13.506190147324133</v>
      </c>
      <c r="M198" s="12">
        <v>29.225165405130234</v>
      </c>
    </row>
    <row r="199" spans="2:13" x14ac:dyDescent="0.3">
      <c r="B199" s="3" t="s">
        <v>142</v>
      </c>
      <c r="C199" s="9">
        <v>1</v>
      </c>
      <c r="D199" s="12">
        <v>5.2443873559999998</v>
      </c>
      <c r="E199" s="12">
        <v>18.986699742031867</v>
      </c>
      <c r="F199" s="12">
        <v>-13.742312386031866</v>
      </c>
      <c r="G199" s="12">
        <v>-1.2731135174383297</v>
      </c>
      <c r="H199" s="12">
        <v>1.3130746172622321</v>
      </c>
      <c r="I199" s="12">
        <v>16.405210977253361</v>
      </c>
      <c r="J199" s="12">
        <v>21.568188506810372</v>
      </c>
      <c r="K199" s="12">
        <v>10.873826986368709</v>
      </c>
      <c r="L199" s="12">
        <v>-2.3911121708841137</v>
      </c>
      <c r="M199" s="12">
        <v>40.364511654947847</v>
      </c>
    </row>
    <row r="200" spans="2:13" x14ac:dyDescent="0.3">
      <c r="B200" s="3" t="s">
        <v>143</v>
      </c>
      <c r="C200" s="9">
        <v>1</v>
      </c>
      <c r="D200" s="12">
        <v>12.265092770000001</v>
      </c>
      <c r="E200" s="12">
        <v>23.377512929478481</v>
      </c>
      <c r="F200" s="12">
        <v>-11.11242015947848</v>
      </c>
      <c r="G200" s="12">
        <v>-1.0294753836964223</v>
      </c>
      <c r="H200" s="12">
        <v>1.4459580083758288</v>
      </c>
      <c r="I200" s="12">
        <v>20.534777030168769</v>
      </c>
      <c r="J200" s="12">
        <v>26.220248828788193</v>
      </c>
      <c r="K200" s="12">
        <v>10.8906722905874</v>
      </c>
      <c r="L200" s="12">
        <v>1.9665833528683407</v>
      </c>
      <c r="M200" s="12">
        <v>44.788442506088622</v>
      </c>
    </row>
    <row r="201" spans="2:13" x14ac:dyDescent="0.3">
      <c r="B201" s="3" t="s">
        <v>144</v>
      </c>
      <c r="C201" s="9">
        <v>1</v>
      </c>
      <c r="D201" s="12">
        <v>-0.31983344000000002</v>
      </c>
      <c r="E201" s="12">
        <v>-15.142961691293657</v>
      </c>
      <c r="F201" s="12">
        <v>14.823128251293657</v>
      </c>
      <c r="G201" s="12">
        <v>1.3732423203117967</v>
      </c>
      <c r="H201" s="12">
        <v>1.8948883038673558</v>
      </c>
      <c r="I201" s="12">
        <v>-18.868289104249715</v>
      </c>
      <c r="J201" s="12">
        <v>-11.417634278337598</v>
      </c>
      <c r="K201" s="12">
        <v>10.959313393781352</v>
      </c>
      <c r="L201" s="12">
        <v>-36.688838843896576</v>
      </c>
      <c r="M201" s="12">
        <v>6.4029154613092665</v>
      </c>
    </row>
    <row r="202" spans="2:13" x14ac:dyDescent="0.3">
      <c r="B202" s="3" t="s">
        <v>145</v>
      </c>
      <c r="C202" s="9">
        <v>1</v>
      </c>
      <c r="D202" s="12">
        <v>5.6004287430000002</v>
      </c>
      <c r="E202" s="12">
        <v>15.612385911423386</v>
      </c>
      <c r="F202" s="12">
        <v>-10.011957168423386</v>
      </c>
      <c r="G202" s="12">
        <v>-0.92752643434952109</v>
      </c>
      <c r="H202" s="12">
        <v>1.4100334629864457</v>
      </c>
      <c r="I202" s="12">
        <v>12.840277232443185</v>
      </c>
      <c r="J202" s="12">
        <v>18.384494590403587</v>
      </c>
      <c r="K202" s="12">
        <v>10.885960809488687</v>
      </c>
      <c r="L202" s="12">
        <v>-5.7892809505154776</v>
      </c>
      <c r="M202" s="12">
        <v>37.014052773362252</v>
      </c>
    </row>
    <row r="203" spans="2:13" x14ac:dyDescent="0.3">
      <c r="B203" s="3" t="s">
        <v>146</v>
      </c>
      <c r="C203" s="9">
        <v>1</v>
      </c>
      <c r="D203" s="12">
        <v>19.768927510000001</v>
      </c>
      <c r="E203" s="12">
        <v>11.105324206511195</v>
      </c>
      <c r="F203" s="12">
        <v>8.6636033034888058</v>
      </c>
      <c r="G203" s="12">
        <v>0.80261241089279589</v>
      </c>
      <c r="H203" s="12">
        <v>1.5490429441543307</v>
      </c>
      <c r="I203" s="12">
        <v>8.0599245742866223</v>
      </c>
      <c r="J203" s="12">
        <v>14.150723838735768</v>
      </c>
      <c r="K203" s="12">
        <v>10.904837569712644</v>
      </c>
      <c r="L203" s="12">
        <v>-10.333454136978631</v>
      </c>
      <c r="M203" s="12">
        <v>32.544102550001021</v>
      </c>
    </row>
    <row r="204" spans="2:13" x14ac:dyDescent="0.3">
      <c r="B204" s="3" t="s">
        <v>147</v>
      </c>
      <c r="C204" s="9">
        <v>1</v>
      </c>
      <c r="D204" s="12">
        <v>-0.129137113</v>
      </c>
      <c r="E204" s="12">
        <v>3.580574645216962</v>
      </c>
      <c r="F204" s="12">
        <v>-3.7097117582169621</v>
      </c>
      <c r="G204" s="12">
        <v>-0.3436746344077013</v>
      </c>
      <c r="H204" s="12">
        <v>1.4994547534527902</v>
      </c>
      <c r="I204" s="12">
        <v>0.63266479421184929</v>
      </c>
      <c r="J204" s="12">
        <v>6.5284844962220747</v>
      </c>
      <c r="K204" s="12">
        <v>10.89790406163654</v>
      </c>
      <c r="L204" s="12">
        <v>-17.844572505525964</v>
      </c>
      <c r="M204" s="12">
        <v>25.005721795959889</v>
      </c>
    </row>
    <row r="205" spans="2:13" x14ac:dyDescent="0.3">
      <c r="B205" s="3" t="s">
        <v>148</v>
      </c>
      <c r="C205" s="9">
        <v>1</v>
      </c>
      <c r="D205" s="12">
        <v>-2.5669048970000001</v>
      </c>
      <c r="E205" s="12">
        <v>-11.675308242400867</v>
      </c>
      <c r="F205" s="12">
        <v>9.1084033454008662</v>
      </c>
      <c r="G205" s="12">
        <v>0.84381951854747017</v>
      </c>
      <c r="H205" s="12">
        <v>1.4360264594152654</v>
      </c>
      <c r="I205" s="12">
        <v>-14.498518836962857</v>
      </c>
      <c r="J205" s="12">
        <v>-8.8520976478388764</v>
      </c>
      <c r="K205" s="12">
        <v>10.889358124844769</v>
      </c>
      <c r="L205" s="12">
        <v>-33.083654185106994</v>
      </c>
      <c r="M205" s="12">
        <v>9.7330377003052604</v>
      </c>
    </row>
    <row r="206" spans="2:13" x14ac:dyDescent="0.3">
      <c r="B206" s="3" t="s">
        <v>149</v>
      </c>
      <c r="C206" s="9">
        <v>1</v>
      </c>
      <c r="D206" s="12">
        <v>2.353160774</v>
      </c>
      <c r="E206" s="12">
        <v>10.615215954054232</v>
      </c>
      <c r="F206" s="12">
        <v>-8.262055180054233</v>
      </c>
      <c r="G206" s="12">
        <v>-0.7654122418465612</v>
      </c>
      <c r="H206" s="12">
        <v>1.4673827002029252</v>
      </c>
      <c r="I206" s="12">
        <v>7.7303593705782188</v>
      </c>
      <c r="J206" s="12">
        <v>13.500072537530245</v>
      </c>
      <c r="K206" s="12">
        <v>10.893537550669061</v>
      </c>
      <c r="L206" s="12">
        <v>-10.801346689109582</v>
      </c>
      <c r="M206" s="12">
        <v>32.03177859721805</v>
      </c>
    </row>
    <row r="207" spans="2:13" x14ac:dyDescent="0.3">
      <c r="B207" s="3" t="s">
        <v>150</v>
      </c>
      <c r="C207" s="9">
        <v>1</v>
      </c>
      <c r="D207" s="12">
        <v>1.445601218</v>
      </c>
      <c r="E207" s="12">
        <v>-0.63577219612690428</v>
      </c>
      <c r="F207" s="12">
        <v>2.0813734141269045</v>
      </c>
      <c r="G207" s="12">
        <v>0.19282232523364093</v>
      </c>
      <c r="H207" s="12">
        <v>1.976729315480092</v>
      </c>
      <c r="I207" s="12">
        <v>-4.5219980448602755</v>
      </c>
      <c r="J207" s="12">
        <v>3.2504536526064665</v>
      </c>
      <c r="K207" s="12">
        <v>10.973759937489994</v>
      </c>
      <c r="L207" s="12">
        <v>-22.210051078367631</v>
      </c>
      <c r="M207" s="12">
        <v>20.938506686113822</v>
      </c>
    </row>
    <row r="208" spans="2:13" x14ac:dyDescent="0.3">
      <c r="B208" s="3" t="s">
        <v>151</v>
      </c>
      <c r="C208" s="9">
        <v>1</v>
      </c>
      <c r="D208" s="12">
        <v>-2.4485007009999999</v>
      </c>
      <c r="E208" s="12">
        <v>-0.80917240664346579</v>
      </c>
      <c r="F208" s="12">
        <v>-1.6393282943565342</v>
      </c>
      <c r="G208" s="12">
        <v>-0.15187043871785152</v>
      </c>
      <c r="H208" s="12">
        <v>1.3906861660895871</v>
      </c>
      <c r="I208" s="12">
        <v>-3.5432445346832409</v>
      </c>
      <c r="J208" s="12">
        <v>1.9248997213963093</v>
      </c>
      <c r="K208" s="12">
        <v>10.883471706745738</v>
      </c>
      <c r="L208" s="12">
        <v>-22.205945722792297</v>
      </c>
      <c r="M208" s="12">
        <v>20.587600909505365</v>
      </c>
    </row>
    <row r="209" spans="2:13" x14ac:dyDescent="0.3">
      <c r="B209" s="3" t="s">
        <v>152</v>
      </c>
      <c r="C209" s="9">
        <v>1</v>
      </c>
      <c r="D209" s="12">
        <v>-3.1525054809999999</v>
      </c>
      <c r="E209" s="12">
        <v>0.44065070249193505</v>
      </c>
      <c r="F209" s="12">
        <v>-3.593156183491935</v>
      </c>
      <c r="G209" s="12">
        <v>-0.33287670800733421</v>
      </c>
      <c r="H209" s="12">
        <v>1.9339336499742485</v>
      </c>
      <c r="I209" s="12">
        <v>-3.3614393871366728</v>
      </c>
      <c r="J209" s="12">
        <v>4.2427407921205429</v>
      </c>
      <c r="K209" s="12">
        <v>10.966131849539506</v>
      </c>
      <c r="L209" s="12">
        <v>-21.118631451396837</v>
      </c>
      <c r="M209" s="12">
        <v>21.99993285638071</v>
      </c>
    </row>
    <row r="210" spans="2:13" x14ac:dyDescent="0.3">
      <c r="B210" s="3" t="s">
        <v>153</v>
      </c>
      <c r="C210" s="9">
        <v>1</v>
      </c>
      <c r="D210" s="12">
        <v>0.70165761500000001</v>
      </c>
      <c r="E210" s="12">
        <v>-0.64691257061972252</v>
      </c>
      <c r="F210" s="12">
        <v>1.3485701856197225</v>
      </c>
      <c r="G210" s="12">
        <v>0.12493406380951445</v>
      </c>
      <c r="H210" s="12">
        <v>1.3682658499721614</v>
      </c>
      <c r="I210" s="12">
        <v>-3.3369066292192455</v>
      </c>
      <c r="J210" s="12">
        <v>2.0430814879798005</v>
      </c>
      <c r="K210" s="12">
        <v>10.880629568879829</v>
      </c>
      <c r="L210" s="12">
        <v>-22.038098278210491</v>
      </c>
      <c r="M210" s="12">
        <v>20.744273136971046</v>
      </c>
    </row>
    <row r="211" spans="2:13" x14ac:dyDescent="0.3">
      <c r="B211" s="3" t="s">
        <v>154</v>
      </c>
      <c r="C211" s="9">
        <v>1</v>
      </c>
      <c r="D211" s="12">
        <v>-0.33959328500000002</v>
      </c>
      <c r="E211" s="12">
        <v>5.615395132491841</v>
      </c>
      <c r="F211" s="12">
        <v>-5.9549884174918413</v>
      </c>
      <c r="G211" s="12">
        <v>-0.55168126276939444</v>
      </c>
      <c r="H211" s="12">
        <v>1.3119519911428694</v>
      </c>
      <c r="I211" s="12">
        <v>3.0361134370421325</v>
      </c>
      <c r="J211" s="12">
        <v>8.1946768279415494</v>
      </c>
      <c r="K211" s="12">
        <v>10.873691480175708</v>
      </c>
      <c r="L211" s="12">
        <v>-15.762150376892926</v>
      </c>
      <c r="M211" s="12">
        <v>26.992940641876608</v>
      </c>
    </row>
    <row r="212" spans="2:13" x14ac:dyDescent="0.3">
      <c r="B212" s="3" t="s">
        <v>155</v>
      </c>
      <c r="C212" s="9">
        <v>1</v>
      </c>
      <c r="D212" s="12">
        <v>12.232525040000001</v>
      </c>
      <c r="E212" s="12">
        <v>23.6138401100512</v>
      </c>
      <c r="F212" s="12">
        <v>-11.381315070051199</v>
      </c>
      <c r="G212" s="12">
        <v>-1.0543863110428606</v>
      </c>
      <c r="H212" s="12">
        <v>1.3450210871724311</v>
      </c>
      <c r="I212" s="12">
        <v>20.96954497306556</v>
      </c>
      <c r="J212" s="12">
        <v>26.25813524703684</v>
      </c>
      <c r="K212" s="12">
        <v>10.877730926251143</v>
      </c>
      <c r="L212" s="12">
        <v>2.2283530986964948</v>
      </c>
      <c r="M212" s="12">
        <v>44.999327121405905</v>
      </c>
    </row>
    <row r="213" spans="2:13" x14ac:dyDescent="0.3">
      <c r="B213" s="3" t="s">
        <v>156</v>
      </c>
      <c r="C213" s="9">
        <v>1</v>
      </c>
      <c r="D213" s="12">
        <v>21.59747144</v>
      </c>
      <c r="E213" s="12">
        <v>37.882052858629592</v>
      </c>
      <c r="F213" s="12">
        <v>-16.284581418629593</v>
      </c>
      <c r="G213" s="12">
        <v>-1.508634074637627</v>
      </c>
      <c r="H213" s="12">
        <v>1.8106792379662104</v>
      </c>
      <c r="I213" s="12">
        <v>34.322279447448047</v>
      </c>
      <c r="J213" s="12">
        <v>41.441826269811138</v>
      </c>
      <c r="K213" s="12">
        <v>10.945067733083425</v>
      </c>
      <c r="L213" s="12">
        <v>16.364182502102903</v>
      </c>
      <c r="M213" s="12">
        <v>59.399923215156278</v>
      </c>
    </row>
    <row r="214" spans="2:13" x14ac:dyDescent="0.3">
      <c r="B214" s="3" t="s">
        <v>157</v>
      </c>
      <c r="C214" s="9">
        <v>1</v>
      </c>
      <c r="D214" s="12">
        <v>0.113305343</v>
      </c>
      <c r="E214" s="12">
        <v>-3.7661104824539988</v>
      </c>
      <c r="F214" s="12">
        <v>3.8794158254539988</v>
      </c>
      <c r="G214" s="12">
        <v>0.35939633654156761</v>
      </c>
      <c r="H214" s="12">
        <v>1.3435790228064879</v>
      </c>
      <c r="I214" s="12">
        <v>-6.4075705383941077</v>
      </c>
      <c r="J214" s="12">
        <v>-1.1246504265138904</v>
      </c>
      <c r="K214" s="12">
        <v>10.877552710490889</v>
      </c>
      <c r="L214" s="12">
        <v>-25.151247123786501</v>
      </c>
      <c r="M214" s="12">
        <v>17.619026158878501</v>
      </c>
    </row>
    <row r="215" spans="2:13" x14ac:dyDescent="0.3">
      <c r="B215" s="3" t="s">
        <v>158</v>
      </c>
      <c r="C215" s="9">
        <v>1</v>
      </c>
      <c r="D215" s="12">
        <v>-3.9018326999999998E-2</v>
      </c>
      <c r="E215" s="12">
        <v>2.1333469817905417</v>
      </c>
      <c r="F215" s="12">
        <v>-2.1723653087905417</v>
      </c>
      <c r="G215" s="12">
        <v>-0.20125198450927692</v>
      </c>
      <c r="H215" s="12">
        <v>1.2126982050318464</v>
      </c>
      <c r="I215" s="12">
        <v>-0.25080297450365707</v>
      </c>
      <c r="J215" s="12">
        <v>4.5174969380847401</v>
      </c>
      <c r="K215" s="12">
        <v>10.862163012746104</v>
      </c>
      <c r="L215" s="12">
        <v>-19.22153370051327</v>
      </c>
      <c r="M215" s="12">
        <v>23.488227664094353</v>
      </c>
    </row>
    <row r="216" spans="2:13" x14ac:dyDescent="0.3">
      <c r="B216" s="3" t="s">
        <v>159</v>
      </c>
      <c r="C216" s="9">
        <v>1</v>
      </c>
      <c r="D216" s="12">
        <v>-1.145252173</v>
      </c>
      <c r="E216" s="12">
        <v>4.1094611445982299</v>
      </c>
      <c r="F216" s="12">
        <v>-5.2547133175982301</v>
      </c>
      <c r="G216" s="12">
        <v>-0.48680646800732719</v>
      </c>
      <c r="H216" s="12">
        <v>1.3877195665256519</v>
      </c>
      <c r="I216" s="12">
        <v>1.3812213153046322</v>
      </c>
      <c r="J216" s="12">
        <v>6.8377009738918275</v>
      </c>
      <c r="K216" s="12">
        <v>10.883093033430347</v>
      </c>
      <c r="L216" s="12">
        <v>-17.286567704407339</v>
      </c>
      <c r="M216" s="12">
        <v>25.505489993603803</v>
      </c>
    </row>
    <row r="217" spans="2:13" x14ac:dyDescent="0.3">
      <c r="B217" s="3" t="s">
        <v>160</v>
      </c>
      <c r="C217" s="9">
        <v>1</v>
      </c>
      <c r="D217" s="12">
        <v>19.897201819999999</v>
      </c>
      <c r="E217" s="12">
        <v>11.019276173857758</v>
      </c>
      <c r="F217" s="12">
        <v>8.8779256461422413</v>
      </c>
      <c r="G217" s="12">
        <v>0.82246763349699736</v>
      </c>
      <c r="H217" s="12">
        <v>1.6528567932930884</v>
      </c>
      <c r="I217" s="12">
        <v>7.769779773896647</v>
      </c>
      <c r="J217" s="12">
        <v>14.268772573818868</v>
      </c>
      <c r="K217" s="12">
        <v>10.920067946588846</v>
      </c>
      <c r="L217" s="12">
        <v>-10.449444905766313</v>
      </c>
      <c r="M217" s="12">
        <v>32.487997253481829</v>
      </c>
    </row>
    <row r="218" spans="2:13" x14ac:dyDescent="0.3">
      <c r="B218" s="3" t="s">
        <v>161</v>
      </c>
      <c r="C218" s="9">
        <v>1</v>
      </c>
      <c r="D218" s="12">
        <v>85.296061620000003</v>
      </c>
      <c r="E218" s="12">
        <v>46.228163904292629</v>
      </c>
      <c r="F218" s="12">
        <v>39.067897715707375</v>
      </c>
      <c r="G218" s="12">
        <v>3.6193231009884688</v>
      </c>
      <c r="H218" s="12">
        <v>2.4051505824430759</v>
      </c>
      <c r="I218" s="12">
        <v>41.499667043144854</v>
      </c>
      <c r="J218" s="12">
        <v>50.956660765440404</v>
      </c>
      <c r="K218" s="12">
        <v>11.058964585493902</v>
      </c>
      <c r="L218" s="12">
        <v>24.486373717943685</v>
      </c>
      <c r="M218" s="12">
        <v>67.969954090641579</v>
      </c>
    </row>
    <row r="219" spans="2:13" x14ac:dyDescent="0.3">
      <c r="B219" s="3" t="s">
        <v>162</v>
      </c>
      <c r="C219" s="9">
        <v>1</v>
      </c>
      <c r="D219" s="12">
        <v>18.760384179999999</v>
      </c>
      <c r="E219" s="12">
        <v>14.525113449025321</v>
      </c>
      <c r="F219" s="12">
        <v>4.235270730974678</v>
      </c>
      <c r="G219" s="12">
        <v>0.39236340043436668</v>
      </c>
      <c r="H219" s="12">
        <v>1.4015057961984787</v>
      </c>
      <c r="I219" s="12">
        <v>11.769770059476128</v>
      </c>
      <c r="J219" s="12">
        <v>17.280456838574512</v>
      </c>
      <c r="K219" s="12">
        <v>10.884859524851938</v>
      </c>
      <c r="L219" s="12">
        <v>-6.8743883006806126</v>
      </c>
      <c r="M219" s="12">
        <v>35.924615198731253</v>
      </c>
    </row>
    <row r="220" spans="2:13" x14ac:dyDescent="0.3">
      <c r="B220" s="3" t="s">
        <v>163</v>
      </c>
      <c r="C220" s="9">
        <v>1</v>
      </c>
      <c r="D220" s="12">
        <v>4.6108279230000004</v>
      </c>
      <c r="E220" s="12">
        <v>9.6828923232896695</v>
      </c>
      <c r="F220" s="12">
        <v>-5.0720644002896691</v>
      </c>
      <c r="G220" s="12">
        <v>-0.46988553075608563</v>
      </c>
      <c r="H220" s="12">
        <v>1.4762651564353841</v>
      </c>
      <c r="I220" s="12">
        <v>6.780572938639768</v>
      </c>
      <c r="J220" s="12">
        <v>12.585211707939571</v>
      </c>
      <c r="K220" s="12">
        <v>10.894737591658059</v>
      </c>
      <c r="L220" s="12">
        <v>-11.736029585897297</v>
      </c>
      <c r="M220" s="12">
        <v>31.101814232476634</v>
      </c>
    </row>
    <row r="221" spans="2:13" x14ac:dyDescent="0.3">
      <c r="B221" s="3" t="s">
        <v>164</v>
      </c>
      <c r="C221" s="9">
        <v>1</v>
      </c>
      <c r="D221" s="12">
        <v>-1.2937324640000001</v>
      </c>
      <c r="E221" s="12">
        <v>1.8020612123394599</v>
      </c>
      <c r="F221" s="12">
        <v>-3.09579367633946</v>
      </c>
      <c r="G221" s="12">
        <v>-0.28680011528146676</v>
      </c>
      <c r="H221" s="12">
        <v>1.5575469063639222</v>
      </c>
      <c r="I221" s="12">
        <v>-1.2600571064026642</v>
      </c>
      <c r="J221" s="12">
        <v>4.8641795310815841</v>
      </c>
      <c r="K221" s="12">
        <v>10.906048814511415</v>
      </c>
      <c r="L221" s="12">
        <v>-19.639098423727589</v>
      </c>
      <c r="M221" s="12">
        <v>23.243220848406509</v>
      </c>
    </row>
    <row r="222" spans="2:13" x14ac:dyDescent="0.3">
      <c r="B222" s="3" t="s">
        <v>165</v>
      </c>
      <c r="C222" s="9">
        <v>1</v>
      </c>
      <c r="D222" s="12">
        <v>-1.537356513</v>
      </c>
      <c r="E222" s="12">
        <v>2.8107011800781816</v>
      </c>
      <c r="F222" s="12">
        <v>-4.3480576930781814</v>
      </c>
      <c r="G222" s="12">
        <v>-0.40281219551420527</v>
      </c>
      <c r="H222" s="12">
        <v>1.2711039102134738</v>
      </c>
      <c r="I222" s="12">
        <v>0.31172631608779966</v>
      </c>
      <c r="J222" s="12">
        <v>5.3096760440685635</v>
      </c>
      <c r="K222" s="12">
        <v>10.868838646770961</v>
      </c>
      <c r="L222" s="12">
        <v>-18.557303717716806</v>
      </c>
      <c r="M222" s="12">
        <v>24.178706077873166</v>
      </c>
    </row>
    <row r="223" spans="2:13" x14ac:dyDescent="0.3">
      <c r="B223" s="3" t="s">
        <v>166</v>
      </c>
      <c r="C223" s="9">
        <v>1</v>
      </c>
      <c r="D223" s="12">
        <v>0.282318546</v>
      </c>
      <c r="E223" s="12">
        <v>0.12949472956196129</v>
      </c>
      <c r="F223" s="12">
        <v>0.15282381643803872</v>
      </c>
      <c r="G223" s="12">
        <v>1.4157884133935154E-2</v>
      </c>
      <c r="H223" s="12">
        <v>1.6248927383473535</v>
      </c>
      <c r="I223" s="12">
        <v>-3.0650246776897956</v>
      </c>
      <c r="J223" s="12">
        <v>3.3240141368137182</v>
      </c>
      <c r="K223" s="12">
        <v>10.915870317575049</v>
      </c>
      <c r="L223" s="12">
        <v>-21.330973862354732</v>
      </c>
      <c r="M223" s="12">
        <v>21.589963321478656</v>
      </c>
    </row>
    <row r="224" spans="2:13" x14ac:dyDescent="0.3">
      <c r="B224" s="3" t="s">
        <v>167</v>
      </c>
      <c r="C224" s="9">
        <v>1</v>
      </c>
      <c r="D224" s="12">
        <v>-2.4797646379999998</v>
      </c>
      <c r="E224" s="12">
        <v>-15.443846676502801</v>
      </c>
      <c r="F224" s="12">
        <v>12.964082038502802</v>
      </c>
      <c r="G224" s="12">
        <v>1.2010168027597261</v>
      </c>
      <c r="H224" s="12">
        <v>1.5268349922028566</v>
      </c>
      <c r="I224" s="12">
        <v>-18.445585744660569</v>
      </c>
      <c r="J224" s="12">
        <v>-12.442107608345033</v>
      </c>
      <c r="K224" s="12">
        <v>10.901705071794831</v>
      </c>
      <c r="L224" s="12">
        <v>-36.876466567095726</v>
      </c>
      <c r="M224" s="12">
        <v>5.9887732140901235</v>
      </c>
    </row>
    <row r="225" spans="2:13" x14ac:dyDescent="0.3">
      <c r="B225" s="3" t="s">
        <v>168</v>
      </c>
      <c r="C225" s="9">
        <v>1</v>
      </c>
      <c r="D225" s="12">
        <v>1.4548107210000001</v>
      </c>
      <c r="E225" s="12">
        <v>1.2464518332233094</v>
      </c>
      <c r="F225" s="12">
        <v>0.20835888777669065</v>
      </c>
      <c r="G225" s="12">
        <v>1.930275699281471E-2</v>
      </c>
      <c r="H225" s="12">
        <v>1.6039066542355158</v>
      </c>
      <c r="I225" s="12">
        <v>-1.9068091873083071</v>
      </c>
      <c r="J225" s="12">
        <v>4.3997128537549255</v>
      </c>
      <c r="K225" s="12">
        <v>10.91276614495532</v>
      </c>
      <c r="L225" s="12">
        <v>-20.207913992988821</v>
      </c>
      <c r="M225" s="12">
        <v>22.700817659435437</v>
      </c>
    </row>
    <row r="226" spans="2:13" x14ac:dyDescent="0.3">
      <c r="B226" s="3" t="s">
        <v>169</v>
      </c>
      <c r="C226" s="9">
        <v>1</v>
      </c>
      <c r="D226" s="12">
        <v>9.875438484</v>
      </c>
      <c r="E226" s="12">
        <v>19.034386687985663</v>
      </c>
      <c r="F226" s="12">
        <v>-9.1589482039856627</v>
      </c>
      <c r="G226" s="12">
        <v>-0.84850208876518118</v>
      </c>
      <c r="H226" s="12">
        <v>1.5308400376897804</v>
      </c>
      <c r="I226" s="12">
        <v>16.024773748997553</v>
      </c>
      <c r="J226" s="12">
        <v>22.043999626973772</v>
      </c>
      <c r="K226" s="12">
        <v>10.902266718438698</v>
      </c>
      <c r="L226" s="12">
        <v>-2.3993373930941218</v>
      </c>
      <c r="M226" s="12">
        <v>40.468110769065447</v>
      </c>
    </row>
    <row r="227" spans="2:13" x14ac:dyDescent="0.3">
      <c r="B227" s="3" t="s">
        <v>170</v>
      </c>
      <c r="C227" s="9">
        <v>1</v>
      </c>
      <c r="D227" s="12">
        <v>1.1942168070000001</v>
      </c>
      <c r="E227" s="12">
        <v>1.4227100039715737</v>
      </c>
      <c r="F227" s="12">
        <v>-0.22849319697157355</v>
      </c>
      <c r="G227" s="12">
        <v>-2.1168037047599578E-2</v>
      </c>
      <c r="H227" s="12">
        <v>1.5138843308514349</v>
      </c>
      <c r="I227" s="12">
        <v>-1.5535682211117536</v>
      </c>
      <c r="J227" s="12">
        <v>4.3989882290549005</v>
      </c>
      <c r="K227" s="12">
        <v>10.899898813575268</v>
      </c>
      <c r="L227" s="12">
        <v>-20.006358804878708</v>
      </c>
      <c r="M227" s="12">
        <v>22.851778812821856</v>
      </c>
    </row>
    <row r="228" spans="2:13" x14ac:dyDescent="0.3">
      <c r="B228" s="3" t="s">
        <v>171</v>
      </c>
      <c r="C228" s="9">
        <v>1</v>
      </c>
      <c r="D228" s="12">
        <v>-2.5054085650000002</v>
      </c>
      <c r="E228" s="12">
        <v>0.10781063237947208</v>
      </c>
      <c r="F228" s="12">
        <v>-2.6132191973794723</v>
      </c>
      <c r="G228" s="12">
        <v>-0.24209351314082653</v>
      </c>
      <c r="H228" s="12">
        <v>1.5132491800383785</v>
      </c>
      <c r="I228" s="12">
        <v>-2.8672188939122636</v>
      </c>
      <c r="J228" s="12">
        <v>3.0828401586712078</v>
      </c>
      <c r="K228" s="12">
        <v>10.899810615779931</v>
      </c>
      <c r="L228" s="12">
        <v>-21.32108478067536</v>
      </c>
      <c r="M228" s="12">
        <v>21.536706045434304</v>
      </c>
    </row>
    <row r="229" spans="2:13" x14ac:dyDescent="0.3">
      <c r="B229" s="3" t="s">
        <v>172</v>
      </c>
      <c r="C229" s="9">
        <v>1</v>
      </c>
      <c r="D229" s="12">
        <v>0.14643716600000001</v>
      </c>
      <c r="E229" s="12">
        <v>3.1311232315317219</v>
      </c>
      <c r="F229" s="12">
        <v>-2.9846860655317218</v>
      </c>
      <c r="G229" s="12">
        <v>-0.27650689844603915</v>
      </c>
      <c r="H229" s="12">
        <v>1.1213752663367889</v>
      </c>
      <c r="I229" s="12">
        <v>0.92651306460561367</v>
      </c>
      <c r="J229" s="12">
        <v>5.3357333984578297</v>
      </c>
      <c r="K229" s="12">
        <v>10.852346790760693</v>
      </c>
      <c r="L229" s="12">
        <v>-18.204458877458151</v>
      </c>
      <c r="M229" s="12">
        <v>24.466705340521592</v>
      </c>
    </row>
    <row r="230" spans="2:13" x14ac:dyDescent="0.3">
      <c r="B230" s="3" t="s">
        <v>173</v>
      </c>
      <c r="C230" s="9">
        <v>1</v>
      </c>
      <c r="D230" s="12">
        <v>-2.2131582330000001</v>
      </c>
      <c r="E230" s="12">
        <v>-5.0293733254162092</v>
      </c>
      <c r="F230" s="12">
        <v>2.816215092416209</v>
      </c>
      <c r="G230" s="12">
        <v>0.26089943245746539</v>
      </c>
      <c r="H230" s="12">
        <v>1.6036680597130466</v>
      </c>
      <c r="I230" s="12">
        <v>-8.1821652720117406</v>
      </c>
      <c r="J230" s="12">
        <v>-1.8765813788206773</v>
      </c>
      <c r="K230" s="12">
        <v>10.912731080015023</v>
      </c>
      <c r="L230" s="12">
        <v>-26.483670214381192</v>
      </c>
      <c r="M230" s="12">
        <v>16.424923563548774</v>
      </c>
    </row>
    <row r="231" spans="2:13" x14ac:dyDescent="0.3">
      <c r="B231" s="3" t="s">
        <v>174</v>
      </c>
      <c r="C231" s="9">
        <v>1</v>
      </c>
      <c r="D231" s="12">
        <v>0.44417068399999998</v>
      </c>
      <c r="E231" s="12">
        <v>6.2008183339913598</v>
      </c>
      <c r="F231" s="12">
        <v>-5.7566476499913595</v>
      </c>
      <c r="G231" s="12">
        <v>-0.53330660317275946</v>
      </c>
      <c r="H231" s="12">
        <v>1.224865178548469</v>
      </c>
      <c r="I231" s="12">
        <v>3.7927482553967189</v>
      </c>
      <c r="J231" s="12">
        <v>8.6088884125860012</v>
      </c>
      <c r="K231" s="12">
        <v>10.863528114042998</v>
      </c>
      <c r="L231" s="12">
        <v>-15.156746120898099</v>
      </c>
      <c r="M231" s="12">
        <v>27.55838278888082</v>
      </c>
    </row>
    <row r="232" spans="2:13" x14ac:dyDescent="0.3">
      <c r="B232" s="3" t="s">
        <v>175</v>
      </c>
      <c r="C232" s="9">
        <v>1</v>
      </c>
      <c r="D232" s="12">
        <v>3.3712495210000002</v>
      </c>
      <c r="E232" s="12">
        <v>9.0764102886016147</v>
      </c>
      <c r="F232" s="12">
        <v>-5.7051607676016145</v>
      </c>
      <c r="G232" s="12">
        <v>-0.52853676210818235</v>
      </c>
      <c r="H232" s="12">
        <v>1.6272783105230459</v>
      </c>
      <c r="I232" s="12">
        <v>5.8772008753988185</v>
      </c>
      <c r="J232" s="12">
        <v>12.275619701804411</v>
      </c>
      <c r="K232" s="12">
        <v>10.91622567918421</v>
      </c>
      <c r="L232" s="12">
        <v>-12.384756939926756</v>
      </c>
      <c r="M232" s="12">
        <v>30.537577517129986</v>
      </c>
    </row>
    <row r="233" spans="2:13" x14ac:dyDescent="0.3">
      <c r="B233" s="3" t="s">
        <v>176</v>
      </c>
      <c r="C233" s="9">
        <v>1</v>
      </c>
      <c r="D233" s="12">
        <v>9.6479690090000005</v>
      </c>
      <c r="E233" s="12">
        <v>27.943685211244926</v>
      </c>
      <c r="F233" s="12">
        <v>-18.295716202244925</v>
      </c>
      <c r="G233" s="12">
        <v>-1.6949493617950901</v>
      </c>
      <c r="H233" s="12">
        <v>1.5865233666834038</v>
      </c>
      <c r="I233" s="12">
        <v>24.824599523113122</v>
      </c>
      <c r="J233" s="12">
        <v>31.06277089937673</v>
      </c>
      <c r="K233" s="12">
        <v>10.910224781003116</v>
      </c>
      <c r="L233" s="12">
        <v>6.4943156757260887</v>
      </c>
      <c r="M233" s="12">
        <v>49.393054746763767</v>
      </c>
    </row>
    <row r="234" spans="2:13" x14ac:dyDescent="0.3">
      <c r="B234" s="3" t="s">
        <v>177</v>
      </c>
      <c r="C234" s="9">
        <v>1</v>
      </c>
      <c r="D234" s="12">
        <v>1.5052246789999999</v>
      </c>
      <c r="E234" s="12">
        <v>4.2304163483723736</v>
      </c>
      <c r="F234" s="12">
        <v>-2.7251916693723737</v>
      </c>
      <c r="G234" s="12">
        <v>-0.25246685233373001</v>
      </c>
      <c r="H234" s="12">
        <v>1.3407442427947058</v>
      </c>
      <c r="I234" s="12">
        <v>1.5945294355383988</v>
      </c>
      <c r="J234" s="12">
        <v>6.8663032612063484</v>
      </c>
      <c r="K234" s="12">
        <v>10.877202926468238</v>
      </c>
      <c r="L234" s="12">
        <v>-17.154032621815855</v>
      </c>
      <c r="M234" s="12">
        <v>25.6148653185606</v>
      </c>
    </row>
    <row r="235" spans="2:13" x14ac:dyDescent="0.3">
      <c r="B235" s="3" t="s">
        <v>178</v>
      </c>
      <c r="C235" s="9">
        <v>1</v>
      </c>
      <c r="D235" s="12">
        <v>38.484267629999998</v>
      </c>
      <c r="E235" s="12">
        <v>18.372426617412323</v>
      </c>
      <c r="F235" s="12">
        <v>20.111841012587675</v>
      </c>
      <c r="G235" s="12">
        <v>1.8631985603617451</v>
      </c>
      <c r="H235" s="12">
        <v>1.2427263167688669</v>
      </c>
      <c r="I235" s="12">
        <v>15.929241757802229</v>
      </c>
      <c r="J235" s="12">
        <v>20.815611477022415</v>
      </c>
      <c r="K235" s="12">
        <v>10.865556455026679</v>
      </c>
      <c r="L235" s="12">
        <v>-2.9891255312392992</v>
      </c>
      <c r="M235" s="12">
        <v>39.733978766063942</v>
      </c>
    </row>
    <row r="236" spans="2:13" x14ac:dyDescent="0.3">
      <c r="B236" s="3" t="s">
        <v>179</v>
      </c>
      <c r="C236" s="9">
        <v>1</v>
      </c>
      <c r="D236" s="12">
        <v>-0.78220983799999999</v>
      </c>
      <c r="E236" s="12">
        <v>2.6312018812685509</v>
      </c>
      <c r="F236" s="12">
        <v>-3.4134117192685509</v>
      </c>
      <c r="G236" s="12">
        <v>-0.31622484472120371</v>
      </c>
      <c r="H236" s="12">
        <v>1.1963935057076436</v>
      </c>
      <c r="I236" s="12">
        <v>0.27910676600561057</v>
      </c>
      <c r="J236" s="12">
        <v>4.9832969965314913</v>
      </c>
      <c r="K236" s="12">
        <v>10.860354773186806</v>
      </c>
      <c r="L236" s="12">
        <v>-18.720123824002737</v>
      </c>
      <c r="M236" s="12">
        <v>23.982527586539842</v>
      </c>
    </row>
    <row r="237" spans="2:13" x14ac:dyDescent="0.3">
      <c r="B237" s="3" t="s">
        <v>180</v>
      </c>
      <c r="C237" s="9">
        <v>1</v>
      </c>
      <c r="D237" s="12">
        <v>9.2862852159999996</v>
      </c>
      <c r="E237" s="12">
        <v>28.819132182610254</v>
      </c>
      <c r="F237" s="12">
        <v>-19.532846966610254</v>
      </c>
      <c r="G237" s="12">
        <v>-1.8095594692289165</v>
      </c>
      <c r="H237" s="12">
        <v>1.6833458312266543</v>
      </c>
      <c r="I237" s="12">
        <v>25.509694704023687</v>
      </c>
      <c r="J237" s="12">
        <v>32.128569661196821</v>
      </c>
      <c r="K237" s="12">
        <v>10.924724324507698</v>
      </c>
      <c r="L237" s="12">
        <v>7.3412567204978956</v>
      </c>
      <c r="M237" s="12">
        <v>50.297007644722612</v>
      </c>
    </row>
    <row r="238" spans="2:13" x14ac:dyDescent="0.3">
      <c r="B238" s="3" t="s">
        <v>181</v>
      </c>
      <c r="C238" s="9">
        <v>1</v>
      </c>
      <c r="D238" s="12">
        <v>-3.5071893940000001</v>
      </c>
      <c r="E238" s="12">
        <v>-14.692716015198172</v>
      </c>
      <c r="F238" s="12">
        <v>11.185526621198171</v>
      </c>
      <c r="G238" s="12">
        <v>1.036248103018538</v>
      </c>
      <c r="H238" s="12">
        <v>1.7403865606950009</v>
      </c>
      <c r="I238" s="12">
        <v>-18.114294875791135</v>
      </c>
      <c r="J238" s="12">
        <v>-11.27113715460521</v>
      </c>
      <c r="K238" s="12">
        <v>10.933658754489725</v>
      </c>
      <c r="L238" s="12">
        <v>-36.188156458245423</v>
      </c>
      <c r="M238" s="12">
        <v>6.8027244278490784</v>
      </c>
    </row>
    <row r="239" spans="2:13" x14ac:dyDescent="0.3">
      <c r="B239" s="3" t="s">
        <v>182</v>
      </c>
      <c r="C239" s="9">
        <v>1</v>
      </c>
      <c r="D239" s="12">
        <v>10.32475103</v>
      </c>
      <c r="E239" s="12">
        <v>18.409956583270592</v>
      </c>
      <c r="F239" s="12">
        <v>-8.0852055532705922</v>
      </c>
      <c r="G239" s="12">
        <v>-0.74902856171416765</v>
      </c>
      <c r="H239" s="12">
        <v>1.2808745773547936</v>
      </c>
      <c r="I239" s="12">
        <v>15.891772706236992</v>
      </c>
      <c r="J239" s="12">
        <v>20.928140460304192</v>
      </c>
      <c r="K239" s="12">
        <v>10.869985651411682</v>
      </c>
      <c r="L239" s="12">
        <v>-2.9603033117303745</v>
      </c>
      <c r="M239" s="12">
        <v>39.780216478271555</v>
      </c>
    </row>
    <row r="240" spans="2:13" x14ac:dyDescent="0.3">
      <c r="B240" s="3" t="s">
        <v>183</v>
      </c>
      <c r="C240" s="9">
        <v>1</v>
      </c>
      <c r="D240" s="12">
        <v>53.688632269999999</v>
      </c>
      <c r="E240" s="12">
        <v>31.072427861223609</v>
      </c>
      <c r="F240" s="12">
        <v>22.61620440877639</v>
      </c>
      <c r="G240" s="12">
        <v>2.0952074685209241</v>
      </c>
      <c r="H240" s="12">
        <v>1.5531442813538021</v>
      </c>
      <c r="I240" s="12">
        <v>28.018965049830225</v>
      </c>
      <c r="J240" s="12">
        <v>34.12589067261699</v>
      </c>
      <c r="K240" s="12">
        <v>10.905420924369864</v>
      </c>
      <c r="L240" s="12">
        <v>9.6325026495560735</v>
      </c>
      <c r="M240" s="12">
        <v>52.512353072891145</v>
      </c>
    </row>
    <row r="241" spans="2:13" x14ac:dyDescent="0.3">
      <c r="B241" s="3" t="s">
        <v>184</v>
      </c>
      <c r="C241" s="9">
        <v>1</v>
      </c>
      <c r="D241" s="12">
        <v>0.74610087300000005</v>
      </c>
      <c r="E241" s="12">
        <v>1.9759160495617731</v>
      </c>
      <c r="F241" s="12">
        <v>-1.2298151765617731</v>
      </c>
      <c r="G241" s="12">
        <v>-0.11393237769962368</v>
      </c>
      <c r="H241" s="12">
        <v>1.36107591472781</v>
      </c>
      <c r="I241" s="12">
        <v>-0.69994268358954548</v>
      </c>
      <c r="J241" s="12">
        <v>4.6517747827130922</v>
      </c>
      <c r="K241" s="12">
        <v>10.879727755078902</v>
      </c>
      <c r="L241" s="12">
        <v>-19.413496703038916</v>
      </c>
      <c r="M241" s="12">
        <v>23.365328802162466</v>
      </c>
    </row>
    <row r="242" spans="2:13" x14ac:dyDescent="0.3">
      <c r="B242" s="3" t="s">
        <v>185</v>
      </c>
      <c r="C242" s="9">
        <v>1</v>
      </c>
      <c r="D242" s="12">
        <v>53.533629699999999</v>
      </c>
      <c r="E242" s="12">
        <v>32.069101892696317</v>
      </c>
      <c r="F242" s="12">
        <v>21.464527807303682</v>
      </c>
      <c r="G242" s="12">
        <v>1.9885139945359602</v>
      </c>
      <c r="H242" s="12">
        <v>1.6441209907565328</v>
      </c>
      <c r="I242" s="12">
        <v>28.836779974522432</v>
      </c>
      <c r="J242" s="12">
        <v>35.301423810870197</v>
      </c>
      <c r="K242" s="12">
        <v>10.918749113851288</v>
      </c>
      <c r="L242" s="12">
        <v>10.602973622231655</v>
      </c>
      <c r="M242" s="12">
        <v>53.535230163160975</v>
      </c>
    </row>
    <row r="243" spans="2:13" x14ac:dyDescent="0.3">
      <c r="B243" s="3" t="s">
        <v>186</v>
      </c>
      <c r="C243" s="9">
        <v>1</v>
      </c>
      <c r="D243" s="12">
        <v>0.49923746200000002</v>
      </c>
      <c r="E243" s="12">
        <v>0.12014106603938401</v>
      </c>
      <c r="F243" s="12">
        <v>0.37909639596061601</v>
      </c>
      <c r="G243" s="12">
        <v>3.5120199028525742E-2</v>
      </c>
      <c r="H243" s="12">
        <v>2.001345742375285</v>
      </c>
      <c r="I243" s="12">
        <v>-3.8144803792758686</v>
      </c>
      <c r="J243" s="12">
        <v>4.0547625113546371</v>
      </c>
      <c r="K243" s="12">
        <v>10.978220855835691</v>
      </c>
      <c r="L243" s="12">
        <v>-21.462907927540499</v>
      </c>
      <c r="M243" s="12">
        <v>21.703190059619267</v>
      </c>
    </row>
    <row r="244" spans="2:13" x14ac:dyDescent="0.3">
      <c r="B244" s="3" t="s">
        <v>187</v>
      </c>
      <c r="C244" s="9">
        <v>1</v>
      </c>
      <c r="D244" s="12">
        <v>-3.481482872</v>
      </c>
      <c r="E244" s="12">
        <v>-1.4756837749815892</v>
      </c>
      <c r="F244" s="12">
        <v>-2.0057990970184107</v>
      </c>
      <c r="G244" s="12">
        <v>-0.18582097917344004</v>
      </c>
      <c r="H244" s="12">
        <v>2.3137349497092332</v>
      </c>
      <c r="I244" s="12">
        <v>-6.0244586114057643</v>
      </c>
      <c r="J244" s="12">
        <v>3.0730910614425859</v>
      </c>
      <c r="K244" s="12">
        <v>11.039443726768484</v>
      </c>
      <c r="L244" s="12">
        <v>-23.179096189941149</v>
      </c>
      <c r="M244" s="12">
        <v>20.227728639977968</v>
      </c>
    </row>
    <row r="245" spans="2:13" x14ac:dyDescent="0.3">
      <c r="B245" s="3" t="s">
        <v>188</v>
      </c>
      <c r="C245" s="9">
        <v>1</v>
      </c>
      <c r="D245" s="12">
        <v>0.39525215400000002</v>
      </c>
      <c r="E245" s="12">
        <v>2.9941088863237142</v>
      </c>
      <c r="F245" s="12">
        <v>-2.5988567323237142</v>
      </c>
      <c r="G245" s="12">
        <v>-0.24076294752038502</v>
      </c>
      <c r="H245" s="12">
        <v>1.1534165044552163</v>
      </c>
      <c r="I245" s="12">
        <v>0.72650603404300496</v>
      </c>
      <c r="J245" s="12">
        <v>5.2617117386044239</v>
      </c>
      <c r="K245" s="12">
        <v>10.855704399610913</v>
      </c>
      <c r="L245" s="12">
        <v>-18.348074240924689</v>
      </c>
      <c r="M245" s="12">
        <v>24.33629201357212</v>
      </c>
    </row>
    <row r="246" spans="2:13" x14ac:dyDescent="0.3">
      <c r="B246" s="3" t="s">
        <v>189</v>
      </c>
      <c r="C246" s="9">
        <v>1</v>
      </c>
      <c r="D246" s="12">
        <v>0.96483391799999996</v>
      </c>
      <c r="E246" s="12">
        <v>0.85439151825950654</v>
      </c>
      <c r="F246" s="12">
        <v>0.11044239974049341</v>
      </c>
      <c r="G246" s="12">
        <v>1.0231590438219543E-2</v>
      </c>
      <c r="H246" s="12">
        <v>1.2632447842688297</v>
      </c>
      <c r="I246" s="12">
        <v>-1.6291323994858105</v>
      </c>
      <c r="J246" s="12">
        <v>3.3379154360048235</v>
      </c>
      <c r="K246" s="12">
        <v>10.867922329680335</v>
      </c>
      <c r="L246" s="12">
        <v>-20.511811911253837</v>
      </c>
      <c r="M246" s="12">
        <v>22.220594947772852</v>
      </c>
    </row>
    <row r="247" spans="2:13" x14ac:dyDescent="0.3">
      <c r="B247" s="3" t="s">
        <v>190</v>
      </c>
      <c r="C247" s="9">
        <v>1</v>
      </c>
      <c r="D247" s="12">
        <v>3.0236857399999999</v>
      </c>
      <c r="E247" s="12">
        <v>12.74703610837803</v>
      </c>
      <c r="F247" s="12">
        <v>-9.7233503683780302</v>
      </c>
      <c r="G247" s="12">
        <v>-0.90078936070128768</v>
      </c>
      <c r="H247" s="12">
        <v>1.058783522548209</v>
      </c>
      <c r="I247" s="12">
        <v>10.665480550256262</v>
      </c>
      <c r="J247" s="12">
        <v>14.828591666499797</v>
      </c>
      <c r="K247" s="12">
        <v>10.846057851892622</v>
      </c>
      <c r="L247" s="12">
        <v>-8.5761820231067745</v>
      </c>
      <c r="M247" s="12">
        <v>34.070254239862834</v>
      </c>
    </row>
    <row r="248" spans="2:13" x14ac:dyDescent="0.3">
      <c r="B248" s="3" t="s">
        <v>191</v>
      </c>
      <c r="C248" s="9">
        <v>1</v>
      </c>
      <c r="D248" s="12">
        <v>-4.4303568630000001</v>
      </c>
      <c r="E248" s="12">
        <v>-5.6331769837511363</v>
      </c>
      <c r="F248" s="12">
        <v>1.2028201207511362</v>
      </c>
      <c r="G248" s="12">
        <v>0.11143150524882302</v>
      </c>
      <c r="H248" s="12">
        <v>1.789924947524413</v>
      </c>
      <c r="I248" s="12">
        <v>-9.1521477117552728</v>
      </c>
      <c r="J248" s="12">
        <v>-2.1142062557470007</v>
      </c>
      <c r="K248" s="12">
        <v>10.941653426093897</v>
      </c>
      <c r="L248" s="12">
        <v>-27.144334854165386</v>
      </c>
      <c r="M248" s="12">
        <v>15.877980886663112</v>
      </c>
    </row>
    <row r="249" spans="2:13" x14ac:dyDescent="0.3">
      <c r="B249" s="3" t="s">
        <v>192</v>
      </c>
      <c r="C249" s="9">
        <v>1</v>
      </c>
      <c r="D249" s="12">
        <v>0.40308699599999998</v>
      </c>
      <c r="E249" s="12">
        <v>4.6295373133467619</v>
      </c>
      <c r="F249" s="12">
        <v>-4.226450317346762</v>
      </c>
      <c r="G249" s="12">
        <v>-0.39154626082178506</v>
      </c>
      <c r="H249" s="12">
        <v>1.0526881782398427</v>
      </c>
      <c r="I249" s="12">
        <v>2.5599651281747451</v>
      </c>
      <c r="J249" s="12">
        <v>6.6991094985187782</v>
      </c>
      <c r="K249" s="12">
        <v>10.845464525763198</v>
      </c>
      <c r="L249" s="12">
        <v>-16.692514346166973</v>
      </c>
      <c r="M249" s="12">
        <v>25.951588972860499</v>
      </c>
    </row>
    <row r="250" spans="2:13" x14ac:dyDescent="0.3">
      <c r="B250" s="3" t="s">
        <v>193</v>
      </c>
      <c r="C250" s="9">
        <v>1</v>
      </c>
      <c r="D250" s="12">
        <v>0.95483102600000003</v>
      </c>
      <c r="E250" s="12">
        <v>-9.4500042848865888</v>
      </c>
      <c r="F250" s="12">
        <v>10.40483531088659</v>
      </c>
      <c r="G250" s="12">
        <v>0.96392340014578426</v>
      </c>
      <c r="H250" s="12">
        <v>1.8145853386886384</v>
      </c>
      <c r="I250" s="12">
        <v>-13.017457042692065</v>
      </c>
      <c r="J250" s="12">
        <v>-5.8825515270811133</v>
      </c>
      <c r="K250" s="12">
        <v>10.945714610310548</v>
      </c>
      <c r="L250" s="12">
        <v>-30.969146394192634</v>
      </c>
      <c r="M250" s="12">
        <v>12.069137824419457</v>
      </c>
    </row>
    <row r="251" spans="2:13" x14ac:dyDescent="0.3">
      <c r="B251" s="3" t="s">
        <v>194</v>
      </c>
      <c r="C251" s="9">
        <v>1</v>
      </c>
      <c r="D251" s="12">
        <v>7.7035733549999996</v>
      </c>
      <c r="E251" s="12">
        <v>11.352501849439353</v>
      </c>
      <c r="F251" s="12">
        <v>-3.6489284944393532</v>
      </c>
      <c r="G251" s="12">
        <v>-0.33804355918720574</v>
      </c>
      <c r="H251" s="12">
        <v>1.3048639560210635</v>
      </c>
      <c r="I251" s="12">
        <v>8.787155145033374</v>
      </c>
      <c r="J251" s="12">
        <v>13.917848553845332</v>
      </c>
      <c r="K251" s="12">
        <v>10.87283855866098</v>
      </c>
      <c r="L251" s="12">
        <v>-10.023366826596749</v>
      </c>
      <c r="M251" s="12">
        <v>32.728370525475455</v>
      </c>
    </row>
    <row r="252" spans="2:13" x14ac:dyDescent="0.3">
      <c r="B252" s="3" t="s">
        <v>195</v>
      </c>
      <c r="C252" s="9">
        <v>1</v>
      </c>
      <c r="D252" s="12">
        <v>31.810235769999998</v>
      </c>
      <c r="E252" s="12">
        <v>14.714470684416172</v>
      </c>
      <c r="F252" s="12">
        <v>17.095765085583828</v>
      </c>
      <c r="G252" s="12">
        <v>1.5837836464501793</v>
      </c>
      <c r="H252" s="12">
        <v>1.4652752980010884</v>
      </c>
      <c r="I252" s="12">
        <v>11.833757228097893</v>
      </c>
      <c r="J252" s="12">
        <v>17.595184140734453</v>
      </c>
      <c r="K252" s="12">
        <v>10.893253879255465</v>
      </c>
      <c r="L252" s="12">
        <v>-6.7015342641905615</v>
      </c>
      <c r="M252" s="12">
        <v>36.130475633022904</v>
      </c>
    </row>
    <row r="253" spans="2:13" x14ac:dyDescent="0.3">
      <c r="B253" s="3" t="s">
        <v>196</v>
      </c>
      <c r="C253" s="9">
        <v>1</v>
      </c>
      <c r="D253" s="12">
        <v>0.32791892499999997</v>
      </c>
      <c r="E253" s="12">
        <v>-15.132034628831072</v>
      </c>
      <c r="F253" s="12">
        <v>15.459953553831072</v>
      </c>
      <c r="G253" s="12">
        <v>1.4322390071962552</v>
      </c>
      <c r="H253" s="12">
        <v>2.060442438574603</v>
      </c>
      <c r="I253" s="12">
        <v>-19.182839461798849</v>
      </c>
      <c r="J253" s="12">
        <v>-11.081229795863294</v>
      </c>
      <c r="K253" s="12">
        <v>10.989147893338286</v>
      </c>
      <c r="L253" s="12">
        <v>-36.736566045553118</v>
      </c>
      <c r="M253" s="12">
        <v>6.4724967878909752</v>
      </c>
    </row>
    <row r="254" spans="2:13" x14ac:dyDescent="0.3">
      <c r="B254" s="3" t="s">
        <v>197</v>
      </c>
      <c r="C254" s="9">
        <v>1</v>
      </c>
      <c r="D254" s="12">
        <v>0.64345537200000003</v>
      </c>
      <c r="E254" s="12">
        <v>0.74528994110069213</v>
      </c>
      <c r="F254" s="12">
        <v>-0.10183456910069211</v>
      </c>
      <c r="G254" s="12">
        <v>-9.4341449111851189E-3</v>
      </c>
      <c r="H254" s="12">
        <v>1.3486902314855456</v>
      </c>
      <c r="I254" s="12">
        <v>-1.9062186890833814</v>
      </c>
      <c r="J254" s="12">
        <v>3.3967985712847657</v>
      </c>
      <c r="K254" s="12">
        <v>10.878185221786149</v>
      </c>
      <c r="L254" s="12">
        <v>-20.641090209763441</v>
      </c>
      <c r="M254" s="12">
        <v>22.131670091964828</v>
      </c>
    </row>
    <row r="255" spans="2:13" x14ac:dyDescent="0.3">
      <c r="B255" s="3" t="s">
        <v>198</v>
      </c>
      <c r="C255" s="9">
        <v>1</v>
      </c>
      <c r="D255" s="12">
        <v>3.2929001590000002</v>
      </c>
      <c r="E255" s="12">
        <v>9.8289900197802709</v>
      </c>
      <c r="F255" s="12">
        <v>-6.5360898607802707</v>
      </c>
      <c r="G255" s="12">
        <v>-0.60551558712992837</v>
      </c>
      <c r="H255" s="12">
        <v>1.2848296162241746</v>
      </c>
      <c r="I255" s="12">
        <v>7.3030305843196448</v>
      </c>
      <c r="J255" s="12">
        <v>12.354949455240897</v>
      </c>
      <c r="K255" s="12">
        <v>10.87045240648745</v>
      </c>
      <c r="L255" s="12">
        <v>-11.542187510036083</v>
      </c>
      <c r="M255" s="12">
        <v>31.200167549596625</v>
      </c>
    </row>
    <row r="256" spans="2:13" x14ac:dyDescent="0.3">
      <c r="B256" s="3" t="s">
        <v>199</v>
      </c>
      <c r="C256" s="9">
        <v>1</v>
      </c>
      <c r="D256" s="12">
        <v>53.493957520000002</v>
      </c>
      <c r="E256" s="12">
        <v>32.253656060853778</v>
      </c>
      <c r="F256" s="12">
        <v>21.240301459146224</v>
      </c>
      <c r="G256" s="12">
        <v>1.9677412463414679</v>
      </c>
      <c r="H256" s="12">
        <v>1.5199588072344445</v>
      </c>
      <c r="I256" s="12">
        <v>29.265435488908743</v>
      </c>
      <c r="J256" s="12">
        <v>35.241876632798814</v>
      </c>
      <c r="K256" s="12">
        <v>10.900744156004745</v>
      </c>
      <c r="L256" s="12">
        <v>10.822925319044476</v>
      </c>
      <c r="M256" s="12">
        <v>53.684386802663084</v>
      </c>
    </row>
    <row r="257" spans="2:13" x14ac:dyDescent="0.3">
      <c r="B257" s="3" t="s">
        <v>200</v>
      </c>
      <c r="C257" s="9">
        <v>1</v>
      </c>
      <c r="D257" s="12">
        <v>-3.1863215880000002</v>
      </c>
      <c r="E257" s="12">
        <v>-8.7548306096753024</v>
      </c>
      <c r="F257" s="12">
        <v>5.5685090216753022</v>
      </c>
      <c r="G257" s="12">
        <v>0.51587708882807493</v>
      </c>
      <c r="H257" s="12">
        <v>1.9914824050757762</v>
      </c>
      <c r="I257" s="12">
        <v>-12.670060853540791</v>
      </c>
      <c r="J257" s="12">
        <v>-4.8396003658098135</v>
      </c>
      <c r="K257" s="12">
        <v>10.976427039283248</v>
      </c>
      <c r="L257" s="12">
        <v>-30.334352981679132</v>
      </c>
      <c r="M257" s="12">
        <v>12.824691762328527</v>
      </c>
    </row>
    <row r="258" spans="2:13" x14ac:dyDescent="0.3">
      <c r="B258" s="3" t="s">
        <v>201</v>
      </c>
      <c r="C258" s="9">
        <v>1</v>
      </c>
      <c r="D258" s="12">
        <v>2.2306245680000001</v>
      </c>
      <c r="E258" s="12">
        <v>4.9462720134732336</v>
      </c>
      <c r="F258" s="12">
        <v>-2.7156474454732336</v>
      </c>
      <c r="G258" s="12">
        <v>-0.25158265758410375</v>
      </c>
      <c r="H258" s="12">
        <v>1.4330377689172413</v>
      </c>
      <c r="I258" s="12">
        <v>2.1289371481657891</v>
      </c>
      <c r="J258" s="12">
        <v>7.7636068787806778</v>
      </c>
      <c r="K258" s="12">
        <v>10.888964396402686</v>
      </c>
      <c r="L258" s="12">
        <v>-16.461299863893235</v>
      </c>
      <c r="M258" s="12">
        <v>26.353843890839702</v>
      </c>
    </row>
    <row r="259" spans="2:13" x14ac:dyDescent="0.3">
      <c r="B259" s="3" t="s">
        <v>202</v>
      </c>
      <c r="C259" s="9">
        <v>1</v>
      </c>
      <c r="D259" s="12">
        <v>-0.45776329399999999</v>
      </c>
      <c r="E259" s="12">
        <v>-13.078597297016671</v>
      </c>
      <c r="F259" s="12">
        <v>12.620834003016672</v>
      </c>
      <c r="G259" s="12">
        <v>1.1692176628816573</v>
      </c>
      <c r="H259" s="12">
        <v>1.8600506969116257</v>
      </c>
      <c r="I259" s="12">
        <v>-16.735434397414942</v>
      </c>
      <c r="J259" s="12">
        <v>-9.4217601966183988</v>
      </c>
      <c r="K259" s="12">
        <v>10.953343643566718</v>
      </c>
      <c r="L259" s="12">
        <v>-34.612737993134175</v>
      </c>
      <c r="M259" s="12">
        <v>8.4555433991008293</v>
      </c>
    </row>
    <row r="260" spans="2:13" x14ac:dyDescent="0.3">
      <c r="B260" s="3" t="s">
        <v>203</v>
      </c>
      <c r="C260" s="9">
        <v>1</v>
      </c>
      <c r="D260" s="12">
        <v>-0.19075191899999999</v>
      </c>
      <c r="E260" s="12">
        <v>-6.054710964596044</v>
      </c>
      <c r="F260" s="12">
        <v>5.8639590455960438</v>
      </c>
      <c r="G260" s="12">
        <v>0.54324813153288909</v>
      </c>
      <c r="H260" s="12">
        <v>1.6547347501999996</v>
      </c>
      <c r="I260" s="12">
        <v>-9.3078994050491399</v>
      </c>
      <c r="J260" s="12">
        <v>-2.8015225241429484</v>
      </c>
      <c r="K260" s="12">
        <v>10.920352351114936</v>
      </c>
      <c r="L260" s="12">
        <v>-27.523991180067462</v>
      </c>
      <c r="M260" s="12">
        <v>15.414569250875374</v>
      </c>
    </row>
    <row r="261" spans="2:13" x14ac:dyDescent="0.3">
      <c r="B261" s="3" t="s">
        <v>204</v>
      </c>
      <c r="C261" s="9">
        <v>1</v>
      </c>
      <c r="D261" s="12">
        <v>41.970873349999998</v>
      </c>
      <c r="E261" s="12">
        <v>24.925754138560929</v>
      </c>
      <c r="F261" s="12">
        <v>17.045119211439069</v>
      </c>
      <c r="G261" s="12">
        <v>1.5790917179620954</v>
      </c>
      <c r="H261" s="12">
        <v>1.2466796442018233</v>
      </c>
      <c r="I261" s="12">
        <v>22.474797085187053</v>
      </c>
      <c r="J261" s="12">
        <v>27.376711191934806</v>
      </c>
      <c r="K261" s="12">
        <v>10.866009318708006</v>
      </c>
      <c r="L261" s="12">
        <v>3.563311665406836</v>
      </c>
      <c r="M261" s="12">
        <v>46.288196611715023</v>
      </c>
    </row>
    <row r="262" spans="2:13" x14ac:dyDescent="0.3">
      <c r="B262" s="3" t="s">
        <v>205</v>
      </c>
      <c r="C262" s="9">
        <v>1</v>
      </c>
      <c r="D262" s="12">
        <v>-1.3892638530000001</v>
      </c>
      <c r="E262" s="12">
        <v>-4.1442838779786548</v>
      </c>
      <c r="F262" s="12">
        <v>2.7550200249786547</v>
      </c>
      <c r="G262" s="12">
        <v>0.25523020697584342</v>
      </c>
      <c r="H262" s="12">
        <v>1.8230244405364058</v>
      </c>
      <c r="I262" s="12">
        <v>-7.7283278076173474</v>
      </c>
      <c r="J262" s="12">
        <v>-0.56023994833996227</v>
      </c>
      <c r="K262" s="12">
        <v>10.947116811735183</v>
      </c>
      <c r="L262" s="12">
        <v>-25.666182698271317</v>
      </c>
      <c r="M262" s="12">
        <v>17.377614942314008</v>
      </c>
    </row>
    <row r="263" spans="2:13" x14ac:dyDescent="0.3">
      <c r="B263" s="3" t="s">
        <v>206</v>
      </c>
      <c r="C263" s="9">
        <v>1</v>
      </c>
      <c r="D263" s="12">
        <v>12.0351306</v>
      </c>
      <c r="E263" s="12">
        <v>23.707405654356968</v>
      </c>
      <c r="F263" s="12">
        <v>-11.672275054356968</v>
      </c>
      <c r="G263" s="12">
        <v>-1.0813413880814113</v>
      </c>
      <c r="H263" s="12">
        <v>1.2461853273472812</v>
      </c>
      <c r="I263" s="12">
        <v>21.257420421921115</v>
      </c>
      <c r="J263" s="12">
        <v>26.157390886792822</v>
      </c>
      <c r="K263" s="12">
        <v>10.865952615812278</v>
      </c>
      <c r="L263" s="12">
        <v>2.3450746584078459</v>
      </c>
      <c r="M263" s="12">
        <v>45.069736650306091</v>
      </c>
    </row>
    <row r="264" spans="2:13" x14ac:dyDescent="0.3">
      <c r="B264" s="3" t="s">
        <v>207</v>
      </c>
      <c r="C264" s="9">
        <v>1</v>
      </c>
      <c r="D264" s="12">
        <v>-2.261940155</v>
      </c>
      <c r="E264" s="12">
        <v>2.3313870658658256</v>
      </c>
      <c r="F264" s="12">
        <v>-4.5933272208658256</v>
      </c>
      <c r="G264" s="12">
        <v>-0.4255344232201882</v>
      </c>
      <c r="H264" s="12">
        <v>1.4971404204455936</v>
      </c>
      <c r="I264" s="12">
        <v>-0.61197283452909979</v>
      </c>
      <c r="J264" s="12">
        <v>5.2747469662607509</v>
      </c>
      <c r="K264" s="12">
        <v>10.89758587107778</v>
      </c>
      <c r="L264" s="12">
        <v>-19.093134526099483</v>
      </c>
      <c r="M264" s="12">
        <v>23.755908657831135</v>
      </c>
    </row>
    <row r="265" spans="2:13" x14ac:dyDescent="0.3">
      <c r="B265" s="3" t="s">
        <v>208</v>
      </c>
      <c r="C265" s="9">
        <v>1</v>
      </c>
      <c r="D265" s="12">
        <v>-0.82721816699999995</v>
      </c>
      <c r="E265" s="12">
        <v>0.71929151287155557</v>
      </c>
      <c r="F265" s="12">
        <v>-1.5465096798715554</v>
      </c>
      <c r="G265" s="12">
        <v>-0.14327154870201736</v>
      </c>
      <c r="H265" s="12">
        <v>1.2890448258368337</v>
      </c>
      <c r="I265" s="12">
        <v>-1.8149549735404888</v>
      </c>
      <c r="J265" s="12">
        <v>3.2535379992836</v>
      </c>
      <c r="K265" s="12">
        <v>10.870951427634967</v>
      </c>
      <c r="L265" s="12">
        <v>-20.652867086465726</v>
      </c>
      <c r="M265" s="12">
        <v>22.09145011220884</v>
      </c>
    </row>
    <row r="266" spans="2:13" x14ac:dyDescent="0.3">
      <c r="B266" s="3" t="s">
        <v>209</v>
      </c>
      <c r="C266" s="9">
        <v>1</v>
      </c>
      <c r="D266" s="12">
        <v>3.2378985669999998</v>
      </c>
      <c r="E266" s="12">
        <v>9.6580290162073688</v>
      </c>
      <c r="F266" s="12">
        <v>-6.4201304492073685</v>
      </c>
      <c r="G266" s="12">
        <v>-0.59477289039879366</v>
      </c>
      <c r="H266" s="12">
        <v>1.3771688865055907</v>
      </c>
      <c r="I266" s="12">
        <v>6.9505316958119696</v>
      </c>
      <c r="J266" s="12">
        <v>12.365526336602768</v>
      </c>
      <c r="K266" s="12">
        <v>10.881752732025346</v>
      </c>
      <c r="L266" s="12">
        <v>-11.735364816499096</v>
      </c>
      <c r="M266" s="12">
        <v>31.051422848913834</v>
      </c>
    </row>
    <row r="267" spans="2:13" x14ac:dyDescent="0.3">
      <c r="B267" s="3" t="s">
        <v>210</v>
      </c>
      <c r="C267" s="9">
        <v>1</v>
      </c>
      <c r="D267" s="12">
        <v>4.4669837259999996</v>
      </c>
      <c r="E267" s="12">
        <v>19.711693389698244</v>
      </c>
      <c r="F267" s="12">
        <v>-15.244709663698245</v>
      </c>
      <c r="G267" s="12">
        <v>-1.4122984107102776</v>
      </c>
      <c r="H267" s="12">
        <v>1.3730153077642493</v>
      </c>
      <c r="I267" s="12">
        <v>17.012361954709078</v>
      </c>
      <c r="J267" s="12">
        <v>22.411024824687409</v>
      </c>
      <c r="K267" s="12">
        <v>10.881227844978572</v>
      </c>
      <c r="L267" s="12">
        <v>-1.6806685214432093</v>
      </c>
      <c r="M267" s="12">
        <v>41.104055300839697</v>
      </c>
    </row>
    <row r="268" spans="2:13" x14ac:dyDescent="0.3">
      <c r="B268" s="3" t="s">
        <v>211</v>
      </c>
      <c r="C268" s="9">
        <v>1</v>
      </c>
      <c r="D268" s="12">
        <v>1.683168888</v>
      </c>
      <c r="E268" s="12">
        <v>5.5486392667607216</v>
      </c>
      <c r="F268" s="12">
        <v>-3.8654703787607216</v>
      </c>
      <c r="G268" s="12">
        <v>-0.35810440428204682</v>
      </c>
      <c r="H268" s="12">
        <v>1.4303975826855804</v>
      </c>
      <c r="I268" s="12">
        <v>2.7364949755488803</v>
      </c>
      <c r="J268" s="12">
        <v>8.3607835579725638</v>
      </c>
      <c r="K268" s="12">
        <v>10.888617250300186</v>
      </c>
      <c r="L268" s="12">
        <v>-15.858250125580478</v>
      </c>
      <c r="M268" s="12">
        <v>26.955528659101923</v>
      </c>
    </row>
    <row r="269" spans="2:13" x14ac:dyDescent="0.3">
      <c r="B269" s="3" t="s">
        <v>212</v>
      </c>
      <c r="C269" s="9">
        <v>1</v>
      </c>
      <c r="D269" s="12">
        <v>7.0904985000000004E-2</v>
      </c>
      <c r="E269" s="12">
        <v>-2.5184782952624705</v>
      </c>
      <c r="F269" s="12">
        <v>2.5893832802624703</v>
      </c>
      <c r="G269" s="12">
        <v>0.23988530920616416</v>
      </c>
      <c r="H269" s="12">
        <v>1.304531612655891</v>
      </c>
      <c r="I269" s="12">
        <v>-5.0831716166451528</v>
      </c>
      <c r="J269" s="12">
        <v>4.6215026120211444E-2</v>
      </c>
      <c r="K269" s="12">
        <v>10.872798678693568</v>
      </c>
      <c r="L269" s="12">
        <v>-23.894268567766545</v>
      </c>
      <c r="M269" s="12">
        <v>18.857311977241601</v>
      </c>
    </row>
    <row r="270" spans="2:13" x14ac:dyDescent="0.3">
      <c r="B270" s="3" t="s">
        <v>213</v>
      </c>
      <c r="C270" s="9">
        <v>1</v>
      </c>
      <c r="D270" s="12">
        <v>1.3179103839999999</v>
      </c>
      <c r="E270" s="12">
        <v>5.861062214668844</v>
      </c>
      <c r="F270" s="12">
        <v>-4.5431518306688439</v>
      </c>
      <c r="G270" s="12">
        <v>-0.42088608124482685</v>
      </c>
      <c r="H270" s="12">
        <v>1.3596967878506769</v>
      </c>
      <c r="I270" s="12">
        <v>3.1879148282237364</v>
      </c>
      <c r="J270" s="12">
        <v>8.5342096011139521</v>
      </c>
      <c r="K270" s="12">
        <v>10.879555309564518</v>
      </c>
      <c r="L270" s="12">
        <v>-15.52801151214301</v>
      </c>
      <c r="M270" s="12">
        <v>27.2501359414807</v>
      </c>
    </row>
    <row r="271" spans="2:13" x14ac:dyDescent="0.3">
      <c r="B271" s="3" t="s">
        <v>214</v>
      </c>
      <c r="C271" s="9">
        <v>1</v>
      </c>
      <c r="D271" s="12">
        <v>9.0532578820000005</v>
      </c>
      <c r="E271" s="12">
        <v>28.925226912845677</v>
      </c>
      <c r="F271" s="12">
        <v>-19.871969030845676</v>
      </c>
      <c r="G271" s="12">
        <v>-1.8409763714147918</v>
      </c>
      <c r="H271" s="12">
        <v>1.6110473280057505</v>
      </c>
      <c r="I271" s="12">
        <v>25.757927414326232</v>
      </c>
      <c r="J271" s="12">
        <v>32.092526411365121</v>
      </c>
      <c r="K271" s="12">
        <v>10.913817932880157</v>
      </c>
      <c r="L271" s="12">
        <v>7.4687932843356428</v>
      </c>
      <c r="M271" s="12">
        <v>50.381660541355714</v>
      </c>
    </row>
    <row r="272" spans="2:13" x14ac:dyDescent="0.3">
      <c r="B272" s="3" t="s">
        <v>215</v>
      </c>
      <c r="C272" s="9">
        <v>1</v>
      </c>
      <c r="D272" s="12">
        <v>-0.114623483</v>
      </c>
      <c r="E272" s="12">
        <v>3.496398486344054</v>
      </c>
      <c r="F272" s="12">
        <v>-3.611021969344054</v>
      </c>
      <c r="G272" s="12">
        <v>-0.33453182781752788</v>
      </c>
      <c r="H272" s="12">
        <v>1.4471182595015926</v>
      </c>
      <c r="I272" s="12">
        <v>0.65138154739950016</v>
      </c>
      <c r="J272" s="12">
        <v>6.3414154252886075</v>
      </c>
      <c r="K272" s="12">
        <v>10.890826398210788</v>
      </c>
      <c r="L272" s="12">
        <v>-17.914834063983733</v>
      </c>
      <c r="M272" s="12">
        <v>24.907631036671845</v>
      </c>
    </row>
    <row r="273" spans="2:13" x14ac:dyDescent="0.3">
      <c r="B273" s="3" t="s">
        <v>216</v>
      </c>
      <c r="C273" s="9">
        <v>1</v>
      </c>
      <c r="D273" s="12">
        <v>-2.717283728</v>
      </c>
      <c r="E273" s="12">
        <v>-4.8369462533763325</v>
      </c>
      <c r="F273" s="12">
        <v>2.1196625253763326</v>
      </c>
      <c r="G273" s="12">
        <v>0.19636950010006984</v>
      </c>
      <c r="H273" s="12">
        <v>1.5947227601896807</v>
      </c>
      <c r="I273" s="12">
        <v>-7.9721518496505901</v>
      </c>
      <c r="J273" s="12">
        <v>-1.7017406571020754</v>
      </c>
      <c r="K273" s="12">
        <v>10.911420121178041</v>
      </c>
      <c r="L273" s="12">
        <v>-26.288665813174894</v>
      </c>
      <c r="M273" s="12">
        <v>16.614773306422229</v>
      </c>
    </row>
    <row r="274" spans="2:13" x14ac:dyDescent="0.3">
      <c r="B274" s="3" t="s">
        <v>217</v>
      </c>
      <c r="C274" s="9">
        <v>1</v>
      </c>
      <c r="D274" s="12">
        <v>-1.237941196</v>
      </c>
      <c r="E274" s="12">
        <v>-5.2177184760237409</v>
      </c>
      <c r="F274" s="12">
        <v>3.979777280023741</v>
      </c>
      <c r="G274" s="12">
        <v>0.36869400936789504</v>
      </c>
      <c r="H274" s="12">
        <v>1.5404121898051053</v>
      </c>
      <c r="I274" s="12">
        <v>-8.2461501499227285</v>
      </c>
      <c r="J274" s="12">
        <v>-2.1892868021247529</v>
      </c>
      <c r="K274" s="12">
        <v>10.903614909445499</v>
      </c>
      <c r="L274" s="12">
        <v>-26.654093084264041</v>
      </c>
      <c r="M274" s="12">
        <v>16.218656132216559</v>
      </c>
    </row>
    <row r="275" spans="2:13" x14ac:dyDescent="0.3">
      <c r="B275" s="3" t="s">
        <v>218</v>
      </c>
      <c r="C275" s="9">
        <v>1</v>
      </c>
      <c r="D275" s="12">
        <v>-0.32924901600000001</v>
      </c>
      <c r="E275" s="12">
        <v>2.2069233487371891</v>
      </c>
      <c r="F275" s="12">
        <v>-2.536172364737189</v>
      </c>
      <c r="G275" s="12">
        <v>-0.234955750487985</v>
      </c>
      <c r="H275" s="12">
        <v>1.3825044348631879</v>
      </c>
      <c r="I275" s="12">
        <v>-0.51106359498806109</v>
      </c>
      <c r="J275" s="12">
        <v>4.9249102924624388</v>
      </c>
      <c r="K275" s="12">
        <v>10.882429273438831</v>
      </c>
      <c r="L275" s="12">
        <v>-19.187800556179081</v>
      </c>
      <c r="M275" s="12">
        <v>23.601647253653457</v>
      </c>
    </row>
    <row r="276" spans="2:13" x14ac:dyDescent="0.3">
      <c r="B276" s="3" t="s">
        <v>219</v>
      </c>
      <c r="C276" s="9">
        <v>1</v>
      </c>
      <c r="D276" s="12">
        <v>1.0838445050000001</v>
      </c>
      <c r="E276" s="12">
        <v>4.8200299385792471</v>
      </c>
      <c r="F276" s="12">
        <v>-3.736185433579247</v>
      </c>
      <c r="G276" s="12">
        <v>-0.34612720519879003</v>
      </c>
      <c r="H276" s="12">
        <v>1.1917878132211637</v>
      </c>
      <c r="I276" s="12">
        <v>2.4769895588595636</v>
      </c>
      <c r="J276" s="12">
        <v>7.1630703182989306</v>
      </c>
      <c r="K276" s="12">
        <v>10.859848367759309</v>
      </c>
      <c r="L276" s="12">
        <v>-16.530300179766272</v>
      </c>
      <c r="M276" s="12">
        <v>26.170360056924764</v>
      </c>
    </row>
    <row r="277" spans="2:13" x14ac:dyDescent="0.3">
      <c r="B277" s="3" t="s">
        <v>220</v>
      </c>
      <c r="C277" s="9">
        <v>1</v>
      </c>
      <c r="D277" s="12">
        <v>21.353135529999999</v>
      </c>
      <c r="E277" s="12">
        <v>38.136123290868355</v>
      </c>
      <c r="F277" s="12">
        <v>-16.782987760868355</v>
      </c>
      <c r="G277" s="12">
        <v>-1.55480737019785</v>
      </c>
      <c r="H277" s="12">
        <v>1.8394965210738106</v>
      </c>
      <c r="I277" s="12">
        <v>34.519695450764239</v>
      </c>
      <c r="J277" s="12">
        <v>41.752551130972471</v>
      </c>
      <c r="K277" s="12">
        <v>10.949871954960235</v>
      </c>
      <c r="L277" s="12">
        <v>16.608807892425961</v>
      </c>
      <c r="M277" s="12">
        <v>59.663438689310752</v>
      </c>
    </row>
    <row r="278" spans="2:13" x14ac:dyDescent="0.3">
      <c r="B278" s="3" t="s">
        <v>221</v>
      </c>
      <c r="C278" s="9">
        <v>1</v>
      </c>
      <c r="D278" s="12">
        <v>1.8130356459999999</v>
      </c>
      <c r="E278" s="12">
        <v>-8.3607948959561309</v>
      </c>
      <c r="F278" s="12">
        <v>10.17383054195613</v>
      </c>
      <c r="G278" s="12">
        <v>0.94252268637529735</v>
      </c>
      <c r="H278" s="12">
        <v>2.159107165045433</v>
      </c>
      <c r="I278" s="12">
        <v>-12.605573383974409</v>
      </c>
      <c r="J278" s="12">
        <v>-4.1160164079378534</v>
      </c>
      <c r="K278" s="12">
        <v>11.008073951837922</v>
      </c>
      <c r="L278" s="12">
        <v>-30.002534714040941</v>
      </c>
      <c r="M278" s="12">
        <v>13.280944922128681</v>
      </c>
    </row>
    <row r="279" spans="2:13" x14ac:dyDescent="0.3">
      <c r="B279" s="3" t="s">
        <v>222</v>
      </c>
      <c r="C279" s="9">
        <v>1</v>
      </c>
      <c r="D279" s="12">
        <v>1.6355019470000001</v>
      </c>
      <c r="E279" s="12">
        <v>-1.3107825852997284</v>
      </c>
      <c r="F279" s="12">
        <v>2.9462845322997282</v>
      </c>
      <c r="G279" s="12">
        <v>0.27294930859691729</v>
      </c>
      <c r="H279" s="12">
        <v>1.5896042976123739</v>
      </c>
      <c r="I279" s="12">
        <v>-4.4359253462540806</v>
      </c>
      <c r="J279" s="12">
        <v>1.8143601756546239</v>
      </c>
      <c r="K279" s="12">
        <v>10.910673224048541</v>
      </c>
      <c r="L279" s="12">
        <v>-22.761033754404494</v>
      </c>
      <c r="M279" s="12">
        <v>20.139468583805034</v>
      </c>
    </row>
    <row r="280" spans="2:13" x14ac:dyDescent="0.3">
      <c r="B280" s="3" t="s">
        <v>223</v>
      </c>
      <c r="C280" s="9">
        <v>1</v>
      </c>
      <c r="D280" s="12">
        <v>0.65797057599999997</v>
      </c>
      <c r="E280" s="12">
        <v>1.9183246626933848</v>
      </c>
      <c r="F280" s="12">
        <v>-1.2603540866933849</v>
      </c>
      <c r="G280" s="12">
        <v>-0.1167615594416941</v>
      </c>
      <c r="H280" s="12">
        <v>1.2293872831491941</v>
      </c>
      <c r="I280" s="12">
        <v>-0.49863581867536855</v>
      </c>
      <c r="J280" s="12">
        <v>4.3352851440621381</v>
      </c>
      <c r="K280" s="12">
        <v>10.864038911516793</v>
      </c>
      <c r="L280" s="12">
        <v>-19.440244013831574</v>
      </c>
      <c r="M280" s="12">
        <v>23.27689333921834</v>
      </c>
    </row>
    <row r="281" spans="2:13" x14ac:dyDescent="0.3">
      <c r="B281" s="3" t="s">
        <v>224</v>
      </c>
      <c r="C281" s="9">
        <v>1</v>
      </c>
      <c r="D281" s="12">
        <v>-2.8098391290000002</v>
      </c>
      <c r="E281" s="12">
        <v>-5.0599492738475575</v>
      </c>
      <c r="F281" s="12">
        <v>2.2501101448475573</v>
      </c>
      <c r="G281" s="12">
        <v>0.20845441150371916</v>
      </c>
      <c r="H281" s="12">
        <v>1.4603822094070931</v>
      </c>
      <c r="I281" s="12">
        <v>-7.9310429773624502</v>
      </c>
      <c r="J281" s="12">
        <v>-2.1888555703326653</v>
      </c>
      <c r="K281" s="12">
        <v>10.892596778387363</v>
      </c>
      <c r="L281" s="12">
        <v>-26.474662370120821</v>
      </c>
      <c r="M281" s="12">
        <v>16.354763822425706</v>
      </c>
    </row>
    <row r="282" spans="2:13" x14ac:dyDescent="0.3">
      <c r="B282" s="3" t="s">
        <v>225</v>
      </c>
      <c r="C282" s="9">
        <v>1</v>
      </c>
      <c r="D282" s="12">
        <v>3.2277244380000001</v>
      </c>
      <c r="E282" s="12">
        <v>7.6332204301836208</v>
      </c>
      <c r="F282" s="12">
        <v>-4.4054959921836208</v>
      </c>
      <c r="G282" s="12">
        <v>-0.40813338695241824</v>
      </c>
      <c r="H282" s="12">
        <v>1.3794329724880154</v>
      </c>
      <c r="I282" s="12">
        <v>4.9212719442190416</v>
      </c>
      <c r="J282" s="12">
        <v>10.3451689161482</v>
      </c>
      <c r="K282" s="12">
        <v>10.882039501149091</v>
      </c>
      <c r="L282" s="12">
        <v>-13.760737187140492</v>
      </c>
      <c r="M282" s="12">
        <v>29.027178047507732</v>
      </c>
    </row>
    <row r="283" spans="2:13" x14ac:dyDescent="0.3">
      <c r="B283" s="3" t="s">
        <v>226</v>
      </c>
      <c r="C283" s="9">
        <v>1</v>
      </c>
      <c r="D283" s="12">
        <v>-2.5977562810000001</v>
      </c>
      <c r="E283" s="12">
        <v>-4.8787387849517287</v>
      </c>
      <c r="F283" s="12">
        <v>2.2809825039517286</v>
      </c>
      <c r="G283" s="12">
        <v>0.21131448458215393</v>
      </c>
      <c r="H283" s="12">
        <v>1.5955350416377982</v>
      </c>
      <c r="I283" s="12">
        <v>-8.0155413166968152</v>
      </c>
      <c r="J283" s="12">
        <v>-1.7419362532066414</v>
      </c>
      <c r="K283" s="12">
        <v>10.911538867092769</v>
      </c>
      <c r="L283" s="12">
        <v>-26.330691797777792</v>
      </c>
      <c r="M283" s="12">
        <v>16.573214227874335</v>
      </c>
    </row>
    <row r="284" spans="2:13" x14ac:dyDescent="0.3">
      <c r="B284" s="3" t="s">
        <v>227</v>
      </c>
      <c r="C284" s="9">
        <v>1</v>
      </c>
      <c r="D284" s="12">
        <v>0.69736441599999999</v>
      </c>
      <c r="E284" s="12">
        <v>-7.4646088973634797</v>
      </c>
      <c r="F284" s="12">
        <v>8.1619733133634789</v>
      </c>
      <c r="G284" s="12">
        <v>0.75614047056417</v>
      </c>
      <c r="H284" s="12">
        <v>1.8299334812378225</v>
      </c>
      <c r="I284" s="12">
        <v>-11.062235917187323</v>
      </c>
      <c r="J284" s="12">
        <v>-3.8669818775396365</v>
      </c>
      <c r="K284" s="12">
        <v>10.948269494524567</v>
      </c>
      <c r="L284" s="12">
        <v>-28.988773878033495</v>
      </c>
      <c r="M284" s="12">
        <v>14.059556083306536</v>
      </c>
    </row>
    <row r="285" spans="2:13" x14ac:dyDescent="0.3">
      <c r="B285" s="3" t="s">
        <v>228</v>
      </c>
      <c r="C285" s="9">
        <v>1</v>
      </c>
      <c r="D285" s="12">
        <v>1.0822735459999999</v>
      </c>
      <c r="E285" s="12">
        <v>2.2765898825948763</v>
      </c>
      <c r="F285" s="12">
        <v>-1.1943163365948763</v>
      </c>
      <c r="G285" s="12">
        <v>-0.11064369878258982</v>
      </c>
      <c r="H285" s="12">
        <v>1.3359975899777432</v>
      </c>
      <c r="I285" s="12">
        <v>-0.34996516839651592</v>
      </c>
      <c r="J285" s="12">
        <v>4.9031449335862689</v>
      </c>
      <c r="K285" s="12">
        <v>10.876618865226838</v>
      </c>
      <c r="L285" s="12">
        <v>-19.106710830279717</v>
      </c>
      <c r="M285" s="12">
        <v>23.65989059546947</v>
      </c>
    </row>
    <row r="286" spans="2:13" x14ac:dyDescent="0.3">
      <c r="B286" s="3" t="s">
        <v>229</v>
      </c>
      <c r="C286" s="9">
        <v>1</v>
      </c>
      <c r="D286" s="12">
        <v>86.831721079999994</v>
      </c>
      <c r="E286" s="12">
        <v>47.184008943740594</v>
      </c>
      <c r="F286" s="12">
        <v>39.6477121362594</v>
      </c>
      <c r="G286" s="12">
        <v>3.6730381931559819</v>
      </c>
      <c r="H286" s="12">
        <v>2.075622273706653</v>
      </c>
      <c r="I286" s="12">
        <v>43.103360739094306</v>
      </c>
      <c r="J286" s="12">
        <v>51.264657148386881</v>
      </c>
      <c r="K286" s="12">
        <v>10.992004194053477</v>
      </c>
      <c r="L286" s="12">
        <v>25.573862074470643</v>
      </c>
      <c r="M286" s="12">
        <v>68.794155813010548</v>
      </c>
    </row>
    <row r="287" spans="2:13" x14ac:dyDescent="0.3">
      <c r="B287" s="3" t="s">
        <v>230</v>
      </c>
      <c r="C287" s="9">
        <v>1</v>
      </c>
      <c r="D287" s="12">
        <v>0.14908755900000001</v>
      </c>
      <c r="E287" s="12">
        <v>-10.272686825465689</v>
      </c>
      <c r="F287" s="12">
        <v>10.421774384465689</v>
      </c>
      <c r="G287" s="12">
        <v>0.96549266759806207</v>
      </c>
      <c r="H287" s="12">
        <v>2.2461967996768224</v>
      </c>
      <c r="I287" s="12">
        <v>-14.688682478429513</v>
      </c>
      <c r="J287" s="12">
        <v>-5.8566911725018658</v>
      </c>
      <c r="K287" s="12">
        <v>11.025486313168251</v>
      </c>
      <c r="L287" s="12">
        <v>-31.948659134645503</v>
      </c>
      <c r="M287" s="12">
        <v>11.403285483714127</v>
      </c>
    </row>
    <row r="288" spans="2:13" x14ac:dyDescent="0.3">
      <c r="B288" s="3" t="s">
        <v>231</v>
      </c>
      <c r="C288" s="9">
        <v>1</v>
      </c>
      <c r="D288" s="12">
        <v>4.7710451850000002</v>
      </c>
      <c r="E288" s="12">
        <v>17.130245862457731</v>
      </c>
      <c r="F288" s="12">
        <v>-12.35920067745773</v>
      </c>
      <c r="G288" s="12">
        <v>-1.1449794623499918</v>
      </c>
      <c r="H288" s="12">
        <v>1.2081124029582304</v>
      </c>
      <c r="I288" s="12">
        <v>14.755111537396447</v>
      </c>
      <c r="J288" s="12">
        <v>19.505380187519012</v>
      </c>
      <c r="K288" s="12">
        <v>10.861651990243637</v>
      </c>
      <c r="L288" s="12">
        <v>-4.2236301558069442</v>
      </c>
      <c r="M288" s="12">
        <v>38.484121880722405</v>
      </c>
    </row>
    <row r="289" spans="2:13" x14ac:dyDescent="0.3">
      <c r="B289" s="3" t="s">
        <v>232</v>
      </c>
      <c r="C289" s="9">
        <v>1</v>
      </c>
      <c r="D289" s="12">
        <v>0.53972812699999995</v>
      </c>
      <c r="E289" s="12">
        <v>1.0711795082746995</v>
      </c>
      <c r="F289" s="12">
        <v>-0.5314513812746996</v>
      </c>
      <c r="G289" s="12">
        <v>-4.9234649770427852E-2</v>
      </c>
      <c r="H289" s="12">
        <v>1.4012988979368095</v>
      </c>
      <c r="I289" s="12">
        <v>-1.6837571218025409</v>
      </c>
      <c r="J289" s="12">
        <v>3.82611613835194</v>
      </c>
      <c r="K289" s="12">
        <v>10.884832887111356</v>
      </c>
      <c r="L289" s="12">
        <v>-20.328269871956469</v>
      </c>
      <c r="M289" s="12">
        <v>22.470628888505868</v>
      </c>
    </row>
    <row r="290" spans="2:13" x14ac:dyDescent="0.3">
      <c r="B290" s="3" t="s">
        <v>233</v>
      </c>
      <c r="C290" s="9">
        <v>1</v>
      </c>
      <c r="D290" s="12">
        <v>18.812000640000001</v>
      </c>
      <c r="E290" s="12">
        <v>14.538449335603451</v>
      </c>
      <c r="F290" s="12">
        <v>4.2735513043965501</v>
      </c>
      <c r="G290" s="12">
        <v>0.39590978434048513</v>
      </c>
      <c r="H290" s="12">
        <v>1.4273845257795279</v>
      </c>
      <c r="I290" s="12">
        <v>11.732228677708679</v>
      </c>
      <c r="J290" s="12">
        <v>17.344669993498222</v>
      </c>
      <c r="K290" s="12">
        <v>10.888221845802779</v>
      </c>
      <c r="L290" s="12">
        <v>-6.8676626962936584</v>
      </c>
      <c r="M290" s="12">
        <v>35.944561367500562</v>
      </c>
    </row>
    <row r="291" spans="2:13" x14ac:dyDescent="0.3">
      <c r="B291" s="3" t="s">
        <v>234</v>
      </c>
      <c r="C291" s="9">
        <v>1</v>
      </c>
      <c r="D291" s="12">
        <v>-3.459216316</v>
      </c>
      <c r="E291" s="12">
        <v>-3.6357285102329868</v>
      </c>
      <c r="F291" s="12">
        <v>0.17651219423298681</v>
      </c>
      <c r="G291" s="12">
        <v>1.6352419749905284E-2</v>
      </c>
      <c r="H291" s="12">
        <v>1.7547492884785643</v>
      </c>
      <c r="I291" s="12">
        <v>-7.0855443193720635</v>
      </c>
      <c r="J291" s="12">
        <v>-0.18591270109391012</v>
      </c>
      <c r="K291" s="12">
        <v>10.935954162504434</v>
      </c>
      <c r="L291" s="12">
        <v>-25.135681697584829</v>
      </c>
      <c r="M291" s="12">
        <v>17.864224677118855</v>
      </c>
    </row>
    <row r="292" spans="2:13" x14ac:dyDescent="0.3">
      <c r="B292" s="3" t="s">
        <v>235</v>
      </c>
      <c r="C292" s="9">
        <v>1</v>
      </c>
      <c r="D292" s="12">
        <v>4.6892055079999997</v>
      </c>
      <c r="E292" s="12">
        <v>19.613116171115148</v>
      </c>
      <c r="F292" s="12">
        <v>-14.923910663115148</v>
      </c>
      <c r="G292" s="12">
        <v>-1.3825789914051123</v>
      </c>
      <c r="H292" s="12">
        <v>1.457801352016548</v>
      </c>
      <c r="I292" s="12">
        <v>16.747096401914117</v>
      </c>
      <c r="J292" s="12">
        <v>22.47913594031618</v>
      </c>
      <c r="K292" s="12">
        <v>10.892251060314544</v>
      </c>
      <c r="L292" s="12">
        <v>-1.8009172476218716</v>
      </c>
      <c r="M292" s="12">
        <v>41.027149589852172</v>
      </c>
    </row>
    <row r="293" spans="2:13" x14ac:dyDescent="0.3">
      <c r="B293" s="3" t="s">
        <v>236</v>
      </c>
      <c r="C293" s="9">
        <v>1</v>
      </c>
      <c r="D293" s="12">
        <v>9.017222812</v>
      </c>
      <c r="E293" s="12">
        <v>14.069378027518114</v>
      </c>
      <c r="F293" s="12">
        <v>-5.0521552155181144</v>
      </c>
      <c r="G293" s="12">
        <v>-0.46804110664885845</v>
      </c>
      <c r="H293" s="12">
        <v>1.1177289630535814</v>
      </c>
      <c r="I293" s="12">
        <v>11.871936448602794</v>
      </c>
      <c r="J293" s="12">
        <v>16.266819606433437</v>
      </c>
      <c r="K293" s="12">
        <v>10.851970623524139</v>
      </c>
      <c r="L293" s="12">
        <v>-7.265464541249079</v>
      </c>
      <c r="M293" s="12">
        <v>35.404220596285306</v>
      </c>
    </row>
    <row r="294" spans="2:13" x14ac:dyDescent="0.3">
      <c r="B294" s="3" t="s">
        <v>237</v>
      </c>
      <c r="C294" s="9">
        <v>1</v>
      </c>
      <c r="D294" s="12">
        <v>3.8244264349999999</v>
      </c>
      <c r="E294" s="12">
        <v>12.129001410873077</v>
      </c>
      <c r="F294" s="12">
        <v>-8.3045749758730771</v>
      </c>
      <c r="G294" s="12">
        <v>-0.76935135524284159</v>
      </c>
      <c r="H294" s="12">
        <v>1.2786825497585721</v>
      </c>
      <c r="I294" s="12">
        <v>9.6151270334957335</v>
      </c>
      <c r="J294" s="12">
        <v>14.64287578825042</v>
      </c>
      <c r="K294" s="12">
        <v>10.86972756981697</v>
      </c>
      <c r="L294" s="12">
        <v>-9.2407510988442318</v>
      </c>
      <c r="M294" s="12">
        <v>33.498753920590389</v>
      </c>
    </row>
    <row r="295" spans="2:13" x14ac:dyDescent="0.3">
      <c r="B295" s="3" t="s">
        <v>238</v>
      </c>
      <c r="C295" s="9">
        <v>1</v>
      </c>
      <c r="D295" s="12">
        <v>-3.3857788910000002</v>
      </c>
      <c r="E295" s="12">
        <v>-10.779624694586509</v>
      </c>
      <c r="F295" s="12">
        <v>7.3938458035865091</v>
      </c>
      <c r="G295" s="12">
        <v>0.68497970166713296</v>
      </c>
      <c r="H295" s="12">
        <v>1.8794508053282954</v>
      </c>
      <c r="I295" s="12">
        <v>-14.474602172732343</v>
      </c>
      <c r="J295" s="12">
        <v>-7.0846472164406746</v>
      </c>
      <c r="K295" s="12">
        <v>10.956654768159449</v>
      </c>
      <c r="L295" s="12">
        <v>-32.320275021476355</v>
      </c>
      <c r="M295" s="12">
        <v>10.761025632303337</v>
      </c>
    </row>
    <row r="296" spans="2:13" x14ac:dyDescent="0.3">
      <c r="B296" s="3" t="s">
        <v>239</v>
      </c>
      <c r="C296" s="9">
        <v>1</v>
      </c>
      <c r="D296" s="12">
        <v>0.78671035199999995</v>
      </c>
      <c r="E296" s="12">
        <v>6.0002268126731551</v>
      </c>
      <c r="F296" s="12">
        <v>-5.213516460673155</v>
      </c>
      <c r="G296" s="12">
        <v>-0.48298991414404896</v>
      </c>
      <c r="H296" s="12">
        <v>1.1626988750779499</v>
      </c>
      <c r="I296" s="12">
        <v>3.7143749323798119</v>
      </c>
      <c r="J296" s="12">
        <v>8.2860786929664982</v>
      </c>
      <c r="K296" s="12">
        <v>10.85669457307746</v>
      </c>
      <c r="L296" s="12">
        <v>-15.343902983595783</v>
      </c>
      <c r="M296" s="12">
        <v>27.344356608942093</v>
      </c>
    </row>
    <row r="297" spans="2:13" x14ac:dyDescent="0.3">
      <c r="B297" s="3" t="s">
        <v>240</v>
      </c>
      <c r="C297" s="9">
        <v>1</v>
      </c>
      <c r="D297" s="12">
        <v>2.3291514449999999</v>
      </c>
      <c r="E297" s="12">
        <v>8.3121374480515815</v>
      </c>
      <c r="F297" s="12">
        <v>-5.9829860030515816</v>
      </c>
      <c r="G297" s="12">
        <v>-0.55427501145087343</v>
      </c>
      <c r="H297" s="12">
        <v>1.317631155854021</v>
      </c>
      <c r="I297" s="12">
        <v>5.7216905836903518</v>
      </c>
      <c r="J297" s="12">
        <v>10.902584312412811</v>
      </c>
      <c r="K297" s="12">
        <v>10.874378154260556</v>
      </c>
      <c r="L297" s="12">
        <v>-13.06675805425194</v>
      </c>
      <c r="M297" s="12">
        <v>29.691032950355101</v>
      </c>
    </row>
    <row r="298" spans="2:13" x14ac:dyDescent="0.3">
      <c r="B298" s="3" t="s">
        <v>241</v>
      </c>
      <c r="C298" s="9">
        <v>1</v>
      </c>
      <c r="D298" s="12">
        <v>4.5211526700000002</v>
      </c>
      <c r="E298" s="12">
        <v>8.2810699667037362</v>
      </c>
      <c r="F298" s="12">
        <v>-3.759917296703736</v>
      </c>
      <c r="G298" s="12">
        <v>-0.34832576937700599</v>
      </c>
      <c r="H298" s="12">
        <v>1.4583653077227672</v>
      </c>
      <c r="I298" s="12">
        <v>5.4139414674272794</v>
      </c>
      <c r="J298" s="12">
        <v>11.148198465980194</v>
      </c>
      <c r="K298" s="12">
        <v>10.892326553576666</v>
      </c>
      <c r="L298" s="12">
        <v>-13.133111870870586</v>
      </c>
      <c r="M298" s="12">
        <v>29.695251804278058</v>
      </c>
    </row>
    <row r="299" spans="2:13" x14ac:dyDescent="0.3">
      <c r="B299" s="3" t="s">
        <v>242</v>
      </c>
      <c r="C299" s="9">
        <v>1</v>
      </c>
      <c r="D299" s="12">
        <v>-0.32453197299999997</v>
      </c>
      <c r="E299" s="12">
        <v>-5.6071319937640389</v>
      </c>
      <c r="F299" s="12">
        <v>5.2826000207640389</v>
      </c>
      <c r="G299" s="12">
        <v>0.4893899443364832</v>
      </c>
      <c r="H299" s="12">
        <v>1.3234785992449181</v>
      </c>
      <c r="I299" s="12">
        <v>-8.2090748608792872</v>
      </c>
      <c r="J299" s="12">
        <v>-3.0051891266487898</v>
      </c>
      <c r="K299" s="12">
        <v>10.875088228683081</v>
      </c>
      <c r="L299" s="12">
        <v>-26.987423493766247</v>
      </c>
      <c r="M299" s="12">
        <v>15.773159506238169</v>
      </c>
    </row>
    <row r="300" spans="2:13" x14ac:dyDescent="0.3">
      <c r="B300" s="3" t="s">
        <v>243</v>
      </c>
      <c r="C300" s="9">
        <v>1</v>
      </c>
      <c r="D300" s="12">
        <v>9.1387086899999996</v>
      </c>
      <c r="E300" s="12">
        <v>13.915729911004364</v>
      </c>
      <c r="F300" s="12">
        <v>-4.7770212210043645</v>
      </c>
      <c r="G300" s="12">
        <v>-0.4425521788990941</v>
      </c>
      <c r="H300" s="12">
        <v>1.3528937091534141</v>
      </c>
      <c r="I300" s="12">
        <v>11.255957294729976</v>
      </c>
      <c r="J300" s="12">
        <v>16.575502527278751</v>
      </c>
      <c r="K300" s="12">
        <v>10.878707173522455</v>
      </c>
      <c r="L300" s="12">
        <v>-7.4716763906400221</v>
      </c>
      <c r="M300" s="12">
        <v>35.303136212648752</v>
      </c>
    </row>
    <row r="301" spans="2:13" x14ac:dyDescent="0.3">
      <c r="B301" s="3" t="s">
        <v>244</v>
      </c>
      <c r="C301" s="9">
        <v>1</v>
      </c>
      <c r="D301" s="12">
        <v>3.8808306000000001E-2</v>
      </c>
      <c r="E301" s="12">
        <v>-12.68618228707021</v>
      </c>
      <c r="F301" s="12">
        <v>12.72499059307021</v>
      </c>
      <c r="G301" s="12">
        <v>1.1788669241560716</v>
      </c>
      <c r="H301" s="12">
        <v>1.8266606435066985</v>
      </c>
      <c r="I301" s="12">
        <v>-16.277374947627056</v>
      </c>
      <c r="J301" s="12">
        <v>-9.0949896265133638</v>
      </c>
      <c r="K301" s="12">
        <v>10.947722936095813</v>
      </c>
      <c r="L301" s="12">
        <v>-34.209272740501198</v>
      </c>
      <c r="M301" s="12">
        <v>8.8369081663607787</v>
      </c>
    </row>
    <row r="302" spans="2:13" x14ac:dyDescent="0.3">
      <c r="B302" s="3" t="s">
        <v>245</v>
      </c>
      <c r="C302" s="9">
        <v>1</v>
      </c>
      <c r="D302" s="12">
        <v>3.6518295919999999</v>
      </c>
      <c r="E302" s="12">
        <v>10.601990615679995</v>
      </c>
      <c r="F302" s="12">
        <v>-6.9501610236799944</v>
      </c>
      <c r="G302" s="12">
        <v>-0.64387591397018196</v>
      </c>
      <c r="H302" s="12">
        <v>1.2603554050731569</v>
      </c>
      <c r="I302" s="12">
        <v>8.1241471823738376</v>
      </c>
      <c r="J302" s="12">
        <v>13.079834048986152</v>
      </c>
      <c r="K302" s="12">
        <v>10.867586858455706</v>
      </c>
      <c r="L302" s="12">
        <v>-10.763553281476316</v>
      </c>
      <c r="M302" s="12">
        <v>31.967534512836306</v>
      </c>
    </row>
    <row r="303" spans="2:13" x14ac:dyDescent="0.3">
      <c r="B303" s="3" t="s">
        <v>246</v>
      </c>
      <c r="C303" s="9">
        <v>1</v>
      </c>
      <c r="D303" s="12">
        <v>-1.0213734779999999</v>
      </c>
      <c r="E303" s="12">
        <v>4.0777066139280134</v>
      </c>
      <c r="F303" s="12">
        <v>-5.0990800919280135</v>
      </c>
      <c r="G303" s="12">
        <v>-0.47238831494855393</v>
      </c>
      <c r="H303" s="12">
        <v>1.1606216477199289</v>
      </c>
      <c r="I303" s="12">
        <v>1.7959385374156027</v>
      </c>
      <c r="J303" s="12">
        <v>6.3594746904404236</v>
      </c>
      <c r="K303" s="12">
        <v>10.856472308634059</v>
      </c>
      <c r="L303" s="12">
        <v>-17.265986213142142</v>
      </c>
      <c r="M303" s="12">
        <v>25.421399440998165</v>
      </c>
    </row>
    <row r="304" spans="2:13" x14ac:dyDescent="0.3">
      <c r="B304" s="3" t="s">
        <v>247</v>
      </c>
      <c r="C304" s="9">
        <v>1</v>
      </c>
      <c r="D304" s="12">
        <v>12.838997750000001</v>
      </c>
      <c r="E304" s="12">
        <v>24.402151631626133</v>
      </c>
      <c r="F304" s="12">
        <v>-11.563153881626132</v>
      </c>
      <c r="G304" s="12">
        <v>-1.0712321985840487</v>
      </c>
      <c r="H304" s="12">
        <v>1.4758329991625374</v>
      </c>
      <c r="I304" s="12">
        <v>21.500681862930879</v>
      </c>
      <c r="J304" s="12">
        <v>27.303621400321386</v>
      </c>
      <c r="K304" s="12">
        <v>10.894679041642261</v>
      </c>
      <c r="L304" s="12">
        <v>2.9833448310597817</v>
      </c>
      <c r="M304" s="12">
        <v>45.820958432192484</v>
      </c>
    </row>
    <row r="305" spans="2:13" x14ac:dyDescent="0.3">
      <c r="B305" s="3" t="s">
        <v>248</v>
      </c>
      <c r="C305" s="9">
        <v>1</v>
      </c>
      <c r="D305" s="12">
        <v>-1.480576669</v>
      </c>
      <c r="E305" s="12">
        <v>-12.466125731264848</v>
      </c>
      <c r="F305" s="12">
        <v>10.985549062264848</v>
      </c>
      <c r="G305" s="12">
        <v>1.0177218080027797</v>
      </c>
      <c r="H305" s="12">
        <v>1.4798116635390892</v>
      </c>
      <c r="I305" s="12">
        <v>-15.375417505847555</v>
      </c>
      <c r="J305" s="12">
        <v>-9.5568339566821408</v>
      </c>
      <c r="K305" s="12">
        <v>10.895218719168897</v>
      </c>
      <c r="L305" s="12">
        <v>-33.885993531300151</v>
      </c>
      <c r="M305" s="12">
        <v>8.9537420687704579</v>
      </c>
    </row>
    <row r="306" spans="2:13" x14ac:dyDescent="0.3">
      <c r="B306" s="3" t="s">
        <v>249</v>
      </c>
      <c r="C306" s="9">
        <v>1</v>
      </c>
      <c r="D306" s="12">
        <v>-1.0497330140000001</v>
      </c>
      <c r="E306" s="12">
        <v>-11.592192894049317</v>
      </c>
      <c r="F306" s="12">
        <v>10.542459880049318</v>
      </c>
      <c r="G306" s="12">
        <v>0.97667319758968363</v>
      </c>
      <c r="H306" s="12">
        <v>1.6453936288580053</v>
      </c>
      <c r="I306" s="12">
        <v>-14.82701680328859</v>
      </c>
      <c r="J306" s="12">
        <v>-8.3573689848100443</v>
      </c>
      <c r="K306" s="12">
        <v>10.91894081735351</v>
      </c>
      <c r="L306" s="12">
        <v>-33.058698051273232</v>
      </c>
      <c r="M306" s="12">
        <v>9.8743122631745965</v>
      </c>
    </row>
    <row r="307" spans="2:13" x14ac:dyDescent="0.3">
      <c r="B307" s="3" t="s">
        <v>250</v>
      </c>
      <c r="C307" s="9">
        <v>1</v>
      </c>
      <c r="D307" s="12">
        <v>-1.1957343030000001</v>
      </c>
      <c r="E307" s="12">
        <v>-13.928112877661491</v>
      </c>
      <c r="F307" s="12">
        <v>12.732378574661491</v>
      </c>
      <c r="G307" s="12">
        <v>1.1795513605861447</v>
      </c>
      <c r="H307" s="12">
        <v>1.7653556939394914</v>
      </c>
      <c r="I307" s="12">
        <v>-17.39878075123934</v>
      </c>
      <c r="J307" s="12">
        <v>-10.457445004083642</v>
      </c>
      <c r="K307" s="12">
        <v>10.937661043619272</v>
      </c>
      <c r="L307" s="12">
        <v>-35.431421772573927</v>
      </c>
      <c r="M307" s="12">
        <v>7.5751960172509456</v>
      </c>
    </row>
    <row r="308" spans="2:13" x14ac:dyDescent="0.3">
      <c r="B308" s="3" t="s">
        <v>251</v>
      </c>
      <c r="C308" s="9">
        <v>1</v>
      </c>
      <c r="D308" s="12">
        <v>2.449204715</v>
      </c>
      <c r="E308" s="12">
        <v>9.0732627839206508</v>
      </c>
      <c r="F308" s="12">
        <v>-6.6240580689206503</v>
      </c>
      <c r="G308" s="12">
        <v>-0.61366512643178417</v>
      </c>
      <c r="H308" s="12">
        <v>1.3852212200620142</v>
      </c>
      <c r="I308" s="12">
        <v>6.3499346734597966</v>
      </c>
      <c r="J308" s="12">
        <v>11.796590894381506</v>
      </c>
      <c r="K308" s="12">
        <v>10.8827747476226</v>
      </c>
      <c r="L308" s="12">
        <v>-12.322140319048948</v>
      </c>
      <c r="M308" s="12">
        <v>30.46866588689025</v>
      </c>
    </row>
    <row r="309" spans="2:13" x14ac:dyDescent="0.3">
      <c r="B309" s="3" t="s">
        <v>252</v>
      </c>
      <c r="C309" s="9">
        <v>1</v>
      </c>
      <c r="D309" s="12">
        <v>-3.287049406</v>
      </c>
      <c r="E309" s="12">
        <v>-2.4680671772864864</v>
      </c>
      <c r="F309" s="12">
        <v>-0.81898222871351356</v>
      </c>
      <c r="G309" s="12">
        <v>-7.5872045157169818E-2</v>
      </c>
      <c r="H309" s="12">
        <v>1.7628307189336667</v>
      </c>
      <c r="I309" s="12">
        <v>-5.9337709806407606</v>
      </c>
      <c r="J309" s="12">
        <v>0.99763662606778825</v>
      </c>
      <c r="K309" s="12">
        <v>10.937253792547663</v>
      </c>
      <c r="L309" s="12">
        <v>-23.970575421533695</v>
      </c>
      <c r="M309" s="12">
        <v>19.034441066960724</v>
      </c>
    </row>
    <row r="310" spans="2:13" x14ac:dyDescent="0.3">
      <c r="B310" s="3" t="s">
        <v>253</v>
      </c>
      <c r="C310" s="9">
        <v>1</v>
      </c>
      <c r="D310" s="12">
        <v>8.9358933599999997</v>
      </c>
      <c r="E310" s="12">
        <v>17.576821660730989</v>
      </c>
      <c r="F310" s="12">
        <v>-8.6409283007309892</v>
      </c>
      <c r="G310" s="12">
        <v>-0.80051175623526749</v>
      </c>
      <c r="H310" s="12">
        <v>1.3236152290171597</v>
      </c>
      <c r="I310" s="12">
        <v>14.974610181141369</v>
      </c>
      <c r="J310" s="12">
        <v>20.179033140320609</v>
      </c>
      <c r="K310" s="12">
        <v>10.875104857125203</v>
      </c>
      <c r="L310" s="12">
        <v>-3.8035025305866625</v>
      </c>
      <c r="M310" s="12">
        <v>38.95714585204864</v>
      </c>
    </row>
    <row r="311" spans="2:13" x14ac:dyDescent="0.3">
      <c r="B311" s="3" t="s">
        <v>254</v>
      </c>
      <c r="C311" s="9">
        <v>1</v>
      </c>
      <c r="D311" s="12">
        <v>2.5661440670000002</v>
      </c>
      <c r="E311" s="12">
        <v>8.0434285485344432</v>
      </c>
      <c r="F311" s="12">
        <v>-5.4772844815344435</v>
      </c>
      <c r="G311" s="12">
        <v>-0.50742587684038432</v>
      </c>
      <c r="H311" s="12">
        <v>1.3805267352758916</v>
      </c>
      <c r="I311" s="12">
        <v>5.3293297382005438</v>
      </c>
      <c r="J311" s="12">
        <v>10.757527358868343</v>
      </c>
      <c r="K311" s="12">
        <v>10.882178203181271</v>
      </c>
      <c r="L311" s="12">
        <v>-13.350801755301934</v>
      </c>
      <c r="M311" s="12">
        <v>29.43765885237082</v>
      </c>
    </row>
    <row r="312" spans="2:13" x14ac:dyDescent="0.3">
      <c r="B312" s="3" t="s">
        <v>255</v>
      </c>
      <c r="C312" s="9">
        <v>1</v>
      </c>
      <c r="D312" s="12">
        <v>2.380080779</v>
      </c>
      <c r="E312" s="12">
        <v>8.1910505625414043</v>
      </c>
      <c r="F312" s="12">
        <v>-5.8109697835414043</v>
      </c>
      <c r="G312" s="12">
        <v>-0.53833910720672007</v>
      </c>
      <c r="H312" s="12">
        <v>1.300857327490512</v>
      </c>
      <c r="I312" s="12">
        <v>5.6335808412103283</v>
      </c>
      <c r="J312" s="12">
        <v>10.74852028387248</v>
      </c>
      <c r="K312" s="12">
        <v>10.872358445409523</v>
      </c>
      <c r="L312" s="12">
        <v>-13.183874216667997</v>
      </c>
      <c r="M312" s="12">
        <v>29.565975341750807</v>
      </c>
    </row>
    <row r="313" spans="2:13" x14ac:dyDescent="0.3">
      <c r="B313" s="3" t="s">
        <v>256</v>
      </c>
      <c r="C313" s="9">
        <v>1</v>
      </c>
      <c r="D313" s="12">
        <v>1.5173811290000001</v>
      </c>
      <c r="E313" s="12">
        <v>3.8602024290152013</v>
      </c>
      <c r="F313" s="12">
        <v>-2.3428213000152009</v>
      </c>
      <c r="G313" s="12">
        <v>-0.21704334628744745</v>
      </c>
      <c r="H313" s="12">
        <v>1.244798040598611</v>
      </c>
      <c r="I313" s="12">
        <v>1.4129445854939879</v>
      </c>
      <c r="J313" s="12">
        <v>6.3074602725364146</v>
      </c>
      <c r="K313" s="12">
        <v>10.865793599220453</v>
      </c>
      <c r="L313" s="12">
        <v>-17.501815942243887</v>
      </c>
      <c r="M313" s="12">
        <v>25.222220800274293</v>
      </c>
    </row>
    <row r="314" spans="2:13" x14ac:dyDescent="0.3">
      <c r="B314" s="3" t="s">
        <v>257</v>
      </c>
      <c r="C314" s="9">
        <v>1</v>
      </c>
      <c r="D314" s="12">
        <v>-0.82047012500000005</v>
      </c>
      <c r="E314" s="12">
        <v>2.9289837482640211</v>
      </c>
      <c r="F314" s="12">
        <v>-3.749453873264021</v>
      </c>
      <c r="G314" s="12">
        <v>-0.34735641826304631</v>
      </c>
      <c r="H314" s="12">
        <v>1.2617379843012861</v>
      </c>
      <c r="I314" s="12">
        <v>0.44842218097148567</v>
      </c>
      <c r="J314" s="12">
        <v>5.4095453155565565</v>
      </c>
      <c r="K314" s="12">
        <v>10.867747288192282</v>
      </c>
      <c r="L314" s="12">
        <v>-18.436875551807756</v>
      </c>
      <c r="M314" s="12">
        <v>24.294843048335796</v>
      </c>
    </row>
    <row r="315" spans="2:13" x14ac:dyDescent="0.3">
      <c r="B315" s="3" t="s">
        <v>258</v>
      </c>
      <c r="C315" s="9">
        <v>1</v>
      </c>
      <c r="D315" s="12">
        <v>21.324015410000001</v>
      </c>
      <c r="E315" s="12">
        <v>36.567704080440109</v>
      </c>
      <c r="F315" s="12">
        <v>-15.243688670440108</v>
      </c>
      <c r="G315" s="12">
        <v>-1.4122038239855959</v>
      </c>
      <c r="H315" s="12">
        <v>1.9864161340957722</v>
      </c>
      <c r="I315" s="12">
        <v>32.662434063847513</v>
      </c>
      <c r="J315" s="12">
        <v>40.472974097032704</v>
      </c>
      <c r="K315" s="12">
        <v>10.975508983039376</v>
      </c>
      <c r="L315" s="12">
        <v>14.9899865958721</v>
      </c>
      <c r="M315" s="12">
        <v>58.145421565008121</v>
      </c>
    </row>
    <row r="316" spans="2:13" x14ac:dyDescent="0.3">
      <c r="B316" s="3" t="s">
        <v>259</v>
      </c>
      <c r="C316" s="9">
        <v>1</v>
      </c>
      <c r="D316" s="12">
        <v>6.5683087569999996</v>
      </c>
      <c r="E316" s="12">
        <v>12.625994905111218</v>
      </c>
      <c r="F316" s="12">
        <v>-6.0576861481112187</v>
      </c>
      <c r="G316" s="12">
        <v>-0.56119537257777463</v>
      </c>
      <c r="H316" s="12">
        <v>1.4349488180834755</v>
      </c>
      <c r="I316" s="12">
        <v>9.8049029403315</v>
      </c>
      <c r="J316" s="12">
        <v>15.447086869890937</v>
      </c>
      <c r="K316" s="12">
        <v>10.889216064047091</v>
      </c>
      <c r="L316" s="12">
        <v>-8.7820717477904306</v>
      </c>
      <c r="M316" s="12">
        <v>34.034061558012866</v>
      </c>
    </row>
    <row r="317" spans="2:13" x14ac:dyDescent="0.3">
      <c r="B317" s="3" t="s">
        <v>260</v>
      </c>
      <c r="C317" s="9">
        <v>1</v>
      </c>
      <c r="D317" s="12">
        <v>8.8799946369999994</v>
      </c>
      <c r="E317" s="12">
        <v>27.628046493481314</v>
      </c>
      <c r="F317" s="12">
        <v>-18.748051856481315</v>
      </c>
      <c r="G317" s="12">
        <v>-1.7368545826670154</v>
      </c>
      <c r="H317" s="12">
        <v>1.9204436965359262</v>
      </c>
      <c r="I317" s="12">
        <v>23.85247748862626</v>
      </c>
      <c r="J317" s="12">
        <v>31.403615498336368</v>
      </c>
      <c r="K317" s="12">
        <v>10.963760867993546</v>
      </c>
      <c r="L317" s="12">
        <v>6.0734256605425685</v>
      </c>
      <c r="M317" s="12">
        <v>49.182667326420059</v>
      </c>
    </row>
    <row r="318" spans="2:13" x14ac:dyDescent="0.3">
      <c r="B318" s="3" t="s">
        <v>261</v>
      </c>
      <c r="C318" s="9">
        <v>1</v>
      </c>
      <c r="D318" s="12">
        <v>16.077974959999999</v>
      </c>
      <c r="E318" s="12">
        <v>11.538391796934123</v>
      </c>
      <c r="F318" s="12">
        <v>4.5395831630658758</v>
      </c>
      <c r="G318" s="12">
        <v>0.4205554732047127</v>
      </c>
      <c r="H318" s="12">
        <v>1.6148853321751748</v>
      </c>
      <c r="I318" s="12">
        <v>8.3635468287876762</v>
      </c>
      <c r="J318" s="12">
        <v>14.71323676508057</v>
      </c>
      <c r="K318" s="12">
        <v>10.914385141411152</v>
      </c>
      <c r="L318" s="12">
        <v>-9.9191569566653808</v>
      </c>
      <c r="M318" s="12">
        <v>32.995940550533625</v>
      </c>
    </row>
    <row r="319" spans="2:13" x14ac:dyDescent="0.3">
      <c r="B319" s="3" t="s">
        <v>262</v>
      </c>
      <c r="C319" s="9">
        <v>1</v>
      </c>
      <c r="D319" s="12">
        <v>4.6649301660000004</v>
      </c>
      <c r="E319" s="12">
        <v>17.099369115672612</v>
      </c>
      <c r="F319" s="12">
        <v>-12.434438949672611</v>
      </c>
      <c r="G319" s="12">
        <v>-1.1519496765828474</v>
      </c>
      <c r="H319" s="12">
        <v>1.170766879283625</v>
      </c>
      <c r="I319" s="12">
        <v>14.797655637007532</v>
      </c>
      <c r="J319" s="12">
        <v>19.401082594337694</v>
      </c>
      <c r="K319" s="12">
        <v>10.85756158005146</v>
      </c>
      <c r="L319" s="12">
        <v>-4.246465205787004</v>
      </c>
      <c r="M319" s="12">
        <v>38.445203437132228</v>
      </c>
    </row>
    <row r="320" spans="2:13" x14ac:dyDescent="0.3">
      <c r="B320" s="3" t="s">
        <v>263</v>
      </c>
      <c r="C320" s="9">
        <v>1</v>
      </c>
      <c r="D320" s="12">
        <v>-0.460503106</v>
      </c>
      <c r="E320" s="12">
        <v>-7.7337442347077721</v>
      </c>
      <c r="F320" s="12">
        <v>7.2732411287077721</v>
      </c>
      <c r="G320" s="12">
        <v>0.67380665905674653</v>
      </c>
      <c r="H320" s="12">
        <v>1.3353684723415804</v>
      </c>
      <c r="I320" s="12">
        <v>-10.35906244806014</v>
      </c>
      <c r="J320" s="12">
        <v>-5.1084260213554042</v>
      </c>
      <c r="K320" s="12">
        <v>10.876541607326564</v>
      </c>
      <c r="L320" s="12">
        <v>-29.116893059487868</v>
      </c>
      <c r="M320" s="12">
        <v>13.649404590072326</v>
      </c>
    </row>
    <row r="321" spans="2:13" x14ac:dyDescent="0.3">
      <c r="B321" s="3" t="s">
        <v>264</v>
      </c>
      <c r="C321" s="9">
        <v>1</v>
      </c>
      <c r="D321" s="12">
        <v>-1.490625318</v>
      </c>
      <c r="E321" s="12">
        <v>-4.3066640954386104</v>
      </c>
      <c r="F321" s="12">
        <v>2.8160387774386102</v>
      </c>
      <c r="G321" s="12">
        <v>0.26088309830823325</v>
      </c>
      <c r="H321" s="12">
        <v>1.5906705969589021</v>
      </c>
      <c r="I321" s="12">
        <v>-7.4339031879698325</v>
      </c>
      <c r="J321" s="12">
        <v>-1.1794250029073883</v>
      </c>
      <c r="K321" s="12">
        <v>10.91082862696558</v>
      </c>
      <c r="L321" s="12">
        <v>-25.757220784792626</v>
      </c>
      <c r="M321" s="12">
        <v>17.143892593915407</v>
      </c>
    </row>
    <row r="322" spans="2:13" x14ac:dyDescent="0.3">
      <c r="B322" s="3" t="s">
        <v>265</v>
      </c>
      <c r="C322" s="9">
        <v>1</v>
      </c>
      <c r="D322" s="12">
        <v>53.688632269999999</v>
      </c>
      <c r="E322" s="12">
        <v>31.114177525084209</v>
      </c>
      <c r="F322" s="12">
        <v>22.574454744915791</v>
      </c>
      <c r="G322" s="12">
        <v>2.0913397015893951</v>
      </c>
      <c r="H322" s="12">
        <v>1.6414202513790863</v>
      </c>
      <c r="I322" s="12">
        <v>27.887165227755794</v>
      </c>
      <c r="J322" s="12">
        <v>34.341189822412623</v>
      </c>
      <c r="K322" s="12">
        <v>10.918342768965417</v>
      </c>
      <c r="L322" s="12">
        <v>9.6488481237346093</v>
      </c>
      <c r="M322" s="12">
        <v>52.579506926433808</v>
      </c>
    </row>
    <row r="323" spans="2:13" x14ac:dyDescent="0.3">
      <c r="B323" s="3" t="s">
        <v>266</v>
      </c>
      <c r="C323" s="9">
        <v>1</v>
      </c>
      <c r="D323" s="12">
        <v>-0.44986030399999999</v>
      </c>
      <c r="E323" s="12">
        <v>0.97173666689866689</v>
      </c>
      <c r="F323" s="12">
        <v>-1.4215969708986669</v>
      </c>
      <c r="G323" s="12">
        <v>-0.13169940175716507</v>
      </c>
      <c r="H323" s="12">
        <v>1.3369743291509006</v>
      </c>
      <c r="I323" s="12">
        <v>-1.6567386414554655</v>
      </c>
      <c r="J323" s="12">
        <v>3.6002119752527992</v>
      </c>
      <c r="K323" s="12">
        <v>10.876738883313809</v>
      </c>
      <c r="L323" s="12">
        <v>-20.411800000078621</v>
      </c>
      <c r="M323" s="12">
        <v>22.355273333875957</v>
      </c>
    </row>
    <row r="324" spans="2:13" x14ac:dyDescent="0.3">
      <c r="B324" s="3" t="s">
        <v>267</v>
      </c>
      <c r="C324" s="9">
        <v>1</v>
      </c>
      <c r="D324" s="12">
        <v>-0.98298052999999996</v>
      </c>
      <c r="E324" s="12">
        <v>-7.0211273552364446</v>
      </c>
      <c r="F324" s="12">
        <v>6.0381468252364447</v>
      </c>
      <c r="G324" s="12">
        <v>0.55938521316830347</v>
      </c>
      <c r="H324" s="12">
        <v>1.435162637830286</v>
      </c>
      <c r="I324" s="12">
        <v>-9.8426396870439188</v>
      </c>
      <c r="J324" s="12">
        <v>-4.1996150234289704</v>
      </c>
      <c r="K324" s="12">
        <v>10.889244242646319</v>
      </c>
      <c r="L324" s="12">
        <v>-28.429249406922256</v>
      </c>
      <c r="M324" s="12">
        <v>14.386994696449367</v>
      </c>
    </row>
    <row r="325" spans="2:13" x14ac:dyDescent="0.3">
      <c r="B325" s="3" t="s">
        <v>268</v>
      </c>
      <c r="C325" s="9">
        <v>1</v>
      </c>
      <c r="D325" s="12">
        <v>-1.282081147</v>
      </c>
      <c r="E325" s="12">
        <v>-1.7845829146483689</v>
      </c>
      <c r="F325" s="12">
        <v>0.50250176764836896</v>
      </c>
      <c r="G325" s="12">
        <v>4.6552703428576377E-2</v>
      </c>
      <c r="H325" s="12">
        <v>1.4272356881644621</v>
      </c>
      <c r="I325" s="12">
        <v>-4.590510959597907</v>
      </c>
      <c r="J325" s="12">
        <v>1.0213451303011691</v>
      </c>
      <c r="K325" s="12">
        <v>10.88820233502998</v>
      </c>
      <c r="L325" s="12">
        <v>-23.190656588602899</v>
      </c>
      <c r="M325" s="12">
        <v>19.621490759306162</v>
      </c>
    </row>
    <row r="326" spans="2:13" x14ac:dyDescent="0.3">
      <c r="B326" s="3" t="s">
        <v>269</v>
      </c>
      <c r="C326" s="9">
        <v>1</v>
      </c>
      <c r="D326" s="12">
        <v>5.3785252520000002</v>
      </c>
      <c r="E326" s="12">
        <v>18.663591978953953</v>
      </c>
      <c r="F326" s="12">
        <v>-13.285066726953954</v>
      </c>
      <c r="G326" s="12">
        <v>-1.2307534245362224</v>
      </c>
      <c r="H326" s="12">
        <v>1.6565443466961092</v>
      </c>
      <c r="I326" s="12">
        <v>15.406845893747029</v>
      </c>
      <c r="J326" s="12">
        <v>21.920338064160877</v>
      </c>
      <c r="K326" s="12">
        <v>10.920626701410175</v>
      </c>
      <c r="L326" s="12">
        <v>-2.8062276058689584</v>
      </c>
      <c r="M326" s="12">
        <v>40.13341156377686</v>
      </c>
    </row>
    <row r="327" spans="2:13" x14ac:dyDescent="0.3">
      <c r="B327" s="3" t="s">
        <v>270</v>
      </c>
      <c r="C327" s="9">
        <v>1</v>
      </c>
      <c r="D327" s="12">
        <v>8.8073771480000005</v>
      </c>
      <c r="E327" s="12">
        <v>27.626390224627137</v>
      </c>
      <c r="F327" s="12">
        <v>-18.819013076627137</v>
      </c>
      <c r="G327" s="12">
        <v>-1.7434285627981458</v>
      </c>
      <c r="H327" s="12">
        <v>1.8558461852928823</v>
      </c>
      <c r="I327" s="12">
        <v>23.977819143054052</v>
      </c>
      <c r="J327" s="12">
        <v>31.274961306200222</v>
      </c>
      <c r="K327" s="12">
        <v>10.952630434852086</v>
      </c>
      <c r="L327" s="12">
        <v>6.0936516881885758</v>
      </c>
      <c r="M327" s="12">
        <v>49.159128761065702</v>
      </c>
    </row>
    <row r="328" spans="2:13" x14ac:dyDescent="0.3">
      <c r="B328" s="3" t="s">
        <v>271</v>
      </c>
      <c r="C328" s="9">
        <v>1</v>
      </c>
      <c r="D328" s="12">
        <v>-3.1407387039999999</v>
      </c>
      <c r="E328" s="12">
        <v>0.3446075371207864</v>
      </c>
      <c r="F328" s="12">
        <v>-3.4853462411207863</v>
      </c>
      <c r="G328" s="12">
        <v>-0.32288899334248156</v>
      </c>
      <c r="H328" s="12">
        <v>2.0520104366873149</v>
      </c>
      <c r="I328" s="12">
        <v>-3.6896200824499261</v>
      </c>
      <c r="J328" s="12">
        <v>4.3788351566914994</v>
      </c>
      <c r="K328" s="12">
        <v>10.987570032143399</v>
      </c>
      <c r="L328" s="12">
        <v>-21.256821823637772</v>
      </c>
      <c r="M328" s="12">
        <v>21.946036897879345</v>
      </c>
    </row>
    <row r="329" spans="2:13" x14ac:dyDescent="0.3">
      <c r="B329" s="3" t="s">
        <v>272</v>
      </c>
      <c r="C329" s="9">
        <v>1</v>
      </c>
      <c r="D329" s="12">
        <v>3.3119444279999999</v>
      </c>
      <c r="E329" s="12">
        <v>9.9834448369424909</v>
      </c>
      <c r="F329" s="12">
        <v>-6.6715004089424905</v>
      </c>
      <c r="G329" s="12">
        <v>-0.61806027352814197</v>
      </c>
      <c r="H329" s="12">
        <v>1.0803842289681307</v>
      </c>
      <c r="I329" s="12">
        <v>7.8594225521006758</v>
      </c>
      <c r="J329" s="12">
        <v>12.107467121784307</v>
      </c>
      <c r="K329" s="12">
        <v>10.848187796179834</v>
      </c>
      <c r="L329" s="12">
        <v>-11.343960739166372</v>
      </c>
      <c r="M329" s="12">
        <v>31.310850413051355</v>
      </c>
    </row>
    <row r="330" spans="2:13" x14ac:dyDescent="0.3">
      <c r="B330" s="3" t="s">
        <v>273</v>
      </c>
      <c r="C330" s="9">
        <v>1</v>
      </c>
      <c r="D330" s="12">
        <v>5.3256888480000004</v>
      </c>
      <c r="E330" s="12">
        <v>15.070400138371159</v>
      </c>
      <c r="F330" s="12">
        <v>-9.7447112903711588</v>
      </c>
      <c r="G330" s="12">
        <v>-0.90276827645945656</v>
      </c>
      <c r="H330" s="12">
        <v>1.3820350293309502</v>
      </c>
      <c r="I330" s="12">
        <v>12.353336040226553</v>
      </c>
      <c r="J330" s="12">
        <v>17.787464236515767</v>
      </c>
      <c r="K330" s="12">
        <v>10.88236965009367</v>
      </c>
      <c r="L330" s="12">
        <v>-6.3242065477719898</v>
      </c>
      <c r="M330" s="12">
        <v>36.465006824514305</v>
      </c>
    </row>
    <row r="331" spans="2:13" x14ac:dyDescent="0.3">
      <c r="B331" s="3" t="s">
        <v>274</v>
      </c>
      <c r="C331" s="9">
        <v>1</v>
      </c>
      <c r="D331" s="12">
        <v>5.3971741460000002</v>
      </c>
      <c r="E331" s="12">
        <v>18.496126432276171</v>
      </c>
      <c r="F331" s="12">
        <v>-13.09895228627617</v>
      </c>
      <c r="G331" s="12">
        <v>-1.2135114347195597</v>
      </c>
      <c r="H331" s="12">
        <v>1.5227421574952738</v>
      </c>
      <c r="I331" s="12">
        <v>15.502433827491329</v>
      </c>
      <c r="J331" s="12">
        <v>21.489819037061011</v>
      </c>
      <c r="K331" s="12">
        <v>10.901132604330405</v>
      </c>
      <c r="L331" s="12">
        <v>-2.935367994227974</v>
      </c>
      <c r="M331" s="12">
        <v>39.927620858780315</v>
      </c>
    </row>
    <row r="332" spans="2:13" x14ac:dyDescent="0.3">
      <c r="B332" s="3" t="s">
        <v>275</v>
      </c>
      <c r="C332" s="9">
        <v>1</v>
      </c>
      <c r="D332" s="12">
        <v>2.579832626</v>
      </c>
      <c r="E332" s="12">
        <v>7.9496688396614559</v>
      </c>
      <c r="F332" s="12">
        <v>-5.3698362136614559</v>
      </c>
      <c r="G332" s="12">
        <v>-0.49747166837736922</v>
      </c>
      <c r="H332" s="12">
        <v>1.5171104263676003</v>
      </c>
      <c r="I332" s="12">
        <v>4.9670481499385737</v>
      </c>
      <c r="J332" s="12">
        <v>10.932289529384338</v>
      </c>
      <c r="K332" s="12">
        <v>10.900347353400042</v>
      </c>
      <c r="L332" s="12">
        <v>-13.48028179304178</v>
      </c>
      <c r="M332" s="12">
        <v>29.379619472364691</v>
      </c>
    </row>
    <row r="333" spans="2:13" x14ac:dyDescent="0.3">
      <c r="B333" s="3" t="s">
        <v>276</v>
      </c>
      <c r="C333" s="9">
        <v>1</v>
      </c>
      <c r="D333" s="12">
        <v>7.7387361449999998</v>
      </c>
      <c r="E333" s="12">
        <v>11.218950626662425</v>
      </c>
      <c r="F333" s="12">
        <v>-3.4802144816624248</v>
      </c>
      <c r="G333" s="12">
        <v>-0.32241357754991645</v>
      </c>
      <c r="H333" s="12">
        <v>1.4066609517241617</v>
      </c>
      <c r="I333" s="12">
        <v>8.4534722639020501</v>
      </c>
      <c r="J333" s="12">
        <v>13.984428989422799</v>
      </c>
      <c r="K333" s="12">
        <v>10.885524489526793</v>
      </c>
      <c r="L333" s="12">
        <v>-10.181858435525635</v>
      </c>
      <c r="M333" s="12">
        <v>32.619759688850486</v>
      </c>
    </row>
    <row r="334" spans="2:13" x14ac:dyDescent="0.3">
      <c r="B334" s="3" t="s">
        <v>277</v>
      </c>
      <c r="C334" s="9">
        <v>1</v>
      </c>
      <c r="D334" s="12">
        <v>-2.372395493</v>
      </c>
      <c r="E334" s="12">
        <v>-10.946310230946398</v>
      </c>
      <c r="F334" s="12">
        <v>8.5739147379463994</v>
      </c>
      <c r="G334" s="12">
        <v>0.79430349446416404</v>
      </c>
      <c r="H334" s="12">
        <v>1.5232403881745153</v>
      </c>
      <c r="I334" s="12">
        <v>-13.940982351201132</v>
      </c>
      <c r="J334" s="12">
        <v>-7.9516381106916647</v>
      </c>
      <c r="K334" s="12">
        <v>10.901202211643819</v>
      </c>
      <c r="L334" s="12">
        <v>-32.377941504584101</v>
      </c>
      <c r="M334" s="12">
        <v>10.485321042691307</v>
      </c>
    </row>
    <row r="335" spans="2:13" x14ac:dyDescent="0.3">
      <c r="B335" s="3" t="s">
        <v>278</v>
      </c>
      <c r="C335" s="9">
        <v>1</v>
      </c>
      <c r="D335" s="12">
        <v>9.2362070680000006</v>
      </c>
      <c r="E335" s="12">
        <v>14.020067984290389</v>
      </c>
      <c r="F335" s="12">
        <v>-4.7838609162903882</v>
      </c>
      <c r="G335" s="12">
        <v>-0.44318582106055787</v>
      </c>
      <c r="H335" s="12">
        <v>1.1672050867494175</v>
      </c>
      <c r="I335" s="12">
        <v>11.72535694652901</v>
      </c>
      <c r="J335" s="12">
        <v>16.314779022051766</v>
      </c>
      <c r="K335" s="12">
        <v>10.857178090715642</v>
      </c>
      <c r="L335" s="12">
        <v>-7.3250124017882428</v>
      </c>
      <c r="M335" s="12">
        <v>35.36514837036902</v>
      </c>
    </row>
    <row r="336" spans="2:13" x14ac:dyDescent="0.3">
      <c r="B336" s="3" t="s">
        <v>279</v>
      </c>
      <c r="C336" s="9">
        <v>1</v>
      </c>
      <c r="D336" s="12">
        <v>2.8255375049999998</v>
      </c>
      <c r="E336" s="12">
        <v>7.9329064644235405</v>
      </c>
      <c r="F336" s="12">
        <v>-5.1073689594235407</v>
      </c>
      <c r="G336" s="12">
        <v>-0.47315621113344469</v>
      </c>
      <c r="H336" s="12">
        <v>1.4321094229961526</v>
      </c>
      <c r="I336" s="12">
        <v>5.11739671593247</v>
      </c>
      <c r="J336" s="12">
        <v>10.748416212914611</v>
      </c>
      <c r="K336" s="12">
        <v>10.888842260700464</v>
      </c>
      <c r="L336" s="12">
        <v>-13.474425295634346</v>
      </c>
      <c r="M336" s="12">
        <v>29.340238224481425</v>
      </c>
    </row>
    <row r="337" spans="2:13" x14ac:dyDescent="0.3">
      <c r="B337" s="3" t="s">
        <v>280</v>
      </c>
      <c r="C337" s="9">
        <v>1</v>
      </c>
      <c r="D337" s="12">
        <v>13.097039710000001</v>
      </c>
      <c r="E337" s="12">
        <v>23.40798343737087</v>
      </c>
      <c r="F337" s="12">
        <v>-10.310943727370869</v>
      </c>
      <c r="G337" s="12">
        <v>-0.95522510827250018</v>
      </c>
      <c r="H337" s="12">
        <v>1.3899777728894742</v>
      </c>
      <c r="I337" s="12">
        <v>20.675304001766921</v>
      </c>
      <c r="J337" s="12">
        <v>26.140662872974818</v>
      </c>
      <c r="K337" s="12">
        <v>10.883381211191162</v>
      </c>
      <c r="L337" s="12">
        <v>2.0113880343842645</v>
      </c>
      <c r="M337" s="12">
        <v>44.804578840357479</v>
      </c>
    </row>
    <row r="338" spans="2:13" x14ac:dyDescent="0.3">
      <c r="B338" s="3" t="s">
        <v>281</v>
      </c>
      <c r="C338" s="9">
        <v>1</v>
      </c>
      <c r="D338" s="12">
        <v>3.7801619870000001</v>
      </c>
      <c r="E338" s="12">
        <v>8.3888327289784712</v>
      </c>
      <c r="F338" s="12">
        <v>-4.6086707419784716</v>
      </c>
      <c r="G338" s="12">
        <v>-0.42695587570830551</v>
      </c>
      <c r="H338" s="12">
        <v>1.3409221963584534</v>
      </c>
      <c r="I338" s="12">
        <v>5.7525959615974447</v>
      </c>
      <c r="J338" s="12">
        <v>11.025069496359498</v>
      </c>
      <c r="K338" s="12">
        <v>10.877224862788706</v>
      </c>
      <c r="L338" s="12">
        <v>-12.995659367749621</v>
      </c>
      <c r="M338" s="12">
        <v>29.773324825706563</v>
      </c>
    </row>
    <row r="339" spans="2:13" x14ac:dyDescent="0.3">
      <c r="B339" s="3" t="s">
        <v>282</v>
      </c>
      <c r="C339" s="9">
        <v>1</v>
      </c>
      <c r="D339" s="12">
        <v>38.591876030000002</v>
      </c>
      <c r="E339" s="12">
        <v>18.271343561611783</v>
      </c>
      <c r="F339" s="12">
        <v>20.320532468388219</v>
      </c>
      <c r="G339" s="12">
        <v>1.8825321270781887</v>
      </c>
      <c r="H339" s="12">
        <v>1.3652058818335111</v>
      </c>
      <c r="I339" s="12">
        <v>15.587365363243398</v>
      </c>
      <c r="J339" s="12">
        <v>20.955321759980166</v>
      </c>
      <c r="K339" s="12">
        <v>10.880245193872005</v>
      </c>
      <c r="L339" s="12">
        <v>-3.1190864693775815</v>
      </c>
      <c r="M339" s="12">
        <v>39.661773592601151</v>
      </c>
    </row>
    <row r="340" spans="2:13" x14ac:dyDescent="0.3">
      <c r="B340" s="3" t="s">
        <v>283</v>
      </c>
      <c r="C340" s="9">
        <v>1</v>
      </c>
      <c r="D340" s="12">
        <v>-3.5923508649999998</v>
      </c>
      <c r="E340" s="12">
        <v>-10.027762474273812</v>
      </c>
      <c r="F340" s="12">
        <v>6.4354116092738121</v>
      </c>
      <c r="G340" s="12">
        <v>0.59618856564297618</v>
      </c>
      <c r="H340" s="12">
        <v>1.8051642924252493</v>
      </c>
      <c r="I340" s="12">
        <v>-13.576693569439806</v>
      </c>
      <c r="J340" s="12">
        <v>-6.4788313791078185</v>
      </c>
      <c r="K340" s="12">
        <v>10.944156728667092</v>
      </c>
      <c r="L340" s="12">
        <v>-31.543841807172058</v>
      </c>
      <c r="M340" s="12">
        <v>11.488316858624431</v>
      </c>
    </row>
    <row r="341" spans="2:13" x14ac:dyDescent="0.3">
      <c r="B341" s="3" t="s">
        <v>284</v>
      </c>
      <c r="C341" s="9">
        <v>1</v>
      </c>
      <c r="D341" s="12">
        <v>2.8237950359999999</v>
      </c>
      <c r="E341" s="12">
        <v>11.12324761847826</v>
      </c>
      <c r="F341" s="12">
        <v>-8.2994525824782599</v>
      </c>
      <c r="G341" s="12">
        <v>-0.7688768071399178</v>
      </c>
      <c r="H341" s="12">
        <v>1.0784183014996018</v>
      </c>
      <c r="I341" s="12">
        <v>9.0030903231851411</v>
      </c>
      <c r="J341" s="12">
        <v>13.243404913771379</v>
      </c>
      <c r="K341" s="12">
        <v>10.847992183440736</v>
      </c>
      <c r="L341" s="12">
        <v>-10.203773385359089</v>
      </c>
      <c r="M341" s="12">
        <v>32.450268622315605</v>
      </c>
    </row>
    <row r="342" spans="2:13" x14ac:dyDescent="0.3">
      <c r="B342" s="3" t="s">
        <v>285</v>
      </c>
      <c r="C342" s="9">
        <v>1</v>
      </c>
      <c r="D342" s="12">
        <v>13.06938208</v>
      </c>
      <c r="E342" s="12">
        <v>23.342024970014215</v>
      </c>
      <c r="F342" s="12">
        <v>-10.272642890014215</v>
      </c>
      <c r="G342" s="12">
        <v>-0.95167684707757005</v>
      </c>
      <c r="H342" s="12">
        <v>1.3635462080438376</v>
      </c>
      <c r="I342" s="12">
        <v>20.66130967017796</v>
      </c>
      <c r="J342" s="12">
        <v>26.02274026985047</v>
      </c>
      <c r="K342" s="12">
        <v>10.880037069810596</v>
      </c>
      <c r="L342" s="12">
        <v>1.9520041084042177</v>
      </c>
      <c r="M342" s="12">
        <v>44.732045831624212</v>
      </c>
    </row>
    <row r="343" spans="2:13" x14ac:dyDescent="0.3">
      <c r="B343" s="3" t="s">
        <v>286</v>
      </c>
      <c r="C343" s="9">
        <v>1</v>
      </c>
      <c r="D343" s="12">
        <v>-0.48299666499999999</v>
      </c>
      <c r="E343" s="12">
        <v>-5.1823492623546041</v>
      </c>
      <c r="F343" s="12">
        <v>4.6993525973546042</v>
      </c>
      <c r="G343" s="12">
        <v>0.43535681236457652</v>
      </c>
      <c r="H343" s="12">
        <v>1.48467110642633</v>
      </c>
      <c r="I343" s="12">
        <v>-8.1011946426894745</v>
      </c>
      <c r="J343" s="12">
        <v>-2.2635038820197337</v>
      </c>
      <c r="K343" s="12">
        <v>10.895879802624441</v>
      </c>
      <c r="L343" s="12">
        <v>-26.603516744441968</v>
      </c>
      <c r="M343" s="12">
        <v>16.238818219732757</v>
      </c>
    </row>
    <row r="344" spans="2:13" x14ac:dyDescent="0.3">
      <c r="B344" s="3" t="s">
        <v>287</v>
      </c>
      <c r="C344" s="9">
        <v>1</v>
      </c>
      <c r="D344" s="12">
        <v>6.3319379570000001</v>
      </c>
      <c r="E344" s="12">
        <v>12.687877001983395</v>
      </c>
      <c r="F344" s="12">
        <v>-6.355939044983395</v>
      </c>
      <c r="G344" s="12">
        <v>-0.58882607867415593</v>
      </c>
      <c r="H344" s="12">
        <v>1.5004883101896722</v>
      </c>
      <c r="I344" s="12">
        <v>9.7379351909746799</v>
      </c>
      <c r="J344" s="12">
        <v>15.63781881299211</v>
      </c>
      <c r="K344" s="12">
        <v>10.898046317941482</v>
      </c>
      <c r="L344" s="12">
        <v>-8.7375498229289192</v>
      </c>
      <c r="M344" s="12">
        <v>34.113303826895709</v>
      </c>
    </row>
    <row r="345" spans="2:13" x14ac:dyDescent="0.3">
      <c r="B345" s="3" t="s">
        <v>288</v>
      </c>
      <c r="C345" s="9">
        <v>1</v>
      </c>
      <c r="D345" s="12">
        <v>4.0039173610000001</v>
      </c>
      <c r="E345" s="12">
        <v>12.376677064476517</v>
      </c>
      <c r="F345" s="12">
        <v>-8.3727597034765182</v>
      </c>
      <c r="G345" s="12">
        <v>-0.7756681159128308</v>
      </c>
      <c r="H345" s="12">
        <v>1.6070285374957083</v>
      </c>
      <c r="I345" s="12">
        <v>9.2172784593360841</v>
      </c>
      <c r="J345" s="12">
        <v>15.536075669616951</v>
      </c>
      <c r="K345" s="12">
        <v>10.913225421446569</v>
      </c>
      <c r="L345" s="12">
        <v>-9.0785916937445776</v>
      </c>
      <c r="M345" s="12">
        <v>33.831945822697612</v>
      </c>
    </row>
    <row r="346" spans="2:13" x14ac:dyDescent="0.3">
      <c r="B346" s="3" t="s">
        <v>289</v>
      </c>
      <c r="C346" s="9">
        <v>1</v>
      </c>
      <c r="D346" s="12">
        <v>-0.18448609799999999</v>
      </c>
      <c r="E346" s="12">
        <v>6.886341430364709</v>
      </c>
      <c r="F346" s="12">
        <v>-7.0708275283647088</v>
      </c>
      <c r="G346" s="12">
        <v>-0.65505468460941529</v>
      </c>
      <c r="H346" s="12">
        <v>1.1769555005563086</v>
      </c>
      <c r="I346" s="12">
        <v>4.5724611973698472</v>
      </c>
      <c r="J346" s="12">
        <v>9.2002216633595708</v>
      </c>
      <c r="K346" s="12">
        <v>10.858230639900396</v>
      </c>
      <c r="L346" s="12">
        <v>-14.460808254639591</v>
      </c>
      <c r="M346" s="12">
        <v>28.233491115369009</v>
      </c>
    </row>
    <row r="347" spans="2:13" x14ac:dyDescent="0.3">
      <c r="B347" s="3" t="s">
        <v>290</v>
      </c>
      <c r="C347" s="9">
        <v>1</v>
      </c>
      <c r="D347" s="12">
        <v>-0.94173589899999999</v>
      </c>
      <c r="E347" s="12">
        <v>-11.975688288766463</v>
      </c>
      <c r="F347" s="12">
        <v>11.033952389766464</v>
      </c>
      <c r="G347" s="12">
        <v>1.0222059827763017</v>
      </c>
      <c r="H347" s="12">
        <v>1.4296700547239434</v>
      </c>
      <c r="I347" s="12">
        <v>-14.786402268833502</v>
      </c>
      <c r="J347" s="12">
        <v>-9.1649743086994242</v>
      </c>
      <c r="K347" s="12">
        <v>10.888521701514692</v>
      </c>
      <c r="L347" s="12">
        <v>-33.382389833354765</v>
      </c>
      <c r="M347" s="12">
        <v>9.4310132558218385</v>
      </c>
    </row>
    <row r="348" spans="2:13" x14ac:dyDescent="0.3">
      <c r="B348" s="3" t="s">
        <v>291</v>
      </c>
      <c r="C348" s="9">
        <v>1</v>
      </c>
      <c r="D348" s="12">
        <v>53.688632269999999</v>
      </c>
      <c r="E348" s="12">
        <v>30.905414553430703</v>
      </c>
      <c r="F348" s="12">
        <v>22.783217716569297</v>
      </c>
      <c r="G348" s="12">
        <v>2.1106798936681912</v>
      </c>
      <c r="H348" s="12">
        <v>1.6923629822526658</v>
      </c>
      <c r="I348" s="12">
        <v>27.578249465340502</v>
      </c>
      <c r="J348" s="12">
        <v>34.232579641520907</v>
      </c>
      <c r="K348" s="12">
        <v>10.926117372730404</v>
      </c>
      <c r="L348" s="12">
        <v>9.4248003754156571</v>
      </c>
      <c r="M348" s="12">
        <v>52.386028731445748</v>
      </c>
    </row>
    <row r="349" spans="2:13" x14ac:dyDescent="0.3">
      <c r="B349" s="3" t="s">
        <v>292</v>
      </c>
      <c r="C349" s="9">
        <v>1</v>
      </c>
      <c r="D349" s="12">
        <v>26.62891419</v>
      </c>
      <c r="E349" s="12">
        <v>18.188698830258481</v>
      </c>
      <c r="F349" s="12">
        <v>8.4402153597415186</v>
      </c>
      <c r="G349" s="12">
        <v>0.78191733405067021</v>
      </c>
      <c r="H349" s="12">
        <v>1.3954848351137596</v>
      </c>
      <c r="I349" s="12">
        <v>15.44519257714391</v>
      </c>
      <c r="J349" s="12">
        <v>20.932205083373052</v>
      </c>
      <c r="K349" s="12">
        <v>10.884085919543933</v>
      </c>
      <c r="L349" s="12">
        <v>-3.2092820207987884</v>
      </c>
      <c r="M349" s="12">
        <v>39.586679681315751</v>
      </c>
    </row>
    <row r="350" spans="2:13" x14ac:dyDescent="0.3">
      <c r="B350" s="3" t="s">
        <v>293</v>
      </c>
      <c r="C350" s="9">
        <v>1</v>
      </c>
      <c r="D350" s="12">
        <v>3.0369226220000001</v>
      </c>
      <c r="E350" s="12">
        <v>7.8661984400644647</v>
      </c>
      <c r="F350" s="12">
        <v>-4.829275818064465</v>
      </c>
      <c r="G350" s="12">
        <v>-0.44739314248635226</v>
      </c>
      <c r="H350" s="12">
        <v>1.2165952788116137</v>
      </c>
      <c r="I350" s="12">
        <v>5.4743868840060745</v>
      </c>
      <c r="J350" s="12">
        <v>10.258009996122855</v>
      </c>
      <c r="K350" s="12">
        <v>10.862598789028745</v>
      </c>
      <c r="L350" s="12">
        <v>-13.489538973123338</v>
      </c>
      <c r="M350" s="12">
        <v>29.221935853252269</v>
      </c>
    </row>
    <row r="351" spans="2:13" x14ac:dyDescent="0.3">
      <c r="B351" s="3" t="s">
        <v>294</v>
      </c>
      <c r="C351" s="9">
        <v>1</v>
      </c>
      <c r="D351" s="12">
        <v>4.7559940449999996</v>
      </c>
      <c r="E351" s="12">
        <v>15.642567022365217</v>
      </c>
      <c r="F351" s="12">
        <v>-10.886572977365217</v>
      </c>
      <c r="G351" s="12">
        <v>-1.0085524784133197</v>
      </c>
      <c r="H351" s="12">
        <v>1.1064923219622644</v>
      </c>
      <c r="I351" s="12">
        <v>13.467216543490778</v>
      </c>
      <c r="J351" s="12">
        <v>17.817917501239656</v>
      </c>
      <c r="K351" s="12">
        <v>10.850819030724985</v>
      </c>
      <c r="L351" s="12">
        <v>-5.6900115289321889</v>
      </c>
      <c r="M351" s="12">
        <v>36.975145573662623</v>
      </c>
    </row>
    <row r="352" spans="2:13" x14ac:dyDescent="0.3">
      <c r="B352" s="3" t="s">
        <v>295</v>
      </c>
      <c r="C352" s="9">
        <v>1</v>
      </c>
      <c r="D352" s="12">
        <v>3.552678711</v>
      </c>
      <c r="E352" s="12">
        <v>10.051231371210651</v>
      </c>
      <c r="F352" s="12">
        <v>-6.4985526602106507</v>
      </c>
      <c r="G352" s="12">
        <v>-0.60203807067494286</v>
      </c>
      <c r="H352" s="12">
        <v>1.2502463182243309</v>
      </c>
      <c r="I352" s="12">
        <v>7.5932622799863072</v>
      </c>
      <c r="J352" s="12">
        <v>12.509200462434995</v>
      </c>
      <c r="K352" s="12">
        <v>10.866419108207429</v>
      </c>
      <c r="L352" s="12">
        <v>-11.31201674312695</v>
      </c>
      <c r="M352" s="12">
        <v>31.414479485548252</v>
      </c>
    </row>
    <row r="353" spans="2:13" x14ac:dyDescent="0.3">
      <c r="B353" s="3" t="s">
        <v>296</v>
      </c>
      <c r="C353" s="9">
        <v>1</v>
      </c>
      <c r="D353" s="12">
        <v>2.6035622109999998</v>
      </c>
      <c r="E353" s="12">
        <v>9.1567338961200164</v>
      </c>
      <c r="F353" s="12">
        <v>-6.5531716851200166</v>
      </c>
      <c r="G353" s="12">
        <v>-0.60709807927961512</v>
      </c>
      <c r="H353" s="12">
        <v>1.3107183176589374</v>
      </c>
      <c r="I353" s="12">
        <v>6.5798775877704072</v>
      </c>
      <c r="J353" s="12">
        <v>11.733590204469625</v>
      </c>
      <c r="K353" s="12">
        <v>10.873542701770601</v>
      </c>
      <c r="L353" s="12">
        <v>-12.220519116725576</v>
      </c>
      <c r="M353" s="12">
        <v>30.533986908965609</v>
      </c>
    </row>
    <row r="354" spans="2:13" x14ac:dyDescent="0.3">
      <c r="B354" s="3" t="s">
        <v>297</v>
      </c>
      <c r="C354" s="9">
        <v>1</v>
      </c>
      <c r="D354" s="12">
        <v>10.459839819999999</v>
      </c>
      <c r="E354" s="12">
        <v>18.637614843993077</v>
      </c>
      <c r="F354" s="12">
        <v>-8.1777750239930782</v>
      </c>
      <c r="G354" s="12">
        <v>-0.75760437058594798</v>
      </c>
      <c r="H354" s="12">
        <v>1.6306522151532519</v>
      </c>
      <c r="I354" s="12">
        <v>15.431772375226029</v>
      </c>
      <c r="J354" s="12">
        <v>21.843457312760126</v>
      </c>
      <c r="K354" s="12">
        <v>10.916729135861448</v>
      </c>
      <c r="L354" s="12">
        <v>-2.8245421742538355</v>
      </c>
      <c r="M354" s="12">
        <v>40.09977186223999</v>
      </c>
    </row>
    <row r="355" spans="2:13" x14ac:dyDescent="0.3">
      <c r="B355" s="3" t="s">
        <v>298</v>
      </c>
      <c r="C355" s="9">
        <v>1</v>
      </c>
      <c r="D355" s="12">
        <v>-2.6680416039999999</v>
      </c>
      <c r="E355" s="12">
        <v>3.5406918506167102</v>
      </c>
      <c r="F355" s="12">
        <v>-6.2087334546167101</v>
      </c>
      <c r="G355" s="12">
        <v>-0.57518867750950153</v>
      </c>
      <c r="H355" s="12">
        <v>1.147750604091079</v>
      </c>
      <c r="I355" s="12">
        <v>1.2842280897022413</v>
      </c>
      <c r="J355" s="12">
        <v>5.7971556115311795</v>
      </c>
      <c r="K355" s="12">
        <v>10.855103860773211</v>
      </c>
      <c r="L355" s="12">
        <v>-17.800310624563668</v>
      </c>
      <c r="M355" s="12">
        <v>24.881694325797088</v>
      </c>
    </row>
    <row r="356" spans="2:13" x14ac:dyDescent="0.3">
      <c r="B356" s="3" t="s">
        <v>299</v>
      </c>
      <c r="C356" s="9">
        <v>1</v>
      </c>
      <c r="D356" s="12">
        <v>-1.22021727</v>
      </c>
      <c r="E356" s="12">
        <v>1.8078795867925876</v>
      </c>
      <c r="F356" s="12">
        <v>-3.0280968567925877</v>
      </c>
      <c r="G356" s="12">
        <v>-0.28052855532622162</v>
      </c>
      <c r="H356" s="12">
        <v>1.3672669898219993</v>
      </c>
      <c r="I356" s="12">
        <v>-0.88015072487181856</v>
      </c>
      <c r="J356" s="12">
        <v>4.4959098984569934</v>
      </c>
      <c r="K356" s="12">
        <v>10.880504004890533</v>
      </c>
      <c r="L356" s="12">
        <v>-19.583059263518805</v>
      </c>
      <c r="M356" s="12">
        <v>23.198818437103981</v>
      </c>
    </row>
    <row r="357" spans="2:13" x14ac:dyDescent="0.3">
      <c r="B357" s="3" t="s">
        <v>300</v>
      </c>
      <c r="C357" s="9">
        <v>1</v>
      </c>
      <c r="D357" s="12">
        <v>4.163004259</v>
      </c>
      <c r="E357" s="12">
        <v>10.002897629090693</v>
      </c>
      <c r="F357" s="12">
        <v>-5.8398933700906932</v>
      </c>
      <c r="G357" s="12">
        <v>-0.541018642351484</v>
      </c>
      <c r="H357" s="12">
        <v>1.4971953468000276</v>
      </c>
      <c r="I357" s="12">
        <v>7.0594297441494227</v>
      </c>
      <c r="J357" s="12">
        <v>12.946365514031964</v>
      </c>
      <c r="K357" s="12">
        <v>10.897593417147737</v>
      </c>
      <c r="L357" s="12">
        <v>-11.421638798356586</v>
      </c>
      <c r="M357" s="12">
        <v>31.427434056537972</v>
      </c>
    </row>
    <row r="358" spans="2:13" x14ac:dyDescent="0.3">
      <c r="B358" s="3" t="s">
        <v>301</v>
      </c>
      <c r="C358" s="9">
        <v>1</v>
      </c>
      <c r="D358" s="12">
        <v>2.1099253020000002</v>
      </c>
      <c r="E358" s="12">
        <v>0.37446335982417622</v>
      </c>
      <c r="F358" s="12">
        <v>1.7354619421758239</v>
      </c>
      <c r="G358" s="12">
        <v>0.16077643962085778</v>
      </c>
      <c r="H358" s="12">
        <v>1.5894687504505569</v>
      </c>
      <c r="I358" s="12">
        <v>-2.750412917054764</v>
      </c>
      <c r="J358" s="12">
        <v>3.4993396367031164</v>
      </c>
      <c r="K358" s="12">
        <v>10.910653476654865</v>
      </c>
      <c r="L358" s="12">
        <v>-21.075748986144234</v>
      </c>
      <c r="M358" s="12">
        <v>21.824675705792586</v>
      </c>
    </row>
    <row r="359" spans="2:13" x14ac:dyDescent="0.3">
      <c r="B359" s="3" t="s">
        <v>302</v>
      </c>
      <c r="C359" s="9">
        <v>1</v>
      </c>
      <c r="D359" s="12">
        <v>-1.744470103</v>
      </c>
      <c r="E359" s="12">
        <v>-0.45404481608969949</v>
      </c>
      <c r="F359" s="12">
        <v>-1.2904252869103006</v>
      </c>
      <c r="G359" s="12">
        <v>-0.11954741166265385</v>
      </c>
      <c r="H359" s="12">
        <v>1.7224592921866235</v>
      </c>
      <c r="I359" s="12">
        <v>-3.8403788843234627</v>
      </c>
      <c r="J359" s="12">
        <v>2.9322892521440638</v>
      </c>
      <c r="K359" s="12">
        <v>10.930819474871136</v>
      </c>
      <c r="L359" s="12">
        <v>-21.943903269858431</v>
      </c>
      <c r="M359" s="12">
        <v>21.035813637679034</v>
      </c>
    </row>
    <row r="360" spans="2:13" x14ac:dyDescent="0.3">
      <c r="B360" s="3" t="s">
        <v>303</v>
      </c>
      <c r="C360" s="9">
        <v>1</v>
      </c>
      <c r="D360" s="12">
        <v>31.810235769999998</v>
      </c>
      <c r="E360" s="12">
        <v>14.812940186621567</v>
      </c>
      <c r="F360" s="12">
        <v>16.997295583378431</v>
      </c>
      <c r="G360" s="12">
        <v>1.5746612476288182</v>
      </c>
      <c r="H360" s="12">
        <v>1.3710573550423726</v>
      </c>
      <c r="I360" s="12">
        <v>12.117458062925945</v>
      </c>
      <c r="J360" s="12">
        <v>17.50842231031719</v>
      </c>
      <c r="K360" s="12">
        <v>10.880980959904203</v>
      </c>
      <c r="L360" s="12">
        <v>-6.5789363514593653</v>
      </c>
      <c r="M360" s="12">
        <v>36.204816724702496</v>
      </c>
    </row>
    <row r="361" spans="2:13" x14ac:dyDescent="0.3">
      <c r="B361" s="3" t="s">
        <v>304</v>
      </c>
      <c r="C361" s="9">
        <v>1</v>
      </c>
      <c r="D361" s="12">
        <v>31.810235769999998</v>
      </c>
      <c r="E361" s="12">
        <v>14.854689850482163</v>
      </c>
      <c r="F361" s="12">
        <v>16.955545919517835</v>
      </c>
      <c r="G361" s="12">
        <v>1.5707934806972894</v>
      </c>
      <c r="H361" s="12">
        <v>1.4691380804951331</v>
      </c>
      <c r="I361" s="12">
        <v>11.966382210651336</v>
      </c>
      <c r="J361" s="12">
        <v>17.742997490312991</v>
      </c>
      <c r="K361" s="12">
        <v>10.893774142993005</v>
      </c>
      <c r="L361" s="12">
        <v>-6.5623379303197282</v>
      </c>
      <c r="M361" s="12">
        <v>36.271717631284055</v>
      </c>
    </row>
    <row r="362" spans="2:13" x14ac:dyDescent="0.3">
      <c r="B362" s="3" t="s">
        <v>305</v>
      </c>
      <c r="C362" s="9">
        <v>1</v>
      </c>
      <c r="D362" s="12">
        <v>1.9549169710000001</v>
      </c>
      <c r="E362" s="12">
        <v>5.1919608177745546</v>
      </c>
      <c r="F362" s="12">
        <v>-3.2370438467745544</v>
      </c>
      <c r="G362" s="12">
        <v>-0.29988579520707875</v>
      </c>
      <c r="H362" s="12">
        <v>1.5786058551655582</v>
      </c>
      <c r="I362" s="12">
        <v>2.0884408612162817</v>
      </c>
      <c r="J362" s="12">
        <v>8.2954807743328267</v>
      </c>
      <c r="K362" s="12">
        <v>10.909076259012265</v>
      </c>
      <c r="L362" s="12">
        <v>-16.255150737446357</v>
      </c>
      <c r="M362" s="12">
        <v>26.639072372995464</v>
      </c>
    </row>
    <row r="363" spans="2:13" x14ac:dyDescent="0.3">
      <c r="B363" s="3" t="s">
        <v>306</v>
      </c>
      <c r="C363" s="9">
        <v>1</v>
      </c>
      <c r="D363" s="12">
        <v>9.2325058559999995</v>
      </c>
      <c r="E363" s="12">
        <v>28.713755712830775</v>
      </c>
      <c r="F363" s="12">
        <v>-19.481249856830775</v>
      </c>
      <c r="G363" s="12">
        <v>-1.8047794164928301</v>
      </c>
      <c r="H363" s="12">
        <v>1.5780198011522617</v>
      </c>
      <c r="I363" s="12">
        <v>25.611387931351501</v>
      </c>
      <c r="J363" s="12">
        <v>31.816123494310048</v>
      </c>
      <c r="K363" s="12">
        <v>10.908991469050228</v>
      </c>
      <c r="L363" s="12">
        <v>7.2668108536463905</v>
      </c>
      <c r="M363" s="12">
        <v>50.160700572015159</v>
      </c>
    </row>
    <row r="364" spans="2:13" x14ac:dyDescent="0.3">
      <c r="B364" s="3" t="s">
        <v>307</v>
      </c>
      <c r="C364" s="9">
        <v>1</v>
      </c>
      <c r="D364" s="12">
        <v>0.21360970700000001</v>
      </c>
      <c r="E364" s="12">
        <v>2.9899896476517744</v>
      </c>
      <c r="F364" s="12">
        <v>-2.7763799406517746</v>
      </c>
      <c r="G364" s="12">
        <v>-0.25720902950664487</v>
      </c>
      <c r="H364" s="12">
        <v>1.3595330232804392</v>
      </c>
      <c r="I364" s="12">
        <v>0.31716422036464564</v>
      </c>
      <c r="J364" s="12">
        <v>5.6628150749389032</v>
      </c>
      <c r="K364" s="12">
        <v>10.879534843933913</v>
      </c>
      <c r="L364" s="12">
        <v>-18.399043843978639</v>
      </c>
      <c r="M364" s="12">
        <v>24.379023139282189</v>
      </c>
    </row>
    <row r="365" spans="2:13" x14ac:dyDescent="0.3">
      <c r="B365" s="3" t="s">
        <v>308</v>
      </c>
      <c r="C365" s="9">
        <v>1</v>
      </c>
      <c r="D365" s="12">
        <v>0.196119512</v>
      </c>
      <c r="E365" s="12">
        <v>-2.6460370620459548</v>
      </c>
      <c r="F365" s="12">
        <v>2.8421565740459549</v>
      </c>
      <c r="G365" s="12">
        <v>0.26330269982597437</v>
      </c>
      <c r="H365" s="12">
        <v>1.2767491104051107</v>
      </c>
      <c r="I365" s="12">
        <v>-5.1561103211146158</v>
      </c>
      <c r="J365" s="12">
        <v>-0.13596380297729382</v>
      </c>
      <c r="K365" s="12">
        <v>10.869500295317273</v>
      </c>
      <c r="L365" s="12">
        <v>-24.015342752854593</v>
      </c>
      <c r="M365" s="12">
        <v>18.723268628762682</v>
      </c>
    </row>
    <row r="366" spans="2:13" x14ac:dyDescent="0.3">
      <c r="B366" s="3" t="s">
        <v>309</v>
      </c>
      <c r="C366" s="9">
        <v>1</v>
      </c>
      <c r="D366" s="12">
        <v>-1.715025579</v>
      </c>
      <c r="E366" s="12">
        <v>2.8941787664199774</v>
      </c>
      <c r="F366" s="12">
        <v>-4.6092043454199771</v>
      </c>
      <c r="G366" s="12">
        <v>-0.42700530972896006</v>
      </c>
      <c r="H366" s="12">
        <v>1.3740206911695132</v>
      </c>
      <c r="I366" s="12">
        <v>0.19287075985531654</v>
      </c>
      <c r="J366" s="12">
        <v>5.5954867729846383</v>
      </c>
      <c r="K366" s="12">
        <v>10.881354751994072</v>
      </c>
      <c r="L366" s="12">
        <v>-18.49843264237407</v>
      </c>
      <c r="M366" s="12">
        <v>24.286790175214023</v>
      </c>
    </row>
    <row r="367" spans="2:13" x14ac:dyDescent="0.3">
      <c r="B367" s="3" t="s">
        <v>310</v>
      </c>
      <c r="C367" s="9">
        <v>1</v>
      </c>
      <c r="D367" s="12">
        <v>-2.245414212</v>
      </c>
      <c r="E367" s="12">
        <v>1.9578780921948855</v>
      </c>
      <c r="F367" s="12">
        <v>-4.2032923041948855</v>
      </c>
      <c r="G367" s="12">
        <v>-0.38940085917812606</v>
      </c>
      <c r="H367" s="12">
        <v>1.5839995289020068</v>
      </c>
      <c r="I367" s="12">
        <v>-1.1562457614827713</v>
      </c>
      <c r="J367" s="12">
        <v>5.0720019458725423</v>
      </c>
      <c r="K367" s="12">
        <v>10.909858059871532</v>
      </c>
      <c r="L367" s="12">
        <v>-19.490770474029024</v>
      </c>
      <c r="M367" s="12">
        <v>23.406526658418795</v>
      </c>
    </row>
    <row r="368" spans="2:13" x14ac:dyDescent="0.3">
      <c r="B368" s="3" t="s">
        <v>311</v>
      </c>
      <c r="C368" s="9">
        <v>1</v>
      </c>
      <c r="D368" s="12">
        <v>3.044266403</v>
      </c>
      <c r="E368" s="12">
        <v>7.7751962530414547</v>
      </c>
      <c r="F368" s="12">
        <v>-4.7309298500414547</v>
      </c>
      <c r="G368" s="12">
        <v>-0.43828218810265512</v>
      </c>
      <c r="H368" s="12">
        <v>1.4259776336806105</v>
      </c>
      <c r="I368" s="12">
        <v>4.9717415279420205</v>
      </c>
      <c r="J368" s="12">
        <v>10.578650978140889</v>
      </c>
      <c r="K368" s="12">
        <v>10.888037499510157</v>
      </c>
      <c r="L368" s="12">
        <v>-13.630553356281204</v>
      </c>
      <c r="M368" s="12">
        <v>29.180945862364112</v>
      </c>
    </row>
    <row r="369" spans="2:13" x14ac:dyDescent="0.3">
      <c r="B369" s="3" t="s">
        <v>312</v>
      </c>
      <c r="C369" s="9">
        <v>1</v>
      </c>
      <c r="D369" s="12">
        <v>3.0839320849999998</v>
      </c>
      <c r="E369" s="12">
        <v>10.042778228882431</v>
      </c>
      <c r="F369" s="12">
        <v>-6.9588461438824316</v>
      </c>
      <c r="G369" s="12">
        <v>-0.64468051974682972</v>
      </c>
      <c r="H369" s="12">
        <v>1.030401597562369</v>
      </c>
      <c r="I369" s="12">
        <v>8.0170211908984577</v>
      </c>
      <c r="J369" s="12">
        <v>12.068535266866405</v>
      </c>
      <c r="K369" s="12">
        <v>10.843324021315656</v>
      </c>
      <c r="L369" s="12">
        <v>-11.275065224860173</v>
      </c>
      <c r="M369" s="12">
        <v>31.360621682625037</v>
      </c>
    </row>
    <row r="370" spans="2:13" x14ac:dyDescent="0.3">
      <c r="B370" s="3" t="s">
        <v>313</v>
      </c>
      <c r="C370" s="9">
        <v>1</v>
      </c>
      <c r="D370" s="12">
        <v>-2.3090140290000001</v>
      </c>
      <c r="E370" s="12">
        <v>-0.84845910147408787</v>
      </c>
      <c r="F370" s="12">
        <v>-1.4605549275259122</v>
      </c>
      <c r="G370" s="12">
        <v>-0.1353085397101296</v>
      </c>
      <c r="H370" s="12">
        <v>1.3980289664175305</v>
      </c>
      <c r="I370" s="12">
        <v>-3.5969670858615546</v>
      </c>
      <c r="J370" s="12">
        <v>1.9000488829133788</v>
      </c>
      <c r="K370" s="12">
        <v>10.884412403521125</v>
      </c>
      <c r="L370" s="12">
        <v>-22.247081816068981</v>
      </c>
      <c r="M370" s="12">
        <v>20.550163613120805</v>
      </c>
    </row>
    <row r="371" spans="2:13" x14ac:dyDescent="0.3">
      <c r="B371" s="3" t="s">
        <v>314</v>
      </c>
      <c r="C371" s="9">
        <v>1</v>
      </c>
      <c r="D371" s="12">
        <v>-1.507605109</v>
      </c>
      <c r="E371" s="12">
        <v>2.8828192564182631</v>
      </c>
      <c r="F371" s="12">
        <v>-4.3904243654182631</v>
      </c>
      <c r="G371" s="12">
        <v>-0.40673712326507361</v>
      </c>
      <c r="H371" s="12">
        <v>1.1925792745797015</v>
      </c>
      <c r="I371" s="12">
        <v>0.5382228732712333</v>
      </c>
      <c r="J371" s="12">
        <v>5.2274156395652929</v>
      </c>
      <c r="K371" s="12">
        <v>10.859935253266434</v>
      </c>
      <c r="L371" s="12">
        <v>-18.467681677780003</v>
      </c>
      <c r="M371" s="12">
        <v>24.233320190616528</v>
      </c>
    </row>
    <row r="372" spans="2:13" x14ac:dyDescent="0.3">
      <c r="B372" s="3" t="s">
        <v>315</v>
      </c>
      <c r="C372" s="9">
        <v>1</v>
      </c>
      <c r="D372" s="12">
        <v>-3.3833936000000002E-2</v>
      </c>
      <c r="E372" s="12">
        <v>3.6473398119616287</v>
      </c>
      <c r="F372" s="12">
        <v>-3.6811737479616289</v>
      </c>
      <c r="G372" s="12">
        <v>-0.34103081977183353</v>
      </c>
      <c r="H372" s="12">
        <v>1.3323213498126967</v>
      </c>
      <c r="I372" s="12">
        <v>1.0280122045274673</v>
      </c>
      <c r="J372" s="12">
        <v>6.2666674193957901</v>
      </c>
      <c r="K372" s="12">
        <v>10.876167916970974</v>
      </c>
      <c r="L372" s="12">
        <v>-17.735074342113712</v>
      </c>
      <c r="M372" s="12">
        <v>25.029753966036971</v>
      </c>
    </row>
    <row r="373" spans="2:13" x14ac:dyDescent="0.3">
      <c r="B373" s="3" t="s">
        <v>316</v>
      </c>
      <c r="C373" s="9">
        <v>1</v>
      </c>
      <c r="D373" s="12">
        <v>-2.0769105539999999</v>
      </c>
      <c r="E373" s="12">
        <v>-3.2784673948188532</v>
      </c>
      <c r="F373" s="12">
        <v>1.2015568408188533</v>
      </c>
      <c r="G373" s="12">
        <v>0.11131447263357461</v>
      </c>
      <c r="H373" s="12">
        <v>1.4906048826276592</v>
      </c>
      <c r="I373" s="12">
        <v>-6.2089785071654955</v>
      </c>
      <c r="J373" s="12">
        <v>-0.34795628247221089</v>
      </c>
      <c r="K373" s="12">
        <v>10.896689923783986</v>
      </c>
      <c r="L373" s="12">
        <v>-24.701227565275929</v>
      </c>
      <c r="M373" s="12">
        <v>18.14429277563822</v>
      </c>
    </row>
    <row r="374" spans="2:13" x14ac:dyDescent="0.3">
      <c r="B374" s="3" t="s">
        <v>317</v>
      </c>
      <c r="C374" s="9">
        <v>1</v>
      </c>
      <c r="D374" s="12">
        <v>-0.93476288900000004</v>
      </c>
      <c r="E374" s="12">
        <v>-8.9968717793288562</v>
      </c>
      <c r="F374" s="12">
        <v>8.0621088903288562</v>
      </c>
      <c r="G374" s="12">
        <v>0.74688884366870034</v>
      </c>
      <c r="H374" s="12">
        <v>1.2673042719694962</v>
      </c>
      <c r="I374" s="12">
        <v>-11.488376600636133</v>
      </c>
      <c r="J374" s="12">
        <v>-6.5053669580215789</v>
      </c>
      <c r="K374" s="12">
        <v>10.868394936545791</v>
      </c>
      <c r="L374" s="12">
        <v>-30.364004348205107</v>
      </c>
      <c r="M374" s="12">
        <v>12.370260789547395</v>
      </c>
    </row>
    <row r="375" spans="2:13" x14ac:dyDescent="0.3">
      <c r="B375" s="3" t="s">
        <v>318</v>
      </c>
      <c r="C375" s="9">
        <v>1</v>
      </c>
      <c r="D375" s="12">
        <v>-2.089842338</v>
      </c>
      <c r="E375" s="12">
        <v>-5.6070303181334973</v>
      </c>
      <c r="F375" s="12">
        <v>3.5171879801334973</v>
      </c>
      <c r="G375" s="12">
        <v>0.32583887158837488</v>
      </c>
      <c r="H375" s="12">
        <v>1.6071498684447374</v>
      </c>
      <c r="I375" s="12">
        <v>-8.7666674584475004</v>
      </c>
      <c r="J375" s="12">
        <v>-2.4473931778194942</v>
      </c>
      <c r="K375" s="12">
        <v>10.913243288712296</v>
      </c>
      <c r="L375" s="12">
        <v>-27.062334203182211</v>
      </c>
      <c r="M375" s="12">
        <v>15.848273566915218</v>
      </c>
    </row>
    <row r="376" spans="2:13" x14ac:dyDescent="0.3">
      <c r="B376" s="3" t="s">
        <v>319</v>
      </c>
      <c r="C376" s="9">
        <v>1</v>
      </c>
      <c r="D376" s="12">
        <v>-3.5360415999999999E-2</v>
      </c>
      <c r="E376" s="12">
        <v>5.5844179980841737</v>
      </c>
      <c r="F376" s="12">
        <v>-5.6197784140841733</v>
      </c>
      <c r="G376" s="12">
        <v>-0.52062678121411976</v>
      </c>
      <c r="H376" s="12">
        <v>1.1204951802078267</v>
      </c>
      <c r="I376" s="12">
        <v>3.3815380698086996</v>
      </c>
      <c r="J376" s="12">
        <v>7.7872979263596473</v>
      </c>
      <c r="K376" s="12">
        <v>10.852255886581876</v>
      </c>
      <c r="L376" s="12">
        <v>-15.750985394393169</v>
      </c>
      <c r="M376" s="12">
        <v>26.919821390561516</v>
      </c>
    </row>
    <row r="377" spans="2:13" x14ac:dyDescent="0.3">
      <c r="B377" s="3" t="s">
        <v>320</v>
      </c>
      <c r="C377" s="9">
        <v>1</v>
      </c>
      <c r="D377" s="12">
        <v>5.5437030040000002</v>
      </c>
      <c r="E377" s="12">
        <v>16.680851437529064</v>
      </c>
      <c r="F377" s="12">
        <v>-11.137148433529063</v>
      </c>
      <c r="G377" s="12">
        <v>-1.0317662572461108</v>
      </c>
      <c r="H377" s="12">
        <v>1.3230990952254573</v>
      </c>
      <c r="I377" s="12">
        <v>14.079654670711198</v>
      </c>
      <c r="J377" s="12">
        <v>19.282048204346928</v>
      </c>
      <c r="K377" s="12">
        <v>10.875042050252885</v>
      </c>
      <c r="L377" s="12">
        <v>-4.6993492762397047</v>
      </c>
      <c r="M377" s="12">
        <v>38.061052151297829</v>
      </c>
    </row>
    <row r="378" spans="2:13" x14ac:dyDescent="0.3">
      <c r="B378" s="3" t="s">
        <v>321</v>
      </c>
      <c r="C378" s="9">
        <v>1</v>
      </c>
      <c r="D378" s="12">
        <v>4.1449157789999997</v>
      </c>
      <c r="E378" s="12">
        <v>12.097174707944587</v>
      </c>
      <c r="F378" s="12">
        <v>-7.9522589289445875</v>
      </c>
      <c r="G378" s="12">
        <v>-0.73671213782765566</v>
      </c>
      <c r="H378" s="12">
        <v>1.2163426316670456</v>
      </c>
      <c r="I378" s="12">
        <v>9.7058598531068156</v>
      </c>
      <c r="J378" s="12">
        <v>14.488489562782359</v>
      </c>
      <c r="K378" s="12">
        <v>10.862570495816943</v>
      </c>
      <c r="L378" s="12">
        <v>-9.2585070811321213</v>
      </c>
      <c r="M378" s="12">
        <v>33.452856497021294</v>
      </c>
    </row>
    <row r="379" spans="2:13" x14ac:dyDescent="0.3">
      <c r="B379" s="3" t="s">
        <v>322</v>
      </c>
      <c r="C379" s="9">
        <v>1</v>
      </c>
      <c r="D379" s="12">
        <v>2.0836467700000001</v>
      </c>
      <c r="E379" s="12">
        <v>7.7449644303451395</v>
      </c>
      <c r="F379" s="12">
        <v>-5.6613176603451389</v>
      </c>
      <c r="G379" s="12">
        <v>-0.52447505466573974</v>
      </c>
      <c r="H379" s="12">
        <v>1.4130891560747612</v>
      </c>
      <c r="I379" s="12">
        <v>4.9668482958308857</v>
      </c>
      <c r="J379" s="12">
        <v>10.523080564859393</v>
      </c>
      <c r="K379" s="12">
        <v>10.886357028041939</v>
      </c>
      <c r="L379" s="12">
        <v>-13.657481392461733</v>
      </c>
      <c r="M379" s="12">
        <v>29.14741025315201</v>
      </c>
    </row>
    <row r="380" spans="2:13" x14ac:dyDescent="0.3">
      <c r="B380" s="3" t="s">
        <v>323</v>
      </c>
      <c r="C380" s="9">
        <v>1</v>
      </c>
      <c r="D380" s="12">
        <v>-0.69154026300000004</v>
      </c>
      <c r="E380" s="12">
        <v>1.0905761883052145</v>
      </c>
      <c r="F380" s="12">
        <v>-1.7821164513052146</v>
      </c>
      <c r="G380" s="12">
        <v>-0.16509860059010265</v>
      </c>
      <c r="H380" s="12">
        <v>1.5763672898920988</v>
      </c>
      <c r="I380" s="12">
        <v>-2.0085427760880377</v>
      </c>
      <c r="J380" s="12">
        <v>4.1896951526984667</v>
      </c>
      <c r="K380" s="12">
        <v>10.90875255066425</v>
      </c>
      <c r="L380" s="12">
        <v>-20.355898960231357</v>
      </c>
      <c r="M380" s="12">
        <v>22.537051336841785</v>
      </c>
    </row>
    <row r="381" spans="2:13" x14ac:dyDescent="0.3">
      <c r="B381" s="3" t="s">
        <v>324</v>
      </c>
      <c r="C381" s="9">
        <v>1</v>
      </c>
      <c r="D381" s="12">
        <v>-0.43982358500000002</v>
      </c>
      <c r="E381" s="12">
        <v>0.53158008672116974</v>
      </c>
      <c r="F381" s="12">
        <v>-0.97140367172116981</v>
      </c>
      <c r="G381" s="12">
        <v>-8.999265266407977E-2</v>
      </c>
      <c r="H381" s="12">
        <v>1.2185165959252806</v>
      </c>
      <c r="I381" s="12">
        <v>-1.8640087554695568</v>
      </c>
      <c r="J381" s="12">
        <v>2.9271689289118963</v>
      </c>
      <c r="K381" s="12">
        <v>10.86281414153475</v>
      </c>
      <c r="L381" s="12">
        <v>-20.824580706880369</v>
      </c>
      <c r="M381" s="12">
        <v>21.88774088032271</v>
      </c>
    </row>
    <row r="382" spans="2:13" x14ac:dyDescent="0.3">
      <c r="B382" s="3" t="s">
        <v>325</v>
      </c>
      <c r="C382" s="9">
        <v>1</v>
      </c>
      <c r="D382" s="12">
        <v>-0.46995494300000001</v>
      </c>
      <c r="E382" s="12">
        <v>0.7598174163834619</v>
      </c>
      <c r="F382" s="12">
        <v>-1.229772359383462</v>
      </c>
      <c r="G382" s="12">
        <v>-0.11392841103615722</v>
      </c>
      <c r="H382" s="12">
        <v>1.2771405477375408</v>
      </c>
      <c r="I382" s="12">
        <v>-1.7510254037310822</v>
      </c>
      <c r="J382" s="12">
        <v>3.270660236498006</v>
      </c>
      <c r="K382" s="12">
        <v>10.869546281131397</v>
      </c>
      <c r="L382" s="12">
        <v>-20.609578681977755</v>
      </c>
      <c r="M382" s="12">
        <v>22.129213514744681</v>
      </c>
    </row>
    <row r="383" spans="2:13" x14ac:dyDescent="0.3">
      <c r="B383" s="3" t="s">
        <v>326</v>
      </c>
      <c r="C383" s="9">
        <v>1</v>
      </c>
      <c r="D383" s="12">
        <v>3.2192976660000001</v>
      </c>
      <c r="E383" s="12">
        <v>12.941311784625283</v>
      </c>
      <c r="F383" s="12">
        <v>-9.7220141186252818</v>
      </c>
      <c r="G383" s="12">
        <v>-0.90066556802541853</v>
      </c>
      <c r="H383" s="12">
        <v>1.4242973942575423</v>
      </c>
      <c r="I383" s="12">
        <v>10.141160389843689</v>
      </c>
      <c r="J383" s="12">
        <v>15.741463179406876</v>
      </c>
      <c r="K383" s="12">
        <v>10.887817570398159</v>
      </c>
      <c r="L383" s="12">
        <v>-8.4640054467317949</v>
      </c>
      <c r="M383" s="12">
        <v>34.346629015982359</v>
      </c>
    </row>
    <row r="384" spans="2:13" x14ac:dyDescent="0.3">
      <c r="B384" s="3" t="s">
        <v>327</v>
      </c>
      <c r="C384" s="9">
        <v>1</v>
      </c>
      <c r="D384" s="12">
        <v>4.0256389969999997</v>
      </c>
      <c r="E384" s="12">
        <v>9.4037468782823463</v>
      </c>
      <c r="F384" s="12">
        <v>-5.3781078812823466</v>
      </c>
      <c r="G384" s="12">
        <v>-0.49823797113371004</v>
      </c>
      <c r="H384" s="12">
        <v>1.2806894582348078</v>
      </c>
      <c r="I384" s="12">
        <v>6.8859269431924162</v>
      </c>
      <c r="J384" s="12">
        <v>11.921566813372277</v>
      </c>
      <c r="K384" s="12">
        <v>10.869963839287406</v>
      </c>
      <c r="L384" s="12">
        <v>-11.966470134346961</v>
      </c>
      <c r="M384" s="12">
        <v>30.773963890911652</v>
      </c>
    </row>
    <row r="385" spans="2:13" x14ac:dyDescent="0.3">
      <c r="B385" s="3" t="s">
        <v>328</v>
      </c>
      <c r="C385" s="9">
        <v>1</v>
      </c>
      <c r="D385" s="12">
        <v>-0.41852302299999999</v>
      </c>
      <c r="E385" s="12">
        <v>-2.13399670762655</v>
      </c>
      <c r="F385" s="12">
        <v>1.7154736846265499</v>
      </c>
      <c r="G385" s="12">
        <v>0.15892469006363732</v>
      </c>
      <c r="H385" s="12">
        <v>1.1386406565050544</v>
      </c>
      <c r="I385" s="12">
        <v>-4.3725504221263858</v>
      </c>
      <c r="J385" s="12">
        <v>0.10455700687328573</v>
      </c>
      <c r="K385" s="12">
        <v>10.854144412326026</v>
      </c>
      <c r="L385" s="12">
        <v>-23.473112918801647</v>
      </c>
      <c r="M385" s="12">
        <v>19.205119503548545</v>
      </c>
    </row>
    <row r="386" spans="2:13" x14ac:dyDescent="0.3">
      <c r="B386" s="3" t="s">
        <v>329</v>
      </c>
      <c r="C386" s="9">
        <v>1</v>
      </c>
      <c r="D386" s="12">
        <v>-0.97586096700000002</v>
      </c>
      <c r="E386" s="12">
        <v>6.0747553857522982</v>
      </c>
      <c r="F386" s="12">
        <v>-7.0506163527522983</v>
      </c>
      <c r="G386" s="12">
        <v>-0.65318228350597118</v>
      </c>
      <c r="H386" s="12">
        <v>1.1074848440198948</v>
      </c>
      <c r="I386" s="12">
        <v>3.8974536205557544</v>
      </c>
      <c r="J386" s="12">
        <v>8.2520571509488416</v>
      </c>
      <c r="K386" s="12">
        <v>10.850920286257558</v>
      </c>
      <c r="L386" s="12">
        <v>-15.25802223269352</v>
      </c>
      <c r="M386" s="12">
        <v>27.407533004198115</v>
      </c>
    </row>
    <row r="387" spans="2:13" x14ac:dyDescent="0.3">
      <c r="B387" s="3" t="s">
        <v>330</v>
      </c>
      <c r="C387" s="9">
        <v>1</v>
      </c>
      <c r="D387" s="12">
        <v>-0.85257913900000004</v>
      </c>
      <c r="E387" s="12">
        <v>-8.9518095777598994</v>
      </c>
      <c r="F387" s="12">
        <v>8.0992304387598999</v>
      </c>
      <c r="G387" s="12">
        <v>0.75032785333230245</v>
      </c>
      <c r="H387" s="12">
        <v>1.3722295409687797</v>
      </c>
      <c r="I387" s="12">
        <v>-11.649596204763615</v>
      </c>
      <c r="J387" s="12">
        <v>-6.254022950756184</v>
      </c>
      <c r="K387" s="12">
        <v>10.881128723257042</v>
      </c>
      <c r="L387" s="12">
        <v>-30.343976616799562</v>
      </c>
      <c r="M387" s="12">
        <v>12.440357461279763</v>
      </c>
    </row>
    <row r="388" spans="2:13" x14ac:dyDescent="0.3">
      <c r="B388" s="3" t="s">
        <v>331</v>
      </c>
      <c r="C388" s="9">
        <v>1</v>
      </c>
      <c r="D388" s="12">
        <v>0.77738944300000001</v>
      </c>
      <c r="E388" s="12">
        <v>2.6065678114366504</v>
      </c>
      <c r="F388" s="12">
        <v>-1.8291783684366503</v>
      </c>
      <c r="G388" s="12">
        <v>-0.16945850459850614</v>
      </c>
      <c r="H388" s="12">
        <v>1.5111218117259715</v>
      </c>
      <c r="I388" s="12">
        <v>-0.36427933456623673</v>
      </c>
      <c r="J388" s="12">
        <v>5.5774149574395375</v>
      </c>
      <c r="K388" s="12">
        <v>10.899515471288439</v>
      </c>
      <c r="L388" s="12">
        <v>-18.821747351129172</v>
      </c>
      <c r="M388" s="12">
        <v>24.034882974002475</v>
      </c>
    </row>
    <row r="389" spans="2:13" x14ac:dyDescent="0.3">
      <c r="B389" s="3" t="s">
        <v>332</v>
      </c>
      <c r="C389" s="9">
        <v>1</v>
      </c>
      <c r="D389" s="12">
        <v>42.17996368</v>
      </c>
      <c r="E389" s="12">
        <v>25.110813167217117</v>
      </c>
      <c r="F389" s="12">
        <v>17.069150512782883</v>
      </c>
      <c r="G389" s="12">
        <v>1.5813180226568964</v>
      </c>
      <c r="H389" s="12">
        <v>1.6095998382443024</v>
      </c>
      <c r="I389" s="12">
        <v>21.946359416004938</v>
      </c>
      <c r="J389" s="12">
        <v>28.275266918429296</v>
      </c>
      <c r="K389" s="12">
        <v>10.913604355035879</v>
      </c>
      <c r="L389" s="12">
        <v>3.6547994301573929</v>
      </c>
      <c r="M389" s="12">
        <v>46.566826904276837</v>
      </c>
    </row>
    <row r="390" spans="2:13" x14ac:dyDescent="0.3">
      <c r="B390" s="3" t="s">
        <v>333</v>
      </c>
      <c r="C390" s="9">
        <v>1</v>
      </c>
      <c r="D390" s="12">
        <v>-1.760697875</v>
      </c>
      <c r="E390" s="12">
        <v>-4.3420442360739457</v>
      </c>
      <c r="F390" s="12">
        <v>2.5813463610739458</v>
      </c>
      <c r="G390" s="12">
        <v>0.23914075398357512</v>
      </c>
      <c r="H390" s="12">
        <v>1.4016297257164794</v>
      </c>
      <c r="I390" s="12">
        <v>-7.0976312695517745</v>
      </c>
      <c r="J390" s="12">
        <v>-1.5864572025961166</v>
      </c>
      <c r="K390" s="12">
        <v>10.88487548238353</v>
      </c>
      <c r="L390" s="12">
        <v>-25.741577358093359</v>
      </c>
      <c r="M390" s="12">
        <v>17.057488885945467</v>
      </c>
    </row>
    <row r="391" spans="2:13" x14ac:dyDescent="0.3">
      <c r="B391" s="3" t="s">
        <v>334</v>
      </c>
      <c r="C391" s="9">
        <v>1</v>
      </c>
      <c r="D391" s="12">
        <v>-2.8403377810000001</v>
      </c>
      <c r="E391" s="12">
        <v>0.44689069983288299</v>
      </c>
      <c r="F391" s="12">
        <v>-3.2872284808328831</v>
      </c>
      <c r="G391" s="12">
        <v>-0.30453499355104124</v>
      </c>
      <c r="H391" s="12">
        <v>1.3908401840539382</v>
      </c>
      <c r="I391" s="12">
        <v>-2.2874842256559624</v>
      </c>
      <c r="J391" s="12">
        <v>3.1812656253217284</v>
      </c>
      <c r="K391" s="12">
        <v>10.88349138817876</v>
      </c>
      <c r="L391" s="12">
        <v>-20.94992130977446</v>
      </c>
      <c r="M391" s="12">
        <v>21.843702709440223</v>
      </c>
    </row>
    <row r="392" spans="2:13" x14ac:dyDescent="0.3">
      <c r="B392" s="3" t="s">
        <v>335</v>
      </c>
      <c r="C392" s="9">
        <v>1</v>
      </c>
      <c r="D392" s="12">
        <v>0.74847490299999997</v>
      </c>
      <c r="E392" s="12">
        <v>-3.8461495541206938</v>
      </c>
      <c r="F392" s="12">
        <v>4.5946244571206938</v>
      </c>
      <c r="G392" s="12">
        <v>0.42565460161265894</v>
      </c>
      <c r="H392" s="12">
        <v>1.5026110552216843</v>
      </c>
      <c r="I392" s="12">
        <v>-6.8002646561050994</v>
      </c>
      <c r="J392" s="12">
        <v>-0.89203445213628862</v>
      </c>
      <c r="K392" s="12">
        <v>10.898338789111691</v>
      </c>
      <c r="L392" s="12">
        <v>-25.272151373804814</v>
      </c>
      <c r="M392" s="12">
        <v>17.579852265563428</v>
      </c>
    </row>
    <row r="393" spans="2:13" x14ac:dyDescent="0.3">
      <c r="B393" s="3" t="s">
        <v>336</v>
      </c>
      <c r="C393" s="9">
        <v>1</v>
      </c>
      <c r="D393" s="12">
        <v>-2.0207167140000002</v>
      </c>
      <c r="E393" s="12">
        <v>-6.1901964438177082E-2</v>
      </c>
      <c r="F393" s="12">
        <v>-1.9588147495618231</v>
      </c>
      <c r="G393" s="12">
        <v>-0.18146826136476904</v>
      </c>
      <c r="H393" s="12">
        <v>1.3515648906894313</v>
      </c>
      <c r="I393" s="12">
        <v>-2.7190621397361689</v>
      </c>
      <c r="J393" s="12">
        <v>2.5952582108598148</v>
      </c>
      <c r="K393" s="12">
        <v>10.878541999400763</v>
      </c>
      <c r="L393" s="12">
        <v>-21.448983535763528</v>
      </c>
      <c r="M393" s="12">
        <v>21.325179606887172</v>
      </c>
    </row>
    <row r="394" spans="2:13" x14ac:dyDescent="0.3">
      <c r="B394" s="3" t="s">
        <v>337</v>
      </c>
      <c r="C394" s="9">
        <v>1</v>
      </c>
      <c r="D394" s="12">
        <v>1.006996979</v>
      </c>
      <c r="E394" s="12">
        <v>0.33385462433427371</v>
      </c>
      <c r="F394" s="12">
        <v>0.67314235466572625</v>
      </c>
      <c r="G394" s="12">
        <v>6.2361166506174862E-2</v>
      </c>
      <c r="H394" s="12">
        <v>1.4199116027843051</v>
      </c>
      <c r="I394" s="12">
        <v>-2.4576743576278348</v>
      </c>
      <c r="J394" s="12">
        <v>3.1253836062963822</v>
      </c>
      <c r="K394" s="12">
        <v>10.887244708313647</v>
      </c>
      <c r="L394" s="12">
        <v>-21.070336367115722</v>
      </c>
      <c r="M394" s="12">
        <v>21.738045615784266</v>
      </c>
    </row>
    <row r="395" spans="2:13" x14ac:dyDescent="0.3">
      <c r="B395" s="3" t="s">
        <v>338</v>
      </c>
      <c r="C395" s="9">
        <v>1</v>
      </c>
      <c r="D395" s="12">
        <v>9.9702820929999998</v>
      </c>
      <c r="E395" s="12">
        <v>18.525267961727316</v>
      </c>
      <c r="F395" s="12">
        <v>-8.5549858687273161</v>
      </c>
      <c r="G395" s="12">
        <v>-0.79254988862289877</v>
      </c>
      <c r="H395" s="12">
        <v>1.1133573929581371</v>
      </c>
      <c r="I395" s="12">
        <v>16.3364208365753</v>
      </c>
      <c r="J395" s="12">
        <v>20.714115086879332</v>
      </c>
      <c r="K395" s="12">
        <v>10.851521232686068</v>
      </c>
      <c r="L395" s="12">
        <v>-2.8086911101051086</v>
      </c>
      <c r="M395" s="12">
        <v>39.859227033559741</v>
      </c>
    </row>
    <row r="396" spans="2:13" x14ac:dyDescent="0.3">
      <c r="B396" s="3" t="s">
        <v>339</v>
      </c>
      <c r="C396" s="9">
        <v>1</v>
      </c>
      <c r="D396" s="12">
        <v>2.2269295659999999</v>
      </c>
      <c r="E396" s="12">
        <v>0.30944290086576309</v>
      </c>
      <c r="F396" s="12">
        <v>1.9174866651342368</v>
      </c>
      <c r="G396" s="12">
        <v>0.17763955034026396</v>
      </c>
      <c r="H396" s="12">
        <v>1.7694846079472699</v>
      </c>
      <c r="I396" s="12">
        <v>-3.1693423675514141</v>
      </c>
      <c r="J396" s="12">
        <v>3.7882281692829403</v>
      </c>
      <c r="K396" s="12">
        <v>10.938328215808133</v>
      </c>
      <c r="L396" s="12">
        <v>-21.195177646474548</v>
      </c>
      <c r="M396" s="12">
        <v>21.814063448206078</v>
      </c>
    </row>
    <row r="397" spans="2:13" x14ac:dyDescent="0.3">
      <c r="B397" s="3" t="s">
        <v>340</v>
      </c>
      <c r="C397" s="9">
        <v>1</v>
      </c>
      <c r="D397" s="12">
        <v>0.50555047600000003</v>
      </c>
      <c r="E397" s="12">
        <v>1.0581492872572082</v>
      </c>
      <c r="F397" s="12">
        <v>-0.55259881125720822</v>
      </c>
      <c r="G397" s="12">
        <v>-5.1193787229504815E-2</v>
      </c>
      <c r="H397" s="12">
        <v>1.2940058129042027</v>
      </c>
      <c r="I397" s="12">
        <v>-1.4858504395330006</v>
      </c>
      <c r="J397" s="12">
        <v>3.6021490140474173</v>
      </c>
      <c r="K397" s="12">
        <v>10.8715408026099</v>
      </c>
      <c r="L397" s="12">
        <v>-20.315168016129356</v>
      </c>
      <c r="M397" s="12">
        <v>22.431466590643772</v>
      </c>
    </row>
    <row r="398" spans="2:13" x14ac:dyDescent="0.3">
      <c r="B398" s="3" t="s">
        <v>341</v>
      </c>
      <c r="C398" s="9">
        <v>1</v>
      </c>
      <c r="D398" s="12">
        <v>5.0115716990000001</v>
      </c>
      <c r="E398" s="12">
        <v>15.584875246928942</v>
      </c>
      <c r="F398" s="12">
        <v>-10.573303547928941</v>
      </c>
      <c r="G398" s="12">
        <v>-0.97953061265942398</v>
      </c>
      <c r="H398" s="12">
        <v>1.2351360078533895</v>
      </c>
      <c r="I398" s="12">
        <v>13.156612842546378</v>
      </c>
      <c r="J398" s="12">
        <v>18.013137651311503</v>
      </c>
      <c r="K398" s="12">
        <v>10.864690945299735</v>
      </c>
      <c r="L398" s="12">
        <v>-5.7749753201015466</v>
      </c>
      <c r="M398" s="12">
        <v>36.94472581395943</v>
      </c>
    </row>
    <row r="399" spans="2:13" x14ac:dyDescent="0.3">
      <c r="B399" s="3" t="s">
        <v>342</v>
      </c>
      <c r="C399" s="9">
        <v>1</v>
      </c>
      <c r="D399" s="12">
        <v>-1.7764017999999999</v>
      </c>
      <c r="E399" s="12">
        <v>-3.5868972600131555</v>
      </c>
      <c r="F399" s="12">
        <v>1.8104954600131555</v>
      </c>
      <c r="G399" s="12">
        <v>0.16772768502528859</v>
      </c>
      <c r="H399" s="12">
        <v>1.9563921544434566</v>
      </c>
      <c r="I399" s="12">
        <v>-7.4331404969182442</v>
      </c>
      <c r="J399" s="12">
        <v>0.25934597689193328</v>
      </c>
      <c r="K399" s="12">
        <v>10.970114796160974</v>
      </c>
      <c r="L399" s="12">
        <v>-25.154009838630927</v>
      </c>
      <c r="M399" s="12">
        <v>17.980215318604614</v>
      </c>
    </row>
    <row r="400" spans="2:13" x14ac:dyDescent="0.3">
      <c r="B400" s="3" t="s">
        <v>343</v>
      </c>
      <c r="C400" s="9">
        <v>1</v>
      </c>
      <c r="D400" s="12">
        <v>26.70337305</v>
      </c>
      <c r="E400" s="12">
        <v>18.087615774457944</v>
      </c>
      <c r="F400" s="12">
        <v>8.6157572755420553</v>
      </c>
      <c r="G400" s="12">
        <v>0.79817986539218166</v>
      </c>
      <c r="H400" s="12">
        <v>1.5012783707652231</v>
      </c>
      <c r="I400" s="12">
        <v>15.136120713944239</v>
      </c>
      <c r="J400" s="12">
        <v>21.039110834971652</v>
      </c>
      <c r="K400" s="12">
        <v>10.898155124859873</v>
      </c>
      <c r="L400" s="12">
        <v>-3.3380249635356698</v>
      </c>
      <c r="M400" s="12">
        <v>39.513256512451562</v>
      </c>
    </row>
    <row r="401" spans="2:13" x14ac:dyDescent="0.3">
      <c r="B401" s="3" t="s">
        <v>344</v>
      </c>
      <c r="C401" s="9">
        <v>1</v>
      </c>
      <c r="D401" s="12">
        <v>-0.79041952299999996</v>
      </c>
      <c r="E401" s="12">
        <v>-8.8521873959791915</v>
      </c>
      <c r="F401" s="12">
        <v>8.0617678729791908</v>
      </c>
      <c r="G401" s="12">
        <v>0.74685725118372803</v>
      </c>
      <c r="H401" s="12">
        <v>1.3170402608694101</v>
      </c>
      <c r="I401" s="12">
        <v>-11.441472567970557</v>
      </c>
      <c r="J401" s="12">
        <v>-6.262902223987826</v>
      </c>
      <c r="K401" s="12">
        <v>10.87430657227085</v>
      </c>
      <c r="L401" s="12">
        <v>-30.230942168959523</v>
      </c>
      <c r="M401" s="12">
        <v>12.526567377001138</v>
      </c>
    </row>
    <row r="402" spans="2:13" x14ac:dyDescent="0.3">
      <c r="B402" s="3" t="s">
        <v>345</v>
      </c>
      <c r="C402" s="9">
        <v>1</v>
      </c>
      <c r="D402" s="12">
        <v>9.8655559250000007</v>
      </c>
      <c r="E402" s="12">
        <v>18.663895707602041</v>
      </c>
      <c r="F402" s="12">
        <v>-8.7983397826020404</v>
      </c>
      <c r="G402" s="12">
        <v>-0.81509465027380856</v>
      </c>
      <c r="H402" s="12">
        <v>1.1496155554045304</v>
      </c>
      <c r="I402" s="12">
        <v>16.403765475034518</v>
      </c>
      <c r="J402" s="12">
        <v>20.924025940169564</v>
      </c>
      <c r="K402" s="12">
        <v>10.85530120743824</v>
      </c>
      <c r="L402" s="12">
        <v>-2.6774947487271952</v>
      </c>
      <c r="M402" s="12">
        <v>40.005286163931274</v>
      </c>
    </row>
    <row r="403" spans="2:13" x14ac:dyDescent="0.3">
      <c r="B403" s="3" t="s">
        <v>346</v>
      </c>
      <c r="C403" s="9">
        <v>1</v>
      </c>
      <c r="D403" s="12">
        <v>12.884717520000001</v>
      </c>
      <c r="E403" s="12">
        <v>24.546612404777171</v>
      </c>
      <c r="F403" s="12">
        <v>-11.661894884777171</v>
      </c>
      <c r="G403" s="12">
        <v>-1.0803797497607184</v>
      </c>
      <c r="H403" s="12">
        <v>1.3218093382983704</v>
      </c>
      <c r="I403" s="12">
        <v>21.947951284428136</v>
      </c>
      <c r="J403" s="12">
        <v>27.145273525126207</v>
      </c>
      <c r="K403" s="12">
        <v>10.874885208855991</v>
      </c>
      <c r="L403" s="12">
        <v>3.1667200392915937</v>
      </c>
      <c r="M403" s="12">
        <v>45.926504770262753</v>
      </c>
    </row>
    <row r="404" spans="2:13" x14ac:dyDescent="0.3">
      <c r="B404" s="3" t="s">
        <v>347</v>
      </c>
      <c r="C404" s="9">
        <v>1</v>
      </c>
      <c r="D404" s="12">
        <v>21.707930269999999</v>
      </c>
      <c r="E404" s="12">
        <v>37.480340423596303</v>
      </c>
      <c r="F404" s="12">
        <v>-15.772410153596304</v>
      </c>
      <c r="G404" s="12">
        <v>-1.4611855708894417</v>
      </c>
      <c r="H404" s="12">
        <v>1.8148415821550798</v>
      </c>
      <c r="I404" s="12">
        <v>33.912383894245046</v>
      </c>
      <c r="J404" s="12">
        <v>41.04829695294756</v>
      </c>
      <c r="K404" s="12">
        <v>10.945757093381033</v>
      </c>
      <c r="L404" s="12">
        <v>15.96111479308917</v>
      </c>
      <c r="M404" s="12">
        <v>58.99956605410344</v>
      </c>
    </row>
    <row r="405" spans="2:13" x14ac:dyDescent="0.3">
      <c r="B405" s="3" t="s">
        <v>348</v>
      </c>
      <c r="C405" s="9">
        <v>1</v>
      </c>
      <c r="D405" s="12">
        <v>8.7683623470000001</v>
      </c>
      <c r="E405" s="12">
        <v>17.692939739678629</v>
      </c>
      <c r="F405" s="12">
        <v>-8.9245773926786285</v>
      </c>
      <c r="G405" s="12">
        <v>-0.82678953853446036</v>
      </c>
      <c r="H405" s="12">
        <v>1.2095896300815749</v>
      </c>
      <c r="I405" s="12">
        <v>15.314901204017424</v>
      </c>
      <c r="J405" s="12">
        <v>20.070978275339833</v>
      </c>
      <c r="K405" s="12">
        <v>10.861816397462393</v>
      </c>
      <c r="L405" s="12">
        <v>-3.6612595011832134</v>
      </c>
      <c r="M405" s="12">
        <v>39.047138980540467</v>
      </c>
    </row>
    <row r="406" spans="2:13" x14ac:dyDescent="0.3">
      <c r="B406" s="3" t="s">
        <v>349</v>
      </c>
      <c r="C406" s="9">
        <v>1</v>
      </c>
      <c r="D406" s="12">
        <v>0.84977663699999995</v>
      </c>
      <c r="E406" s="12">
        <v>-7.7475780744390272</v>
      </c>
      <c r="F406" s="12">
        <v>8.5973547114390279</v>
      </c>
      <c r="G406" s="12">
        <v>0.79647501744105353</v>
      </c>
      <c r="H406" s="12">
        <v>1.8486491494908268</v>
      </c>
      <c r="I406" s="12">
        <v>-11.381999870953617</v>
      </c>
      <c r="J406" s="12">
        <v>-4.1131562779244373</v>
      </c>
      <c r="K406" s="12">
        <v>10.951413244732169</v>
      </c>
      <c r="L406" s="12">
        <v>-29.277923629871133</v>
      </c>
      <c r="M406" s="12">
        <v>13.78276748099308</v>
      </c>
    </row>
    <row r="407" spans="2:13" x14ac:dyDescent="0.3">
      <c r="B407" s="3" t="s">
        <v>350</v>
      </c>
      <c r="C407" s="9">
        <v>1</v>
      </c>
      <c r="D407" s="12">
        <v>0.14974278899999999</v>
      </c>
      <c r="E407" s="12">
        <v>-7.8770951330250183</v>
      </c>
      <c r="F407" s="12">
        <v>8.0268379220250186</v>
      </c>
      <c r="G407" s="12">
        <v>0.74362127520865018</v>
      </c>
      <c r="H407" s="12">
        <v>1.4941773670662866</v>
      </c>
      <c r="I407" s="12">
        <v>-10.814629706429717</v>
      </c>
      <c r="J407" s="12">
        <v>-4.93956055962032</v>
      </c>
      <c r="K407" s="12">
        <v>10.897179193866419</v>
      </c>
      <c r="L407" s="12">
        <v>-29.300817202527387</v>
      </c>
      <c r="M407" s="12">
        <v>13.546626936477349</v>
      </c>
    </row>
    <row r="408" spans="2:13" x14ac:dyDescent="0.3">
      <c r="B408" s="3" t="s">
        <v>351</v>
      </c>
      <c r="C408" s="9">
        <v>1</v>
      </c>
      <c r="D408" s="12">
        <v>5.5228813810000004</v>
      </c>
      <c r="E408" s="12">
        <v>15.471280543853062</v>
      </c>
      <c r="F408" s="12">
        <v>-9.948399162853061</v>
      </c>
      <c r="G408" s="12">
        <v>-0.92163830186060691</v>
      </c>
      <c r="H408" s="12">
        <v>1.4964555960101509</v>
      </c>
      <c r="I408" s="12">
        <v>12.529266999988604</v>
      </c>
      <c r="J408" s="12">
        <v>18.413294087717521</v>
      </c>
      <c r="K408" s="12">
        <v>10.897491809118836</v>
      </c>
      <c r="L408" s="12">
        <v>-5.9530561234423054</v>
      </c>
      <c r="M408" s="12">
        <v>36.895617211148434</v>
      </c>
    </row>
    <row r="409" spans="2:13" x14ac:dyDescent="0.3">
      <c r="B409" s="3" t="s">
        <v>352</v>
      </c>
      <c r="C409" s="9">
        <v>1</v>
      </c>
      <c r="D409" s="12">
        <v>5.3201994929999996</v>
      </c>
      <c r="E409" s="12">
        <v>15.707650592298123</v>
      </c>
      <c r="F409" s="12">
        <v>-10.387451099298122</v>
      </c>
      <c r="G409" s="12">
        <v>-0.96231289427591471</v>
      </c>
      <c r="H409" s="12">
        <v>1.2864695274523386</v>
      </c>
      <c r="I409" s="12">
        <v>13.178467111261497</v>
      </c>
      <c r="J409" s="12">
        <v>18.236834073334748</v>
      </c>
      <c r="K409" s="12">
        <v>10.87064635723403</v>
      </c>
      <c r="L409" s="12">
        <v>-5.6639082423326208</v>
      </c>
      <c r="M409" s="12">
        <v>37.07920942692887</v>
      </c>
    </row>
    <row r="410" spans="2:13" x14ac:dyDescent="0.3">
      <c r="B410" s="3" t="s">
        <v>353</v>
      </c>
      <c r="C410" s="9">
        <v>1</v>
      </c>
      <c r="D410" s="12">
        <v>2.0538924930000002</v>
      </c>
      <c r="E410" s="12">
        <v>9.1674921320224687</v>
      </c>
      <c r="F410" s="12">
        <v>-7.1135996390224685</v>
      </c>
      <c r="G410" s="12">
        <v>-0.65901717292419926</v>
      </c>
      <c r="H410" s="12">
        <v>1.8787857176865002</v>
      </c>
      <c r="I410" s="12">
        <v>5.473822208110275</v>
      </c>
      <c r="J410" s="12">
        <v>12.861162055934663</v>
      </c>
      <c r="K410" s="12">
        <v>10.956540701880535</v>
      </c>
      <c r="L410" s="12">
        <v>-12.372933941947105</v>
      </c>
      <c r="M410" s="12">
        <v>30.707918205992044</v>
      </c>
    </row>
    <row r="411" spans="2:13" x14ac:dyDescent="0.3">
      <c r="B411" s="3" t="s">
        <v>354</v>
      </c>
      <c r="C411" s="9">
        <v>1</v>
      </c>
      <c r="D411" s="12">
        <v>4.701629853</v>
      </c>
      <c r="E411" s="12">
        <v>7.9480092262792894</v>
      </c>
      <c r="F411" s="12">
        <v>-3.2463793732792894</v>
      </c>
      <c r="G411" s="12">
        <v>-0.30075065583982513</v>
      </c>
      <c r="H411" s="12">
        <v>1.56120810374677</v>
      </c>
      <c r="I411" s="12">
        <v>4.8786930379072091</v>
      </c>
      <c r="J411" s="12">
        <v>11.017325414651371</v>
      </c>
      <c r="K411" s="12">
        <v>10.906572290237966</v>
      </c>
      <c r="L411" s="12">
        <v>-13.494179556714339</v>
      </c>
      <c r="M411" s="12">
        <v>29.390198009272918</v>
      </c>
    </row>
    <row r="412" spans="2:13" x14ac:dyDescent="0.3">
      <c r="B412" s="3" t="s">
        <v>355</v>
      </c>
      <c r="C412" s="9">
        <v>1</v>
      </c>
      <c r="D412" s="12">
        <v>3.310049851</v>
      </c>
      <c r="E412" s="12">
        <v>9.6832186959740127</v>
      </c>
      <c r="F412" s="12">
        <v>-6.3731688449740123</v>
      </c>
      <c r="G412" s="12">
        <v>-0.59042227956485249</v>
      </c>
      <c r="H412" s="12">
        <v>1.5440141733928385</v>
      </c>
      <c r="I412" s="12">
        <v>6.647705566047768</v>
      </c>
      <c r="J412" s="12">
        <v>12.718731825900257</v>
      </c>
      <c r="K412" s="12">
        <v>10.904124364047762</v>
      </c>
      <c r="L412" s="12">
        <v>-11.754157493832647</v>
      </c>
      <c r="M412" s="12">
        <v>31.120594885780672</v>
      </c>
    </row>
    <row r="413" spans="2:13" x14ac:dyDescent="0.3">
      <c r="B413" s="3" t="s">
        <v>356</v>
      </c>
      <c r="C413" s="9">
        <v>1</v>
      </c>
      <c r="D413" s="12">
        <v>0.50952255800000001</v>
      </c>
      <c r="E413" s="12">
        <v>-8.7224754953017367</v>
      </c>
      <c r="F413" s="12">
        <v>9.2319980533017372</v>
      </c>
      <c r="G413" s="12">
        <v>0.85526956340836102</v>
      </c>
      <c r="H413" s="12">
        <v>1.4892301951375022</v>
      </c>
      <c r="I413" s="12">
        <v>-11.650283988723096</v>
      </c>
      <c r="J413" s="12">
        <v>-5.7946670018803772</v>
      </c>
      <c r="K413" s="12">
        <v>10.896501959486416</v>
      </c>
      <c r="L413" s="12">
        <v>-30.144866130230533</v>
      </c>
      <c r="M413" s="12">
        <v>12.699915139627059</v>
      </c>
    </row>
    <row r="414" spans="2:13" x14ac:dyDescent="0.3">
      <c r="B414" s="3" t="s">
        <v>357</v>
      </c>
      <c r="C414" s="9">
        <v>1</v>
      </c>
      <c r="D414" s="12">
        <v>9.2652205980000009</v>
      </c>
      <c r="E414" s="12">
        <v>14.238204749872015</v>
      </c>
      <c r="F414" s="12">
        <v>-4.9729841518720139</v>
      </c>
      <c r="G414" s="12">
        <v>-0.46070655126353111</v>
      </c>
      <c r="H414" s="12">
        <v>1.3106885327949083</v>
      </c>
      <c r="I414" s="12">
        <v>11.661406998203679</v>
      </c>
      <c r="J414" s="12">
        <v>16.815002501540349</v>
      </c>
      <c r="K414" s="12">
        <v>10.873539111484453</v>
      </c>
      <c r="L414" s="12">
        <v>-7.139041204514573</v>
      </c>
      <c r="M414" s="12">
        <v>35.615450704258606</v>
      </c>
    </row>
    <row r="415" spans="2:13" x14ac:dyDescent="0.3">
      <c r="B415" s="3" t="s">
        <v>358</v>
      </c>
      <c r="C415" s="9">
        <v>1</v>
      </c>
      <c r="D415" s="12">
        <v>-0.93315115599999998</v>
      </c>
      <c r="E415" s="12">
        <v>-12.01998228926101</v>
      </c>
      <c r="F415" s="12">
        <v>11.086831133261011</v>
      </c>
      <c r="G415" s="12">
        <v>1.027104768456395</v>
      </c>
      <c r="H415" s="12">
        <v>1.5599043375619763</v>
      </c>
      <c r="I415" s="12">
        <v>-15.086735289133598</v>
      </c>
      <c r="J415" s="12">
        <v>-8.9532292893884229</v>
      </c>
      <c r="K415" s="12">
        <v>10.906385740534153</v>
      </c>
      <c r="L415" s="12">
        <v>-33.461804317800528</v>
      </c>
      <c r="M415" s="12">
        <v>9.4218397392785054</v>
      </c>
    </row>
    <row r="416" spans="2:13" x14ac:dyDescent="0.3">
      <c r="B416" s="3" t="s">
        <v>359</v>
      </c>
      <c r="C416" s="9">
        <v>1</v>
      </c>
      <c r="D416" s="12">
        <v>19.93662346</v>
      </c>
      <c r="E416" s="12">
        <v>10.537607206561168</v>
      </c>
      <c r="F416" s="12">
        <v>9.3990162534388322</v>
      </c>
      <c r="G416" s="12">
        <v>0.87074244179154225</v>
      </c>
      <c r="H416" s="12">
        <v>1.6175730904563945</v>
      </c>
      <c r="I416" s="12">
        <v>7.357478138246921</v>
      </c>
      <c r="J416" s="12">
        <v>13.717736274875413</v>
      </c>
      <c r="K416" s="12">
        <v>10.914783144064325</v>
      </c>
      <c r="L416" s="12">
        <v>-10.920724015425135</v>
      </c>
      <c r="M416" s="12">
        <v>31.995938428547468</v>
      </c>
    </row>
    <row r="417" spans="2:13" x14ac:dyDescent="0.3">
      <c r="B417" s="3" t="s">
        <v>360</v>
      </c>
      <c r="C417" s="9">
        <v>1</v>
      </c>
      <c r="D417" s="12">
        <v>9.4591740600000005</v>
      </c>
      <c r="E417" s="12">
        <v>28.405580606581417</v>
      </c>
      <c r="F417" s="12">
        <v>-18.946406546581414</v>
      </c>
      <c r="G417" s="12">
        <v>-1.755230532079314</v>
      </c>
      <c r="H417" s="12">
        <v>1.4333683176154999</v>
      </c>
      <c r="I417" s="12">
        <v>25.587595886544051</v>
      </c>
      <c r="J417" s="12">
        <v>31.223565326618782</v>
      </c>
      <c r="K417" s="12">
        <v>10.889007903061046</v>
      </c>
      <c r="L417" s="12">
        <v>6.9979231956525219</v>
      </c>
      <c r="M417" s="12">
        <v>49.813238017510315</v>
      </c>
    </row>
    <row r="418" spans="2:13" x14ac:dyDescent="0.3">
      <c r="B418" s="3" t="s">
        <v>361</v>
      </c>
      <c r="C418" s="9">
        <v>1</v>
      </c>
      <c r="D418" s="12">
        <v>-1.3676934700000001</v>
      </c>
      <c r="E418" s="12">
        <v>-0.5647685389813013</v>
      </c>
      <c r="F418" s="12">
        <v>-0.80292493101869877</v>
      </c>
      <c r="G418" s="12">
        <v>-7.4384467071724844E-2</v>
      </c>
      <c r="H418" s="12">
        <v>1.2946060551875915</v>
      </c>
      <c r="I418" s="12">
        <v>-3.1099483348173531</v>
      </c>
      <c r="J418" s="12">
        <v>1.9804112568547505</v>
      </c>
      <c r="K418" s="12">
        <v>10.871612263924353</v>
      </c>
      <c r="L418" s="12">
        <v>-21.938226334444973</v>
      </c>
      <c r="M418" s="12">
        <v>20.808689256482371</v>
      </c>
    </row>
    <row r="419" spans="2:13" x14ac:dyDescent="0.3">
      <c r="B419" s="3" t="s">
        <v>362</v>
      </c>
      <c r="C419" s="9">
        <v>1</v>
      </c>
      <c r="D419" s="12">
        <v>3.9455060780000002</v>
      </c>
      <c r="E419" s="12">
        <v>10.25427339598183</v>
      </c>
      <c r="F419" s="12">
        <v>-6.3087673179818298</v>
      </c>
      <c r="G419" s="12">
        <v>-0.58445600167404022</v>
      </c>
      <c r="H419" s="12">
        <v>1.2626552619888778</v>
      </c>
      <c r="I419" s="12">
        <v>7.7719084718856752</v>
      </c>
      <c r="J419" s="12">
        <v>12.736638320077985</v>
      </c>
      <c r="K419" s="12">
        <v>10.867853821689462</v>
      </c>
      <c r="L419" s="12">
        <v>-11.11179534765273</v>
      </c>
      <c r="M419" s="12">
        <v>31.62034213961639</v>
      </c>
    </row>
    <row r="420" spans="2:13" x14ac:dyDescent="0.3">
      <c r="B420" s="3" t="s">
        <v>363</v>
      </c>
      <c r="C420" s="9">
        <v>1</v>
      </c>
      <c r="D420" s="12">
        <v>12.0435531</v>
      </c>
      <c r="E420" s="12">
        <v>23.618909304708954</v>
      </c>
      <c r="F420" s="12">
        <v>-11.575356204708953</v>
      </c>
      <c r="G420" s="12">
        <v>-1.0723626446126719</v>
      </c>
      <c r="H420" s="12">
        <v>1.2263919978124262</v>
      </c>
      <c r="I420" s="12">
        <v>21.207837517967697</v>
      </c>
      <c r="J420" s="12">
        <v>26.02998109145021</v>
      </c>
      <c r="K420" s="12">
        <v>10.863700369178099</v>
      </c>
      <c r="L420" s="12">
        <v>2.2610061983140177</v>
      </c>
      <c r="M420" s="12">
        <v>44.976812411103893</v>
      </c>
    </row>
    <row r="421" spans="2:13" x14ac:dyDescent="0.3">
      <c r="B421" s="3" t="s">
        <v>364</v>
      </c>
      <c r="C421" s="9">
        <v>1</v>
      </c>
      <c r="D421" s="12">
        <v>26.606546730000002</v>
      </c>
      <c r="E421" s="12">
        <v>18.125246200119271</v>
      </c>
      <c r="F421" s="12">
        <v>8.4813005298807305</v>
      </c>
      <c r="G421" s="12">
        <v>0.78572354104125286</v>
      </c>
      <c r="H421" s="12">
        <v>1.3756722737705376</v>
      </c>
      <c r="I421" s="12">
        <v>15.420691202201189</v>
      </c>
      <c r="J421" s="12">
        <v>20.829801198037355</v>
      </c>
      <c r="K421" s="12">
        <v>10.881563425528661</v>
      </c>
      <c r="L421" s="12">
        <v>-3.2677754583117462</v>
      </c>
      <c r="M421" s="12">
        <v>39.518267858550288</v>
      </c>
    </row>
    <row r="422" spans="2:13" x14ac:dyDescent="0.3">
      <c r="B422" s="3" t="s">
        <v>365</v>
      </c>
      <c r="C422" s="9">
        <v>1</v>
      </c>
      <c r="D422" s="12">
        <v>-3.610341263</v>
      </c>
      <c r="E422" s="12">
        <v>-2.1164579229580749</v>
      </c>
      <c r="F422" s="12">
        <v>-1.4938833400419251</v>
      </c>
      <c r="G422" s="12">
        <v>-0.13839614616943444</v>
      </c>
      <c r="H422" s="12">
        <v>1.692005462384168</v>
      </c>
      <c r="I422" s="12">
        <v>-5.4429201313249322</v>
      </c>
      <c r="J422" s="12">
        <v>1.2100042854087825</v>
      </c>
      <c r="K422" s="12">
        <v>10.926062001641759</v>
      </c>
      <c r="L422" s="12">
        <v>-23.596963242084712</v>
      </c>
      <c r="M422" s="12">
        <v>19.364047396168566</v>
      </c>
    </row>
    <row r="423" spans="2:13" x14ac:dyDescent="0.3">
      <c r="B423" s="3" t="s">
        <v>366</v>
      </c>
      <c r="C423" s="9">
        <v>1</v>
      </c>
      <c r="D423" s="12">
        <v>-0.80881908499999999</v>
      </c>
      <c r="E423" s="12">
        <v>-13.427680484421444</v>
      </c>
      <c r="F423" s="12">
        <v>12.618861399421444</v>
      </c>
      <c r="G423" s="12">
        <v>1.169034917195845</v>
      </c>
      <c r="H423" s="12">
        <v>1.6066059207641867</v>
      </c>
      <c r="I423" s="12">
        <v>-16.586248230195707</v>
      </c>
      <c r="J423" s="12">
        <v>-10.269112738647179</v>
      </c>
      <c r="K423" s="12">
        <v>10.913163196966156</v>
      </c>
      <c r="L423" s="12">
        <v>-34.88282691006907</v>
      </c>
      <c r="M423" s="12">
        <v>8.0274659412261862</v>
      </c>
    </row>
    <row r="424" spans="2:13" x14ac:dyDescent="0.3">
      <c r="B424" s="3" t="s">
        <v>367</v>
      </c>
      <c r="C424" s="9">
        <v>1</v>
      </c>
      <c r="D424" s="12">
        <v>-0.58404550499999996</v>
      </c>
      <c r="E424" s="12">
        <v>-2.0846866642412705</v>
      </c>
      <c r="F424" s="12">
        <v>1.5006411592412705</v>
      </c>
      <c r="G424" s="12">
        <v>0.13902220317712086</v>
      </c>
      <c r="H424" s="12">
        <v>1.121289104520331</v>
      </c>
      <c r="I424" s="12">
        <v>-4.2891274380817039</v>
      </c>
      <c r="J424" s="12">
        <v>0.11975410959916299</v>
      </c>
      <c r="K424" s="12">
        <v>10.852337887980545</v>
      </c>
      <c r="L424" s="12">
        <v>-23.420251270473397</v>
      </c>
      <c r="M424" s="12">
        <v>19.250877941990854</v>
      </c>
    </row>
    <row r="425" spans="2:13" x14ac:dyDescent="0.3">
      <c r="B425" s="3" t="s">
        <v>368</v>
      </c>
      <c r="C425" s="9">
        <v>1</v>
      </c>
      <c r="D425" s="12">
        <v>36.226350979999999</v>
      </c>
      <c r="E425" s="12">
        <v>24.722092502392233</v>
      </c>
      <c r="F425" s="12">
        <v>11.504258477607767</v>
      </c>
      <c r="G425" s="12">
        <v>1.0657760182219296</v>
      </c>
      <c r="H425" s="12">
        <v>1.3302411632663225</v>
      </c>
      <c r="I425" s="12">
        <v>22.106854516467401</v>
      </c>
      <c r="J425" s="12">
        <v>27.337330488317065</v>
      </c>
      <c r="K425" s="12">
        <v>10.875913291831182</v>
      </c>
      <c r="L425" s="12">
        <v>3.3401789382521194</v>
      </c>
      <c r="M425" s="12">
        <v>46.104006066532349</v>
      </c>
    </row>
    <row r="426" spans="2:13" x14ac:dyDescent="0.3">
      <c r="B426" s="3" t="s">
        <v>369</v>
      </c>
      <c r="C426" s="9">
        <v>1</v>
      </c>
      <c r="D426" s="12">
        <v>3.9475136389999999</v>
      </c>
      <c r="E426" s="12">
        <v>8.2359264665575047</v>
      </c>
      <c r="F426" s="12">
        <v>-4.2884128275575044</v>
      </c>
      <c r="G426" s="12">
        <v>-0.39728658363702601</v>
      </c>
      <c r="H426" s="12">
        <v>1.4951719168859372</v>
      </c>
      <c r="I426" s="12">
        <v>5.2964366202751743</v>
      </c>
      <c r="J426" s="12">
        <v>11.175416312839836</v>
      </c>
      <c r="K426" s="12">
        <v>10.897315607067018</v>
      </c>
      <c r="L426" s="12">
        <v>-13.188063789642012</v>
      </c>
      <c r="M426" s="12">
        <v>29.659916722757021</v>
      </c>
    </row>
    <row r="427" spans="2:13" x14ac:dyDescent="0.3">
      <c r="B427" s="3" t="s">
        <v>370</v>
      </c>
      <c r="C427" s="9">
        <v>1</v>
      </c>
      <c r="D427" s="12">
        <v>-3.1847205380000001</v>
      </c>
      <c r="E427" s="12">
        <v>-0.22198834347788843</v>
      </c>
      <c r="F427" s="12">
        <v>-2.9627321945221117</v>
      </c>
      <c r="G427" s="12">
        <v>-0.27447305078217427</v>
      </c>
      <c r="H427" s="12">
        <v>1.335796991478565</v>
      </c>
      <c r="I427" s="12">
        <v>-2.848149020253945</v>
      </c>
      <c r="J427" s="12">
        <v>2.4041723332981682</v>
      </c>
      <c r="K427" s="12">
        <v>10.876594227120234</v>
      </c>
      <c r="L427" s="12">
        <v>-21.605240618133859</v>
      </c>
      <c r="M427" s="12">
        <v>21.16126393117808</v>
      </c>
    </row>
    <row r="428" spans="2:13" x14ac:dyDescent="0.3">
      <c r="B428" s="3" t="s">
        <v>371</v>
      </c>
      <c r="C428" s="9">
        <v>1</v>
      </c>
      <c r="D428" s="12">
        <v>-1.0489506070000001</v>
      </c>
      <c r="E428" s="12">
        <v>2.5700186808801484</v>
      </c>
      <c r="F428" s="12">
        <v>-3.6189692878801485</v>
      </c>
      <c r="G428" s="12">
        <v>-0.33526808226812338</v>
      </c>
      <c r="H428" s="12">
        <v>1.1519188201624722</v>
      </c>
      <c r="I428" s="12">
        <v>0.30536025774617359</v>
      </c>
      <c r="J428" s="12">
        <v>4.8346771040141228</v>
      </c>
      <c r="K428" s="12">
        <v>10.855545373090498</v>
      </c>
      <c r="L428" s="12">
        <v>-18.771851802158736</v>
      </c>
      <c r="M428" s="12">
        <v>23.911889163919035</v>
      </c>
    </row>
    <row r="429" spans="2:13" x14ac:dyDescent="0.3">
      <c r="B429" s="3" t="s">
        <v>372</v>
      </c>
      <c r="C429" s="9">
        <v>1</v>
      </c>
      <c r="D429" s="12">
        <v>1.75926845</v>
      </c>
      <c r="E429" s="12">
        <v>8.6280806615641659</v>
      </c>
      <c r="F429" s="12">
        <v>-6.8688122115641654</v>
      </c>
      <c r="G429" s="12">
        <v>-0.63633960789424959</v>
      </c>
      <c r="H429" s="12">
        <v>1.1110554301695175</v>
      </c>
      <c r="I429" s="12">
        <v>6.4437591673227157</v>
      </c>
      <c r="J429" s="12">
        <v>10.812402155805616</v>
      </c>
      <c r="K429" s="12">
        <v>10.851285294742333</v>
      </c>
      <c r="L429" s="12">
        <v>-12.705414559133729</v>
      </c>
      <c r="M429" s="12">
        <v>29.961575882262061</v>
      </c>
    </row>
    <row r="430" spans="2:13" x14ac:dyDescent="0.3">
      <c r="B430" s="3" t="s">
        <v>373</v>
      </c>
      <c r="C430" s="9">
        <v>1</v>
      </c>
      <c r="D430" s="12">
        <v>12.78058381</v>
      </c>
      <c r="E430" s="12">
        <v>24.513229820774612</v>
      </c>
      <c r="F430" s="12">
        <v>-11.732646010774612</v>
      </c>
      <c r="G430" s="12">
        <v>-1.0869342663770689</v>
      </c>
      <c r="H430" s="12">
        <v>1.2845506617452052</v>
      </c>
      <c r="I430" s="12">
        <v>21.987818806434824</v>
      </c>
      <c r="J430" s="12">
        <v>27.0386408351144</v>
      </c>
      <c r="K430" s="12">
        <v>10.870419439082012</v>
      </c>
      <c r="L430" s="12">
        <v>3.1421171044773253</v>
      </c>
      <c r="M430" s="12">
        <v>45.884342537071902</v>
      </c>
    </row>
    <row r="431" spans="2:13" x14ac:dyDescent="0.3">
      <c r="B431" s="3" t="s">
        <v>374</v>
      </c>
      <c r="C431" s="9">
        <v>1</v>
      </c>
      <c r="D431" s="12">
        <v>-1.907733742</v>
      </c>
      <c r="E431" s="12">
        <v>-16.079434354431179</v>
      </c>
      <c r="F431" s="12">
        <v>14.171700612431179</v>
      </c>
      <c r="G431" s="12">
        <v>1.3128928456839515</v>
      </c>
      <c r="H431" s="12">
        <v>1.6113910057300791</v>
      </c>
      <c r="I431" s="12">
        <v>-19.24740951918649</v>
      </c>
      <c r="J431" s="12">
        <v>-12.911459189675869</v>
      </c>
      <c r="K431" s="12">
        <v>10.913868670289643</v>
      </c>
      <c r="L431" s="12">
        <v>-37.535967732072621</v>
      </c>
      <c r="M431" s="12">
        <v>5.3770990232102633</v>
      </c>
    </row>
    <row r="432" spans="2:13" x14ac:dyDescent="0.3">
      <c r="B432" s="3" t="s">
        <v>375</v>
      </c>
      <c r="C432" s="9">
        <v>1</v>
      </c>
      <c r="D432" s="12">
        <v>-2.1605857770000001</v>
      </c>
      <c r="E432" s="12">
        <v>-6.7807669645992057</v>
      </c>
      <c r="F432" s="12">
        <v>4.620181187599206</v>
      </c>
      <c r="G432" s="12">
        <v>0.42802222491503655</v>
      </c>
      <c r="H432" s="12">
        <v>1.4655171145487276</v>
      </c>
      <c r="I432" s="12">
        <v>-9.6619558293159571</v>
      </c>
      <c r="J432" s="12">
        <v>-3.8995780998824534</v>
      </c>
      <c r="K432" s="12">
        <v>10.893286409161252</v>
      </c>
      <c r="L432" s="12">
        <v>-28.196835866606001</v>
      </c>
      <c r="M432" s="12">
        <v>14.63530193740759</v>
      </c>
    </row>
    <row r="433" spans="2:13" x14ac:dyDescent="0.3">
      <c r="B433" s="3" t="s">
        <v>376</v>
      </c>
      <c r="C433" s="9">
        <v>1</v>
      </c>
      <c r="D433" s="12">
        <v>9.4643262929999992</v>
      </c>
      <c r="E433" s="12">
        <v>26.923963763953154</v>
      </c>
      <c r="F433" s="12">
        <v>-17.459637470953155</v>
      </c>
      <c r="G433" s="12">
        <v>-1.61749346466877</v>
      </c>
      <c r="H433" s="12">
        <v>1.8107907851255636</v>
      </c>
      <c r="I433" s="12">
        <v>23.363971052409827</v>
      </c>
      <c r="J433" s="12">
        <v>30.48395647549648</v>
      </c>
      <c r="K433" s="12">
        <v>10.945086187256713</v>
      </c>
      <c r="L433" s="12">
        <v>5.4060571267457043</v>
      </c>
      <c r="M433" s="12">
        <v>48.4418704011606</v>
      </c>
    </row>
    <row r="434" spans="2:13" x14ac:dyDescent="0.3">
      <c r="B434" s="3" t="s">
        <v>377</v>
      </c>
      <c r="C434" s="9">
        <v>1</v>
      </c>
      <c r="D434" s="12">
        <v>49.748237469999999</v>
      </c>
      <c r="E434" s="12">
        <v>31.728060957844054</v>
      </c>
      <c r="F434" s="12">
        <v>18.020176512155945</v>
      </c>
      <c r="G434" s="12">
        <v>1.6694228496485897</v>
      </c>
      <c r="H434" s="12">
        <v>1.4407797234939133</v>
      </c>
      <c r="I434" s="12">
        <v>28.895505503779226</v>
      </c>
      <c r="J434" s="12">
        <v>34.560616411908882</v>
      </c>
      <c r="K434" s="12">
        <v>10.889985977521423</v>
      </c>
      <c r="L434" s="12">
        <v>10.318480664393945</v>
      </c>
      <c r="M434" s="12">
        <v>53.137641251294163</v>
      </c>
    </row>
    <row r="435" spans="2:13" x14ac:dyDescent="0.3">
      <c r="B435" s="3" t="s">
        <v>378</v>
      </c>
      <c r="C435" s="9">
        <v>1</v>
      </c>
      <c r="D435" s="12">
        <v>5.0579914170000002</v>
      </c>
      <c r="E435" s="12">
        <v>16.807870649074019</v>
      </c>
      <c r="F435" s="12">
        <v>-11.749879232074019</v>
      </c>
      <c r="G435" s="12">
        <v>-1.0885307842242093</v>
      </c>
      <c r="H435" s="12">
        <v>1.3830728320671088</v>
      </c>
      <c r="I435" s="12">
        <v>14.088766243342754</v>
      </c>
      <c r="J435" s="12">
        <v>19.526975054805284</v>
      </c>
      <c r="K435" s="12">
        <v>10.882501497256234</v>
      </c>
      <c r="L435" s="12">
        <v>-4.5869952469909059</v>
      </c>
      <c r="M435" s="12">
        <v>38.202736545138947</v>
      </c>
    </row>
    <row r="436" spans="2:13" x14ac:dyDescent="0.3">
      <c r="B436" s="3" t="s">
        <v>379</v>
      </c>
      <c r="C436" s="9">
        <v>1</v>
      </c>
      <c r="D436" s="12">
        <v>16.103983169999999</v>
      </c>
      <c r="E436" s="12">
        <v>11.586824056434306</v>
      </c>
      <c r="F436" s="12">
        <v>4.5171591135656932</v>
      </c>
      <c r="G436" s="12">
        <v>0.41847806732625176</v>
      </c>
      <c r="H436" s="12">
        <v>1.4256726714793453</v>
      </c>
      <c r="I436" s="12">
        <v>8.783968883322169</v>
      </c>
      <c r="J436" s="12">
        <v>14.389679229546443</v>
      </c>
      <c r="K436" s="12">
        <v>10.887997563610357</v>
      </c>
      <c r="L436" s="12">
        <v>-9.8188470393939262</v>
      </c>
      <c r="M436" s="12">
        <v>32.992495152262535</v>
      </c>
    </row>
    <row r="437" spans="2:13" x14ac:dyDescent="0.3">
      <c r="B437" s="3" t="s">
        <v>380</v>
      </c>
      <c r="C437" s="9">
        <v>1</v>
      </c>
      <c r="D437" s="12">
        <v>0.53808402799999999</v>
      </c>
      <c r="E437" s="12">
        <v>6.6238911573054313</v>
      </c>
      <c r="F437" s="12">
        <v>-6.0858071293054312</v>
      </c>
      <c r="G437" s="12">
        <v>-0.56380055286157971</v>
      </c>
      <c r="H437" s="12">
        <v>1.0021000055236362</v>
      </c>
      <c r="I437" s="12">
        <v>4.653774705859993</v>
      </c>
      <c r="J437" s="12">
        <v>8.5940076087508697</v>
      </c>
      <c r="K437" s="12">
        <v>10.840671233832918</v>
      </c>
      <c r="L437" s="12">
        <v>-14.688736948434856</v>
      </c>
      <c r="M437" s="12">
        <v>27.936519263045717</v>
      </c>
    </row>
    <row r="438" spans="2:13" x14ac:dyDescent="0.3">
      <c r="B438" s="3" t="s">
        <v>381</v>
      </c>
      <c r="C438" s="9">
        <v>1</v>
      </c>
      <c r="D438" s="12">
        <v>5.6277879999999999E-3</v>
      </c>
      <c r="E438" s="12">
        <v>-2.2845147018080718</v>
      </c>
      <c r="F438" s="12">
        <v>2.2901424898080718</v>
      </c>
      <c r="G438" s="12">
        <v>0.21216308280097393</v>
      </c>
      <c r="H438" s="12">
        <v>1.2969643981087204</v>
      </c>
      <c r="I438" s="12">
        <v>-4.834330971211088</v>
      </c>
      <c r="J438" s="12">
        <v>0.26530156759494483</v>
      </c>
      <c r="K438" s="12">
        <v>10.87189335069764</v>
      </c>
      <c r="L438" s="12">
        <v>-23.658525110457337</v>
      </c>
      <c r="M438" s="12">
        <v>19.089495706841195</v>
      </c>
    </row>
    <row r="439" spans="2:13" x14ac:dyDescent="0.3">
      <c r="B439" s="3" t="s">
        <v>382</v>
      </c>
      <c r="C439" s="9">
        <v>1</v>
      </c>
      <c r="D439" s="12">
        <v>86.831721079999994</v>
      </c>
      <c r="E439" s="12">
        <v>47.016995635947673</v>
      </c>
      <c r="F439" s="12">
        <v>39.814725444052321</v>
      </c>
      <c r="G439" s="12">
        <v>3.6885106183032503</v>
      </c>
      <c r="H439" s="12">
        <v>2.158913950997388</v>
      </c>
      <c r="I439" s="12">
        <v>42.772597004403409</v>
      </c>
      <c r="J439" s="12">
        <v>51.261394267491937</v>
      </c>
      <c r="K439" s="12">
        <v>11.008036056753864</v>
      </c>
      <c r="L439" s="12">
        <v>25.375330319138303</v>
      </c>
      <c r="M439" s="12">
        <v>68.658660952757046</v>
      </c>
    </row>
    <row r="440" spans="2:13" x14ac:dyDescent="0.3">
      <c r="B440" s="3" t="s">
        <v>383</v>
      </c>
      <c r="C440" s="9">
        <v>1</v>
      </c>
      <c r="D440" s="12">
        <v>7.6795559139999998</v>
      </c>
      <c r="E440" s="12">
        <v>11.291555056517588</v>
      </c>
      <c r="F440" s="12">
        <v>-3.6119991425175879</v>
      </c>
      <c r="G440" s="12">
        <v>-0.33462235496762877</v>
      </c>
      <c r="H440" s="12">
        <v>1.2699555184996305</v>
      </c>
      <c r="I440" s="12">
        <v>8.7948379167021145</v>
      </c>
      <c r="J440" s="12">
        <v>13.788272196333061</v>
      </c>
      <c r="K440" s="12">
        <v>10.868704402915267</v>
      </c>
      <c r="L440" s="12">
        <v>-10.076185919486011</v>
      </c>
      <c r="M440" s="12">
        <v>32.659296032521183</v>
      </c>
    </row>
    <row r="441" spans="2:13" x14ac:dyDescent="0.3">
      <c r="B441" s="3" t="s">
        <v>384</v>
      </c>
      <c r="C441" s="9">
        <v>1</v>
      </c>
      <c r="D441" s="12">
        <v>31.810235769999998</v>
      </c>
      <c r="E441" s="12">
        <v>14.505737017463694</v>
      </c>
      <c r="F441" s="12">
        <v>17.304498752536304</v>
      </c>
      <c r="G441" s="12">
        <v>1.6031211236866725</v>
      </c>
      <c r="H441" s="12">
        <v>1.5462785662478244</v>
      </c>
      <c r="I441" s="12">
        <v>11.465772118660539</v>
      </c>
      <c r="J441" s="12">
        <v>17.54570191626685</v>
      </c>
      <c r="K441" s="12">
        <v>10.90444523042871</v>
      </c>
      <c r="L441" s="12">
        <v>-6.9322699917545378</v>
      </c>
      <c r="M441" s="12">
        <v>35.943744026681927</v>
      </c>
    </row>
    <row r="442" spans="2:13" x14ac:dyDescent="0.3">
      <c r="B442" s="3" t="s">
        <v>385</v>
      </c>
      <c r="C442" s="9">
        <v>1</v>
      </c>
      <c r="D442" s="12">
        <v>2.1967597699999999</v>
      </c>
      <c r="E442" s="12">
        <v>7.8142354355677046</v>
      </c>
      <c r="F442" s="12">
        <v>-5.6174756655677047</v>
      </c>
      <c r="G442" s="12">
        <v>-0.52041345028543573</v>
      </c>
      <c r="H442" s="12">
        <v>1.214231550032741</v>
      </c>
      <c r="I442" s="12">
        <v>5.4270709416072522</v>
      </c>
      <c r="J442" s="12">
        <v>10.201399929528158</v>
      </c>
      <c r="K442" s="12">
        <v>10.862334308797394</v>
      </c>
      <c r="L442" s="12">
        <v>-13.540982012694448</v>
      </c>
      <c r="M442" s="12">
        <v>29.169452883829855</v>
      </c>
    </row>
    <row r="443" spans="2:13" x14ac:dyDescent="0.3">
      <c r="B443" s="3" t="s">
        <v>386</v>
      </c>
      <c r="C443" s="9">
        <v>1</v>
      </c>
      <c r="D443" s="12">
        <v>4.6837669240000004</v>
      </c>
      <c r="E443" s="12">
        <v>8.0371970589568544</v>
      </c>
      <c r="F443" s="12">
        <v>-3.353430134956854</v>
      </c>
      <c r="G443" s="12">
        <v>-0.31066803858556336</v>
      </c>
      <c r="H443" s="12">
        <v>1.67048528865236</v>
      </c>
      <c r="I443" s="12">
        <v>4.7530432510223921</v>
      </c>
      <c r="J443" s="12">
        <v>11.321350866891317</v>
      </c>
      <c r="K443" s="12">
        <v>10.922750087710787</v>
      </c>
      <c r="L443" s="12">
        <v>-13.436797077568032</v>
      </c>
      <c r="M443" s="12">
        <v>29.511191195481743</v>
      </c>
    </row>
    <row r="444" spans="2:13" x14ac:dyDescent="0.3">
      <c r="B444" s="3" t="s">
        <v>387</v>
      </c>
      <c r="C444" s="9">
        <v>1</v>
      </c>
      <c r="D444" s="12">
        <v>21.629217409999999</v>
      </c>
      <c r="E444" s="12">
        <v>37.994946840061402</v>
      </c>
      <c r="F444" s="12">
        <v>-16.365729430061403</v>
      </c>
      <c r="G444" s="12">
        <v>-1.5161517781626965</v>
      </c>
      <c r="H444" s="12">
        <v>1.8936136378793222</v>
      </c>
      <c r="I444" s="12">
        <v>34.272125404971106</v>
      </c>
      <c r="J444" s="12">
        <v>41.717768275151698</v>
      </c>
      <c r="K444" s="12">
        <v>10.959093073267724</v>
      </c>
      <c r="L444" s="12">
        <v>16.449502834914917</v>
      </c>
      <c r="M444" s="12">
        <v>59.540390845207888</v>
      </c>
    </row>
    <row r="445" spans="2:13" x14ac:dyDescent="0.3">
      <c r="B445" s="3" t="s">
        <v>388</v>
      </c>
      <c r="C445" s="9">
        <v>1</v>
      </c>
      <c r="D445" s="12">
        <v>42.017462549999998</v>
      </c>
      <c r="E445" s="12">
        <v>24.986700931640254</v>
      </c>
      <c r="F445" s="12">
        <v>17.030761618359744</v>
      </c>
      <c r="G445" s="12">
        <v>1.5777616036906612</v>
      </c>
      <c r="H445" s="12">
        <v>1.2861096365840579</v>
      </c>
      <c r="I445" s="12">
        <v>22.458224991683778</v>
      </c>
      <c r="J445" s="12">
        <v>27.515176871596729</v>
      </c>
      <c r="K445" s="12">
        <v>10.870603772389849</v>
      </c>
      <c r="L445" s="12">
        <v>3.6152258182964481</v>
      </c>
      <c r="M445" s="12">
        <v>46.358176044984063</v>
      </c>
    </row>
    <row r="446" spans="2:13" x14ac:dyDescent="0.3">
      <c r="B446" s="3" t="s">
        <v>389</v>
      </c>
      <c r="C446" s="9">
        <v>1</v>
      </c>
      <c r="D446" s="12">
        <v>42.17996368</v>
      </c>
      <c r="E446" s="12">
        <v>25.027299187145402</v>
      </c>
      <c r="F446" s="12">
        <v>17.152664492854598</v>
      </c>
      <c r="G446" s="12">
        <v>1.5890549139411059</v>
      </c>
      <c r="H446" s="12">
        <v>1.7619773274695376</v>
      </c>
      <c r="I446" s="12">
        <v>21.563273141054612</v>
      </c>
      <c r="J446" s="12">
        <v>28.491325233236193</v>
      </c>
      <c r="K446" s="12">
        <v>10.937116278137429</v>
      </c>
      <c r="L446" s="12">
        <v>3.5250612945601247</v>
      </c>
      <c r="M446" s="12">
        <v>46.52953707973068</v>
      </c>
    </row>
    <row r="447" spans="2:13" x14ac:dyDescent="0.3">
      <c r="B447" s="3" t="s">
        <v>390</v>
      </c>
      <c r="C447" s="9">
        <v>1</v>
      </c>
      <c r="D447" s="12">
        <v>-0.95752407699999997</v>
      </c>
      <c r="E447" s="12">
        <v>2.4705845640757342</v>
      </c>
      <c r="F447" s="12">
        <v>-3.4281086410757342</v>
      </c>
      <c r="G447" s="12">
        <v>-0.31758639504052821</v>
      </c>
      <c r="H447" s="12">
        <v>1.3805543388164605</v>
      </c>
      <c r="I447" s="12">
        <v>-0.24356851448398409</v>
      </c>
      <c r="J447" s="12">
        <v>5.1847376426354526</v>
      </c>
      <c r="K447" s="12">
        <v>10.882181705035393</v>
      </c>
      <c r="L447" s="12">
        <v>-18.923652624363356</v>
      </c>
      <c r="M447" s="12">
        <v>23.864821752514821</v>
      </c>
    </row>
    <row r="448" spans="2:13" x14ac:dyDescent="0.3">
      <c r="B448" s="3" t="s">
        <v>391</v>
      </c>
      <c r="C448" s="9">
        <v>1</v>
      </c>
      <c r="D448" s="12">
        <v>-1.9249623950000001</v>
      </c>
      <c r="E448" s="12">
        <v>-1.3687661470260801</v>
      </c>
      <c r="F448" s="12">
        <v>-0.55619624797391998</v>
      </c>
      <c r="G448" s="12">
        <v>-5.1527060494114194E-2</v>
      </c>
      <c r="H448" s="12">
        <v>1.4880536499074253</v>
      </c>
      <c r="I448" s="12">
        <v>-4.2942615668012287</v>
      </c>
      <c r="J448" s="12">
        <v>1.5567292727490685</v>
      </c>
      <c r="K448" s="12">
        <v>10.896341222813502</v>
      </c>
      <c r="L448" s="12">
        <v>-22.790840775606295</v>
      </c>
      <c r="M448" s="12">
        <v>20.053308481554136</v>
      </c>
    </row>
    <row r="449" spans="2:13" x14ac:dyDescent="0.3">
      <c r="B449" s="3" t="s">
        <v>392</v>
      </c>
      <c r="C449" s="9">
        <v>1</v>
      </c>
      <c r="D449" s="12">
        <v>4.7808709379999996</v>
      </c>
      <c r="E449" s="12">
        <v>7.8920312397625016</v>
      </c>
      <c r="F449" s="12">
        <v>-3.111160301762502</v>
      </c>
      <c r="G449" s="12">
        <v>-0.28822370819610399</v>
      </c>
      <c r="H449" s="12">
        <v>1.6577372340631189</v>
      </c>
      <c r="I449" s="12">
        <v>4.632939952466451</v>
      </c>
      <c r="J449" s="12">
        <v>11.151122527058552</v>
      </c>
      <c r="K449" s="12">
        <v>10.920807713543045</v>
      </c>
      <c r="L449" s="12">
        <v>-13.578144212717241</v>
      </c>
      <c r="M449" s="12">
        <v>29.362206692242246</v>
      </c>
    </row>
    <row r="450" spans="2:13" x14ac:dyDescent="0.3">
      <c r="B450" s="3" t="s">
        <v>393</v>
      </c>
      <c r="C450" s="9">
        <v>1</v>
      </c>
      <c r="D450" s="12">
        <v>85.296061620000003</v>
      </c>
      <c r="E450" s="12">
        <v>46.311677884364336</v>
      </c>
      <c r="F450" s="12">
        <v>38.984383735635667</v>
      </c>
      <c r="G450" s="12">
        <v>3.6115862097042601</v>
      </c>
      <c r="H450" s="12">
        <v>2.2886508642590266</v>
      </c>
      <c r="I450" s="12">
        <v>41.81221805556666</v>
      </c>
      <c r="J450" s="12">
        <v>50.811137713162012</v>
      </c>
      <c r="K450" s="12">
        <v>11.034213662851359</v>
      </c>
      <c r="L450" s="12">
        <v>24.618547711604602</v>
      </c>
      <c r="M450" s="12">
        <v>68.004808057124066</v>
      </c>
    </row>
    <row r="451" spans="2:13" x14ac:dyDescent="0.3">
      <c r="B451" s="3" t="s">
        <v>394</v>
      </c>
      <c r="C451" s="9">
        <v>1</v>
      </c>
      <c r="D451" s="12">
        <v>4.5046093230000004</v>
      </c>
      <c r="E451" s="12">
        <v>18.228221952613591</v>
      </c>
      <c r="F451" s="12">
        <v>-13.723612629613591</v>
      </c>
      <c r="G451" s="12">
        <v>-1.27138113703537</v>
      </c>
      <c r="H451" s="12">
        <v>1.7757064080463891</v>
      </c>
      <c r="I451" s="12">
        <v>14.737204700696449</v>
      </c>
      <c r="J451" s="12">
        <v>21.719239204530734</v>
      </c>
      <c r="K451" s="12">
        <v>10.939336434471656</v>
      </c>
      <c r="L451" s="12">
        <v>-3.2783807403855505</v>
      </c>
      <c r="M451" s="12">
        <v>39.734824645612733</v>
      </c>
    </row>
    <row r="452" spans="2:13" x14ac:dyDescent="0.3">
      <c r="B452" s="3" t="s">
        <v>395</v>
      </c>
      <c r="C452" s="9">
        <v>1</v>
      </c>
      <c r="D452" s="12">
        <v>31.810235769999998</v>
      </c>
      <c r="E452" s="12">
        <v>14.645956183529687</v>
      </c>
      <c r="F452" s="12">
        <v>17.164279586470311</v>
      </c>
      <c r="G452" s="12">
        <v>1.5901309579337826</v>
      </c>
      <c r="H452" s="12">
        <v>1.5314526223086118</v>
      </c>
      <c r="I452" s="12">
        <v>11.635138910614018</v>
      </c>
      <c r="J452" s="12">
        <v>17.656773456445357</v>
      </c>
      <c r="K452" s="12">
        <v>10.902352751280706</v>
      </c>
      <c r="L452" s="12">
        <v>-6.7879370370735685</v>
      </c>
      <c r="M452" s="12">
        <v>36.079849404132943</v>
      </c>
    </row>
    <row r="453" spans="2:13" x14ac:dyDescent="0.3">
      <c r="B453" s="3" t="s">
        <v>396</v>
      </c>
      <c r="C453" s="9">
        <v>1</v>
      </c>
      <c r="D453" s="12">
        <v>-1.7352261229999999</v>
      </c>
      <c r="E453" s="12">
        <v>-12.346609378706587</v>
      </c>
      <c r="F453" s="12">
        <v>10.611383255706587</v>
      </c>
      <c r="G453" s="12">
        <v>0.98305838799664447</v>
      </c>
      <c r="H453" s="12">
        <v>1.5901824441198298</v>
      </c>
      <c r="I453" s="12">
        <v>-15.472888768679407</v>
      </c>
      <c r="J453" s="12">
        <v>-9.2203299887337664</v>
      </c>
      <c r="K453" s="12">
        <v>10.910757470706098</v>
      </c>
      <c r="L453" s="12">
        <v>-33.797026175717868</v>
      </c>
      <c r="M453" s="12">
        <v>9.103807418304692</v>
      </c>
    </row>
    <row r="454" spans="2:13" x14ac:dyDescent="0.3">
      <c r="B454" s="3" t="s">
        <v>397</v>
      </c>
      <c r="C454" s="9">
        <v>1</v>
      </c>
      <c r="D454" s="12">
        <v>1.3947778019999999</v>
      </c>
      <c r="E454" s="12">
        <v>5.7524024076109361</v>
      </c>
      <c r="F454" s="12">
        <v>-4.357624605610936</v>
      </c>
      <c r="G454" s="12">
        <v>-0.40369849218127712</v>
      </c>
      <c r="H454" s="12">
        <v>1.3886191570338422</v>
      </c>
      <c r="I454" s="12">
        <v>3.022393994293807</v>
      </c>
      <c r="J454" s="12">
        <v>8.4824108209280649</v>
      </c>
      <c r="K454" s="12">
        <v>10.883207778144429</v>
      </c>
      <c r="L454" s="12">
        <v>-15.643852028110217</v>
      </c>
      <c r="M454" s="12">
        <v>27.148656843332091</v>
      </c>
    </row>
    <row r="455" spans="2:13" x14ac:dyDescent="0.3">
      <c r="B455" s="3" t="s">
        <v>398</v>
      </c>
      <c r="C455" s="9">
        <v>1</v>
      </c>
      <c r="D455" s="12">
        <v>1.768538419</v>
      </c>
      <c r="E455" s="12">
        <v>8.7065683142202488</v>
      </c>
      <c r="F455" s="12">
        <v>-6.9380298952202484</v>
      </c>
      <c r="G455" s="12">
        <v>-0.6427520635445737</v>
      </c>
      <c r="H455" s="12">
        <v>1.1461272573451891</v>
      </c>
      <c r="I455" s="12">
        <v>6.4532960333106191</v>
      </c>
      <c r="J455" s="12">
        <v>10.959840595129879</v>
      </c>
      <c r="K455" s="12">
        <v>10.85493233829726</v>
      </c>
      <c r="L455" s="12">
        <v>-12.634096949853653</v>
      </c>
      <c r="M455" s="12">
        <v>30.047233578294151</v>
      </c>
    </row>
    <row r="456" spans="2:13" x14ac:dyDescent="0.3">
      <c r="B456" s="3" t="s">
        <v>399</v>
      </c>
      <c r="C456" s="9">
        <v>1</v>
      </c>
      <c r="D456" s="12">
        <v>0.20289817800000001</v>
      </c>
      <c r="E456" s="12">
        <v>-6.5369053067841927</v>
      </c>
      <c r="F456" s="12">
        <v>6.7398034847841926</v>
      </c>
      <c r="G456" s="12">
        <v>0.62438799820023372</v>
      </c>
      <c r="H456" s="12">
        <v>1.4441180847676718</v>
      </c>
      <c r="I456" s="12">
        <v>-9.3760239386057762</v>
      </c>
      <c r="J456" s="12">
        <v>-3.6977866749626087</v>
      </c>
      <c r="K456" s="12">
        <v>10.890428156033861</v>
      </c>
      <c r="L456" s="12">
        <v>-27.947354917824388</v>
      </c>
      <c r="M456" s="12">
        <v>14.873544304256004</v>
      </c>
    </row>
    <row r="457" spans="2:13" x14ac:dyDescent="0.3">
      <c r="B457" s="3" t="s">
        <v>400</v>
      </c>
      <c r="C457" s="9">
        <v>1</v>
      </c>
      <c r="D457" s="12">
        <v>1.16621365</v>
      </c>
      <c r="E457" s="12">
        <v>4.1467174374885261</v>
      </c>
      <c r="F457" s="12">
        <v>-2.9805037874885261</v>
      </c>
      <c r="G457" s="12">
        <v>-0.27611944438729646</v>
      </c>
      <c r="H457" s="12">
        <v>1.1026342334348207</v>
      </c>
      <c r="I457" s="12">
        <v>1.9789519138452554</v>
      </c>
      <c r="J457" s="12">
        <v>6.3144829611317963</v>
      </c>
      <c r="K457" s="12">
        <v>10.85042628801857</v>
      </c>
      <c r="L457" s="12">
        <v>-17.185088986413582</v>
      </c>
      <c r="M457" s="12">
        <v>25.478523861390634</v>
      </c>
    </row>
    <row r="458" spans="2:13" x14ac:dyDescent="0.3">
      <c r="B458" s="3" t="s">
        <v>401</v>
      </c>
      <c r="C458" s="9">
        <v>1</v>
      </c>
      <c r="D458" s="12">
        <v>-2.7219794529999999</v>
      </c>
      <c r="E458" s="12">
        <v>1.8254416441596724</v>
      </c>
      <c r="F458" s="12">
        <v>-4.5474210971596722</v>
      </c>
      <c r="G458" s="12">
        <v>-0.42128159407602583</v>
      </c>
      <c r="H458" s="12">
        <v>1.2295088838609647</v>
      </c>
      <c r="I458" s="12">
        <v>-0.59175790273292694</v>
      </c>
      <c r="J458" s="12">
        <v>4.2426411910522717</v>
      </c>
      <c r="K458" s="12">
        <v>10.864052672666636</v>
      </c>
      <c r="L458" s="12">
        <v>-19.5331540866189</v>
      </c>
      <c r="M458" s="12">
        <v>23.184037374938242</v>
      </c>
    </row>
    <row r="459" spans="2:13" x14ac:dyDescent="0.3">
      <c r="B459" s="3" t="s">
        <v>402</v>
      </c>
      <c r="C459" s="9">
        <v>1</v>
      </c>
      <c r="D459" s="12">
        <v>36.2552983</v>
      </c>
      <c r="E459" s="12">
        <v>24.785545132688998</v>
      </c>
      <c r="F459" s="12">
        <v>11.469753167311001</v>
      </c>
      <c r="G459" s="12">
        <v>1.062579381751428</v>
      </c>
      <c r="H459" s="12">
        <v>1.3523280554208246</v>
      </c>
      <c r="I459" s="12">
        <v>22.126884584789277</v>
      </c>
      <c r="J459" s="12">
        <v>27.44420568058872</v>
      </c>
      <c r="K459" s="12">
        <v>10.878636842383345</v>
      </c>
      <c r="L459" s="12">
        <v>3.3982771012107094</v>
      </c>
      <c r="M459" s="12">
        <v>46.172813164167287</v>
      </c>
    </row>
    <row r="460" spans="2:13" x14ac:dyDescent="0.3">
      <c r="B460" s="3" t="s">
        <v>403</v>
      </c>
      <c r="C460" s="9">
        <v>1</v>
      </c>
      <c r="D460" s="12">
        <v>1.8734450499999999</v>
      </c>
      <c r="E460" s="12">
        <v>4.9835541111052057</v>
      </c>
      <c r="F460" s="12">
        <v>-3.1101090611052058</v>
      </c>
      <c r="G460" s="12">
        <v>-0.28812631929580179</v>
      </c>
      <c r="H460" s="12">
        <v>1.4352706576097249</v>
      </c>
      <c r="I460" s="12">
        <v>2.1618294137220597</v>
      </c>
      <c r="J460" s="12">
        <v>7.8052788084883513</v>
      </c>
      <c r="K460" s="12">
        <v>10.889258479785365</v>
      </c>
      <c r="L460" s="12">
        <v>-16.424595930623219</v>
      </c>
      <c r="M460" s="12">
        <v>26.391704152833633</v>
      </c>
    </row>
    <row r="461" spans="2:13" x14ac:dyDescent="0.3">
      <c r="B461" s="3" t="s">
        <v>404</v>
      </c>
      <c r="C461" s="9">
        <v>1</v>
      </c>
      <c r="D461" s="12">
        <v>42.17996368</v>
      </c>
      <c r="E461" s="12">
        <v>25.194312494938309</v>
      </c>
      <c r="F461" s="12">
        <v>16.985651185061691</v>
      </c>
      <c r="G461" s="12">
        <v>1.5735824887938388</v>
      </c>
      <c r="H461" s="12">
        <v>1.6458859737840337</v>
      </c>
      <c r="I461" s="12">
        <v>21.958520641548546</v>
      </c>
      <c r="J461" s="12">
        <v>28.430104348328072</v>
      </c>
      <c r="K461" s="12">
        <v>10.919015020489763</v>
      </c>
      <c r="L461" s="12">
        <v>3.7276614552488994</v>
      </c>
      <c r="M461" s="12">
        <v>46.660963534627719</v>
      </c>
    </row>
    <row r="462" spans="2:13" x14ac:dyDescent="0.3">
      <c r="B462" s="3" t="s">
        <v>405</v>
      </c>
      <c r="C462" s="9">
        <v>1</v>
      </c>
      <c r="D462" s="12">
        <v>0.61482901599999995</v>
      </c>
      <c r="E462" s="12">
        <v>2.0579516476727155</v>
      </c>
      <c r="F462" s="12">
        <v>-1.4431226316727157</v>
      </c>
      <c r="G462" s="12">
        <v>-0.13369357922405839</v>
      </c>
      <c r="H462" s="12">
        <v>1.344856685744569</v>
      </c>
      <c r="I462" s="12">
        <v>-0.58602027810058432</v>
      </c>
      <c r="J462" s="12">
        <v>4.701923573446015</v>
      </c>
      <c r="K462" s="12">
        <v>10.877710599394245</v>
      </c>
      <c r="L462" s="12">
        <v>-19.327495401327969</v>
      </c>
      <c r="M462" s="12">
        <v>23.443398696673402</v>
      </c>
    </row>
    <row r="463" spans="2:13" x14ac:dyDescent="0.3">
      <c r="B463" s="3" t="s">
        <v>406</v>
      </c>
      <c r="C463" s="9">
        <v>1</v>
      </c>
      <c r="D463" s="12">
        <v>21.13361411</v>
      </c>
      <c r="E463" s="12">
        <v>36.948533812699459</v>
      </c>
      <c r="F463" s="12">
        <v>-15.814919702699459</v>
      </c>
      <c r="G463" s="12">
        <v>-1.4651237350108193</v>
      </c>
      <c r="H463" s="12">
        <v>2.0932481385198711</v>
      </c>
      <c r="I463" s="12">
        <v>32.833233371701439</v>
      </c>
      <c r="J463" s="12">
        <v>41.063834253697479</v>
      </c>
      <c r="K463" s="12">
        <v>10.995346113169832</v>
      </c>
      <c r="L463" s="12">
        <v>15.331816770997374</v>
      </c>
      <c r="M463" s="12">
        <v>58.56525085440154</v>
      </c>
    </row>
    <row r="464" spans="2:13" x14ac:dyDescent="0.3">
      <c r="B464" s="3" t="s">
        <v>407</v>
      </c>
      <c r="C464" s="9">
        <v>1</v>
      </c>
      <c r="D464" s="12">
        <v>0.88792217500000004</v>
      </c>
      <c r="E464" s="12">
        <v>4.8409837260078259</v>
      </c>
      <c r="F464" s="12">
        <v>-3.953061551007826</v>
      </c>
      <c r="G464" s="12">
        <v>-0.36621901427369591</v>
      </c>
      <c r="H464" s="12">
        <v>1.3579746577632348</v>
      </c>
      <c r="I464" s="12">
        <v>2.1712220264184188</v>
      </c>
      <c r="J464" s="12">
        <v>7.510745425597233</v>
      </c>
      <c r="K464" s="12">
        <v>10.879340216672572</v>
      </c>
      <c r="L464" s="12">
        <v>-16.547667130788383</v>
      </c>
      <c r="M464" s="12">
        <v>26.229634582804039</v>
      </c>
    </row>
    <row r="465" spans="2:13" x14ac:dyDescent="0.3">
      <c r="B465" s="3" t="s">
        <v>408</v>
      </c>
      <c r="C465" s="9">
        <v>1</v>
      </c>
      <c r="D465" s="12">
        <v>1.2122568</v>
      </c>
      <c r="E465" s="12">
        <v>5.5975790740045692</v>
      </c>
      <c r="F465" s="12">
        <v>-4.3853222740045688</v>
      </c>
      <c r="G465" s="12">
        <v>-0.40626445597564548</v>
      </c>
      <c r="H465" s="12">
        <v>1.2370888995430711</v>
      </c>
      <c r="I465" s="12">
        <v>3.1654773082563485</v>
      </c>
      <c r="J465" s="12">
        <v>8.029680839752789</v>
      </c>
      <c r="K465" s="12">
        <v>10.864913130087821</v>
      </c>
      <c r="L465" s="12">
        <v>-15.762708305623319</v>
      </c>
      <c r="M465" s="12">
        <v>26.957866453632455</v>
      </c>
    </row>
    <row r="466" spans="2:13" x14ac:dyDescent="0.3">
      <c r="B466" s="3" t="s">
        <v>409</v>
      </c>
      <c r="C466" s="9">
        <v>1</v>
      </c>
      <c r="D466" s="12">
        <v>-4.0372675969999996</v>
      </c>
      <c r="E466" s="12">
        <v>-3.685472331510586</v>
      </c>
      <c r="F466" s="12">
        <v>-0.35179526548941364</v>
      </c>
      <c r="G466" s="12">
        <v>-3.2590971248813515E-2</v>
      </c>
      <c r="H466" s="12">
        <v>1.464523934501879</v>
      </c>
      <c r="I466" s="12">
        <v>-6.5647086163064134</v>
      </c>
      <c r="J466" s="12">
        <v>-0.80623604671475801</v>
      </c>
      <c r="K466" s="12">
        <v>10.893152837159263</v>
      </c>
      <c r="L466" s="12">
        <v>-25.101278632582225</v>
      </c>
      <c r="M466" s="12">
        <v>17.730333969561055</v>
      </c>
    </row>
    <row r="467" spans="2:13" x14ac:dyDescent="0.3">
      <c r="B467" s="3" t="s">
        <v>410</v>
      </c>
      <c r="C467" s="9">
        <v>1</v>
      </c>
      <c r="D467" s="12">
        <v>3.7583816999999999E-2</v>
      </c>
      <c r="E467" s="12">
        <v>6.5248633794005668</v>
      </c>
      <c r="F467" s="12">
        <v>-6.487279562400567</v>
      </c>
      <c r="G467" s="12">
        <v>-0.60099370981322875</v>
      </c>
      <c r="H467" s="12">
        <v>0.97605997032649661</v>
      </c>
      <c r="I467" s="12">
        <v>4.6059413211846705</v>
      </c>
      <c r="J467" s="12">
        <v>8.4437854376164623</v>
      </c>
      <c r="K467" s="12">
        <v>10.838295135520889</v>
      </c>
      <c r="L467" s="12">
        <v>-14.783093345889689</v>
      </c>
      <c r="M467" s="12">
        <v>27.832820104690825</v>
      </c>
    </row>
    <row r="468" spans="2:13" x14ac:dyDescent="0.3">
      <c r="B468" s="3" t="s">
        <v>411</v>
      </c>
      <c r="C468" s="9">
        <v>1</v>
      </c>
      <c r="D468" s="12">
        <v>-2.0897554239999998</v>
      </c>
      <c r="E468" s="12">
        <v>-3.0524751611853169</v>
      </c>
      <c r="F468" s="12">
        <v>0.96271973718531711</v>
      </c>
      <c r="G468" s="12">
        <v>8.9188156729801557E-2</v>
      </c>
      <c r="H468" s="12">
        <v>1.9778646257341592</v>
      </c>
      <c r="I468" s="12">
        <v>-6.9409330161024059</v>
      </c>
      <c r="J468" s="12">
        <v>0.83598269373177159</v>
      </c>
      <c r="K468" s="12">
        <v>10.97396450043067</v>
      </c>
      <c r="L468" s="12">
        <v>-24.627156211685257</v>
      </c>
      <c r="M468" s="12">
        <v>18.522205889314623</v>
      </c>
    </row>
    <row r="469" spans="2:13" x14ac:dyDescent="0.3">
      <c r="B469" s="3" t="s">
        <v>412</v>
      </c>
      <c r="C469" s="9">
        <v>1</v>
      </c>
      <c r="D469" s="12">
        <v>86.831721079999994</v>
      </c>
      <c r="E469" s="12">
        <v>47.326972971309047</v>
      </c>
      <c r="F469" s="12">
        <v>39.504748108690947</v>
      </c>
      <c r="G469" s="12">
        <v>3.6597937383006385</v>
      </c>
      <c r="H469" s="12">
        <v>2.1406950050184599</v>
      </c>
      <c r="I469" s="12">
        <v>43.118392566491892</v>
      </c>
      <c r="J469" s="12">
        <v>51.535553376126202</v>
      </c>
      <c r="K469" s="12">
        <v>11.004477428914697</v>
      </c>
      <c r="L469" s="12">
        <v>25.69230387365133</v>
      </c>
      <c r="M469" s="12">
        <v>68.961642068966768</v>
      </c>
    </row>
    <row r="470" spans="2:13" x14ac:dyDescent="0.3">
      <c r="B470" s="3" t="s">
        <v>413</v>
      </c>
      <c r="C470" s="9">
        <v>1</v>
      </c>
      <c r="D470" s="12">
        <v>0.70165761500000001</v>
      </c>
      <c r="E470" s="12">
        <v>-6.2676248848736016E-2</v>
      </c>
      <c r="F470" s="12">
        <v>0.76433386384873603</v>
      </c>
      <c r="G470" s="12">
        <v>7.0809318444162841E-2</v>
      </c>
      <c r="H470" s="12">
        <v>1.586026611592672</v>
      </c>
      <c r="I470" s="12">
        <v>-3.1807853224997555</v>
      </c>
      <c r="J470" s="12">
        <v>3.0554328248022835</v>
      </c>
      <c r="K470" s="12">
        <v>10.91015255583817</v>
      </c>
      <c r="L470" s="12">
        <v>-21.511903790569662</v>
      </c>
      <c r="M470" s="12">
        <v>21.386551292872191</v>
      </c>
    </row>
    <row r="471" spans="2:13" x14ac:dyDescent="0.3">
      <c r="B471" s="3" t="s">
        <v>414</v>
      </c>
      <c r="C471" s="9">
        <v>1</v>
      </c>
      <c r="D471" s="12">
        <v>5.1819799999999999E-2</v>
      </c>
      <c r="E471" s="12">
        <v>6.5690071958018077</v>
      </c>
      <c r="F471" s="12">
        <v>-6.5171873958018081</v>
      </c>
      <c r="G471" s="12">
        <v>-0.60376442742688996</v>
      </c>
      <c r="H471" s="12">
        <v>1.3692207852716101</v>
      </c>
      <c r="I471" s="12">
        <v>3.8771357459906892</v>
      </c>
      <c r="J471" s="12">
        <v>9.2608786456129266</v>
      </c>
      <c r="K471" s="12">
        <v>10.880749695577132</v>
      </c>
      <c r="L471" s="12">
        <v>-14.822414679418246</v>
      </c>
      <c r="M471" s="12">
        <v>27.960429071021863</v>
      </c>
    </row>
    <row r="472" spans="2:13" x14ac:dyDescent="0.3">
      <c r="B472" s="3" t="s">
        <v>415</v>
      </c>
      <c r="C472" s="9">
        <v>1</v>
      </c>
      <c r="D472" s="12">
        <v>42.17996368</v>
      </c>
      <c r="E472" s="12">
        <v>24.651825837027925</v>
      </c>
      <c r="F472" s="12">
        <v>17.528137842972075</v>
      </c>
      <c r="G472" s="12">
        <v>1.6238394672276613</v>
      </c>
      <c r="H472" s="12">
        <v>1.4517090745837546</v>
      </c>
      <c r="I472" s="12">
        <v>21.797783411336482</v>
      </c>
      <c r="J472" s="12">
        <v>27.505868262719368</v>
      </c>
      <c r="K472" s="12">
        <v>10.891437353086637</v>
      </c>
      <c r="L472" s="12">
        <v>3.239392156827499</v>
      </c>
      <c r="M472" s="12">
        <v>46.064259517228351</v>
      </c>
    </row>
    <row r="473" spans="2:13" x14ac:dyDescent="0.3">
      <c r="B473" s="3" t="s">
        <v>416</v>
      </c>
      <c r="C473" s="9">
        <v>1</v>
      </c>
      <c r="D473" s="12">
        <v>2.3821838309999999</v>
      </c>
      <c r="E473" s="12">
        <v>-0.3655799633398189</v>
      </c>
      <c r="F473" s="12">
        <v>2.7477637943398188</v>
      </c>
      <c r="G473" s="12">
        <v>0.25455797620037784</v>
      </c>
      <c r="H473" s="12">
        <v>1.8749966049599416</v>
      </c>
      <c r="I473" s="12">
        <v>-4.0518005376084378</v>
      </c>
      <c r="J473" s="12">
        <v>3.3206406109287996</v>
      </c>
      <c r="K473" s="12">
        <v>10.955891595283029</v>
      </c>
      <c r="L473" s="12">
        <v>-21.904729901614914</v>
      </c>
      <c r="M473" s="12">
        <v>21.173569974935276</v>
      </c>
    </row>
    <row r="474" spans="2:13" x14ac:dyDescent="0.3">
      <c r="B474" s="3" t="s">
        <v>417</v>
      </c>
      <c r="C474" s="9">
        <v>1</v>
      </c>
      <c r="D474" s="12">
        <v>1.525071415</v>
      </c>
      <c r="E474" s="12">
        <v>-9.6487011111720733</v>
      </c>
      <c r="F474" s="12">
        <v>11.173772526172073</v>
      </c>
      <c r="G474" s="12">
        <v>1.0351591816752717</v>
      </c>
      <c r="H474" s="12">
        <v>2.1104054904018308</v>
      </c>
      <c r="I474" s="12">
        <v>-13.797732697783871</v>
      </c>
      <c r="J474" s="12">
        <v>-5.4996695245602751</v>
      </c>
      <c r="K474" s="12">
        <v>10.99862535560241</v>
      </c>
      <c r="L474" s="12">
        <v>-31.271865103706499</v>
      </c>
      <c r="M474" s="12">
        <v>11.974462881362353</v>
      </c>
    </row>
    <row r="475" spans="2:13" x14ac:dyDescent="0.3">
      <c r="B475" s="3" t="s">
        <v>418</v>
      </c>
      <c r="C475" s="9">
        <v>1</v>
      </c>
      <c r="D475" s="12">
        <v>1.6279444590000001</v>
      </c>
      <c r="E475" s="12">
        <v>-12.427649287034884</v>
      </c>
      <c r="F475" s="12">
        <v>14.055593746034884</v>
      </c>
      <c r="G475" s="12">
        <v>1.3021364884622384</v>
      </c>
      <c r="H475" s="12">
        <v>2.5091682420590109</v>
      </c>
      <c r="I475" s="12">
        <v>-17.360643604844306</v>
      </c>
      <c r="J475" s="12">
        <v>-7.4946549692254631</v>
      </c>
      <c r="K475" s="12">
        <v>11.082051869845202</v>
      </c>
      <c r="L475" s="12">
        <v>-34.21482879427893</v>
      </c>
      <c r="M475" s="12">
        <v>9.3595302202091606</v>
      </c>
    </row>
    <row r="476" spans="2:13" x14ac:dyDescent="0.3">
      <c r="B476" s="3" t="s">
        <v>419</v>
      </c>
      <c r="C476" s="9">
        <v>1</v>
      </c>
      <c r="D476" s="12">
        <v>13.227483319999999</v>
      </c>
      <c r="E476" s="12">
        <v>23.145748316418018</v>
      </c>
      <c r="F476" s="12">
        <v>-9.918264996418019</v>
      </c>
      <c r="G476" s="12">
        <v>-0.9188466163314537</v>
      </c>
      <c r="H476" s="12">
        <v>1.552992684665478</v>
      </c>
      <c r="I476" s="12">
        <v>20.092583542274415</v>
      </c>
      <c r="J476" s="12">
        <v>26.198913090561621</v>
      </c>
      <c r="K476" s="12">
        <v>10.905399335081981</v>
      </c>
      <c r="L476" s="12">
        <v>1.7058655490284984</v>
      </c>
      <c r="M476" s="12">
        <v>44.585631083807542</v>
      </c>
    </row>
    <row r="477" spans="2:13" x14ac:dyDescent="0.3">
      <c r="B477" s="3" t="s">
        <v>420</v>
      </c>
      <c r="C477" s="9">
        <v>1</v>
      </c>
      <c r="D477" s="12">
        <v>0.46839842999999998</v>
      </c>
      <c r="E477" s="12">
        <v>-6.263143575594718</v>
      </c>
      <c r="F477" s="12">
        <v>6.7315420055947177</v>
      </c>
      <c r="G477" s="12">
        <v>0.62362263931923156</v>
      </c>
      <c r="H477" s="12">
        <v>1.648078006931893</v>
      </c>
      <c r="I477" s="12">
        <v>-9.5032449395551915</v>
      </c>
      <c r="J477" s="12">
        <v>-3.023042211634245</v>
      </c>
      <c r="K477" s="12">
        <v>10.919345653285028</v>
      </c>
      <c r="L477" s="12">
        <v>-27.730444635347741</v>
      </c>
      <c r="M477" s="12">
        <v>15.204157484158305</v>
      </c>
    </row>
    <row r="478" spans="2:13" x14ac:dyDescent="0.3">
      <c r="B478" s="3" t="s">
        <v>421</v>
      </c>
      <c r="C478" s="9">
        <v>1</v>
      </c>
      <c r="D478" s="12">
        <v>21.106583860000001</v>
      </c>
      <c r="E478" s="12">
        <v>36.924325009203407</v>
      </c>
      <c r="F478" s="12">
        <v>-15.817741149203407</v>
      </c>
      <c r="G478" s="12">
        <v>-1.4653851190910236</v>
      </c>
      <c r="H478" s="12">
        <v>2.0305439635353513</v>
      </c>
      <c r="I478" s="12">
        <v>32.932300215376713</v>
      </c>
      <c r="J478" s="12">
        <v>40.916349803030101</v>
      </c>
      <c r="K478" s="12">
        <v>10.983581254164413</v>
      </c>
      <c r="L478" s="12">
        <v>15.330737537551968</v>
      </c>
      <c r="M478" s="12">
        <v>58.517912480854847</v>
      </c>
    </row>
    <row r="479" spans="2:13" x14ac:dyDescent="0.3">
      <c r="B479" s="3" t="s">
        <v>422</v>
      </c>
      <c r="C479" s="9">
        <v>1</v>
      </c>
      <c r="D479" s="12">
        <v>2.5451419120000001</v>
      </c>
      <c r="E479" s="12">
        <v>10.57860927237828</v>
      </c>
      <c r="F479" s="12">
        <v>-8.03346736037828</v>
      </c>
      <c r="G479" s="12">
        <v>-0.74423543877468434</v>
      </c>
      <c r="H479" s="12">
        <v>1.5139972544953046</v>
      </c>
      <c r="I479" s="12">
        <v>7.602109040781313</v>
      </c>
      <c r="J479" s="12">
        <v>13.555109503975247</v>
      </c>
      <c r="K479" s="12">
        <v>10.899914498086732</v>
      </c>
      <c r="L479" s="12">
        <v>-10.850490372031224</v>
      </c>
      <c r="M479" s="12">
        <v>32.007708916787784</v>
      </c>
    </row>
    <row r="480" spans="2:13" x14ac:dyDescent="0.3">
      <c r="B480" s="3" t="s">
        <v>423</v>
      </c>
      <c r="C480" s="9">
        <v>1</v>
      </c>
      <c r="D480" s="12">
        <v>-3.6687384600000001</v>
      </c>
      <c r="E480" s="12">
        <v>-7.2930450018082738E-3</v>
      </c>
      <c r="F480" s="12">
        <v>-3.6614454149981919</v>
      </c>
      <c r="G480" s="12">
        <v>-0.33920315011430158</v>
      </c>
      <c r="H480" s="12">
        <v>1.3645226533628105</v>
      </c>
      <c r="I480" s="12">
        <v>-2.6899280244870432</v>
      </c>
      <c r="J480" s="12">
        <v>2.6753419344834266</v>
      </c>
      <c r="K480" s="12">
        <v>10.880159486446985</v>
      </c>
      <c r="L480" s="12">
        <v>-21.397554576233553</v>
      </c>
      <c r="M480" s="12">
        <v>21.382968486229935</v>
      </c>
    </row>
    <row r="481" spans="2:13" x14ac:dyDescent="0.3">
      <c r="B481" s="3" t="s">
        <v>424</v>
      </c>
      <c r="C481" s="9">
        <v>1</v>
      </c>
      <c r="D481" s="12">
        <v>-2.1710200479999999</v>
      </c>
      <c r="E481" s="12">
        <v>-2.0094780512264876E-2</v>
      </c>
      <c r="F481" s="12">
        <v>-2.150925267487735</v>
      </c>
      <c r="G481" s="12">
        <v>-0.19926573899030711</v>
      </c>
      <c r="H481" s="12">
        <v>1.548066637754973</v>
      </c>
      <c r="I481" s="12">
        <v>-3.0635750062021363</v>
      </c>
      <c r="J481" s="12">
        <v>3.0233854451776065</v>
      </c>
      <c r="K481" s="12">
        <v>10.904698927247464</v>
      </c>
      <c r="L481" s="12">
        <v>-21.45860055459783</v>
      </c>
      <c r="M481" s="12">
        <v>21.418410993573296</v>
      </c>
    </row>
    <row r="482" spans="2:13" x14ac:dyDescent="0.3">
      <c r="B482" s="3" t="s">
        <v>425</v>
      </c>
      <c r="C482" s="9">
        <v>1</v>
      </c>
      <c r="D482" s="12">
        <v>-2.741458014</v>
      </c>
      <c r="E482" s="12">
        <v>-2.4838516777335435</v>
      </c>
      <c r="F482" s="12">
        <v>-0.25760633626645646</v>
      </c>
      <c r="G482" s="12">
        <v>-2.3865132713177216E-2</v>
      </c>
      <c r="H482" s="12">
        <v>2.1183637576537691</v>
      </c>
      <c r="I482" s="12">
        <v>-6.6485291211975737</v>
      </c>
      <c r="J482" s="12">
        <v>1.6808257657304866</v>
      </c>
      <c r="K482" s="12">
        <v>11.000155152938664</v>
      </c>
      <c r="L482" s="12">
        <v>-24.110023233268585</v>
      </c>
      <c r="M482" s="12">
        <v>19.142319877801498</v>
      </c>
    </row>
    <row r="483" spans="2:13" x14ac:dyDescent="0.3">
      <c r="B483" s="3" t="s">
        <v>426</v>
      </c>
      <c r="C483" s="9">
        <v>1</v>
      </c>
      <c r="D483" s="12">
        <v>7.6399977750000003</v>
      </c>
      <c r="E483" s="12">
        <v>11.24315210171844</v>
      </c>
      <c r="F483" s="12">
        <v>-3.6031543267184398</v>
      </c>
      <c r="G483" s="12">
        <v>-0.33380295469227245</v>
      </c>
      <c r="H483" s="12">
        <v>1.4660353099973085</v>
      </c>
      <c r="I483" s="12">
        <v>8.3609444710375271</v>
      </c>
      <c r="J483" s="12">
        <v>14.125359732399353</v>
      </c>
      <c r="K483" s="12">
        <v>10.893356136156614</v>
      </c>
      <c r="L483" s="12">
        <v>-10.173053882715173</v>
      </c>
      <c r="M483" s="12">
        <v>32.659358086152054</v>
      </c>
    </row>
    <row r="484" spans="2:13" x14ac:dyDescent="0.3">
      <c r="B484" s="3" t="s">
        <v>427</v>
      </c>
      <c r="C484" s="9">
        <v>1</v>
      </c>
      <c r="D484" s="12">
        <v>-1.4217689520000001</v>
      </c>
      <c r="E484" s="12">
        <v>-6.9375273692968351</v>
      </c>
      <c r="F484" s="12">
        <v>5.5157584172968352</v>
      </c>
      <c r="G484" s="12">
        <v>0.51099017419531423</v>
      </c>
      <c r="H484" s="12">
        <v>1.3426047852691891</v>
      </c>
      <c r="I484" s="12">
        <v>-9.5770720860599461</v>
      </c>
      <c r="J484" s="12">
        <v>-4.2979826525337232</v>
      </c>
      <c r="K484" s="12">
        <v>10.877432417092269</v>
      </c>
      <c r="L484" s="12">
        <v>-28.322427515267282</v>
      </c>
      <c r="M484" s="12">
        <v>14.447372776673614</v>
      </c>
    </row>
    <row r="485" spans="2:13" x14ac:dyDescent="0.3">
      <c r="B485" s="3" t="s">
        <v>428</v>
      </c>
      <c r="C485" s="9">
        <v>1</v>
      </c>
      <c r="D485" s="12">
        <v>-8.8642962000000006E-2</v>
      </c>
      <c r="E485" s="12">
        <v>-3.1793223589443054</v>
      </c>
      <c r="F485" s="12">
        <v>3.0906793969443052</v>
      </c>
      <c r="G485" s="12">
        <v>0.28632631887464471</v>
      </c>
      <c r="H485" s="12">
        <v>1.4772665967751035</v>
      </c>
      <c r="I485" s="12">
        <v>-6.0836105631506863</v>
      </c>
      <c r="J485" s="12">
        <v>-0.27503415473792447</v>
      </c>
      <c r="K485" s="12">
        <v>10.89487333459777</v>
      </c>
      <c r="L485" s="12">
        <v>-24.59851113710365</v>
      </c>
      <c r="M485" s="12">
        <v>18.239866419215041</v>
      </c>
    </row>
    <row r="486" spans="2:13" x14ac:dyDescent="0.3">
      <c r="B486" s="3" t="s">
        <v>429</v>
      </c>
      <c r="C486" s="9">
        <v>1</v>
      </c>
      <c r="D486" s="12">
        <v>0.71982506300000004</v>
      </c>
      <c r="E486" s="12">
        <v>-3.4486687954231643</v>
      </c>
      <c r="F486" s="12">
        <v>4.1684938584231643</v>
      </c>
      <c r="G486" s="12">
        <v>0.38617706608906388</v>
      </c>
      <c r="H486" s="12">
        <v>1.4873202385861417</v>
      </c>
      <c r="I486" s="12">
        <v>-6.372722337439833</v>
      </c>
      <c r="J486" s="12">
        <v>-0.52461525340649562</v>
      </c>
      <c r="K486" s="12">
        <v>10.896241089067825</v>
      </c>
      <c r="L486" s="12">
        <v>-24.870546562274395</v>
      </c>
      <c r="M486" s="12">
        <v>17.973208971428068</v>
      </c>
    </row>
    <row r="487" spans="2:13" x14ac:dyDescent="0.3">
      <c r="B487" s="3" t="s">
        <v>430</v>
      </c>
      <c r="C487" s="9">
        <v>1</v>
      </c>
      <c r="D487" s="12">
        <v>19.93662346</v>
      </c>
      <c r="E487" s="12">
        <v>10.6902476695355</v>
      </c>
      <c r="F487" s="12">
        <v>9.2463757904644996</v>
      </c>
      <c r="G487" s="12">
        <v>0.85660154386535414</v>
      </c>
      <c r="H487" s="12">
        <v>1.7563764379890194</v>
      </c>
      <c r="I487" s="12">
        <v>7.2372329042025907</v>
      </c>
      <c r="J487" s="12">
        <v>14.14326243486841</v>
      </c>
      <c r="K487" s="12">
        <v>10.936215367800006</v>
      </c>
      <c r="L487" s="12">
        <v>-10.810219044257989</v>
      </c>
      <c r="M487" s="12">
        <v>32.190714383328988</v>
      </c>
    </row>
    <row r="488" spans="2:13" x14ac:dyDescent="0.3">
      <c r="B488" s="3" t="s">
        <v>431</v>
      </c>
      <c r="C488" s="9">
        <v>1</v>
      </c>
      <c r="D488" s="12">
        <v>5.3310038510000002</v>
      </c>
      <c r="E488" s="12">
        <v>16.99624249251994</v>
      </c>
      <c r="F488" s="12">
        <v>-11.66523864151994</v>
      </c>
      <c r="G488" s="12">
        <v>-1.0806895216381625</v>
      </c>
      <c r="H488" s="12">
        <v>1.9620867371428969</v>
      </c>
      <c r="I488" s="12">
        <v>13.138803775125435</v>
      </c>
      <c r="J488" s="12">
        <v>20.853681209914445</v>
      </c>
      <c r="K488" s="12">
        <v>10.971131789521722</v>
      </c>
      <c r="L488" s="12">
        <v>-4.5728694827049345</v>
      </c>
      <c r="M488" s="12">
        <v>38.565354467744811</v>
      </c>
    </row>
    <row r="489" spans="2:13" x14ac:dyDescent="0.3">
      <c r="B489" s="3" t="s">
        <v>432</v>
      </c>
      <c r="C489" s="9">
        <v>1</v>
      </c>
      <c r="D489" s="12">
        <v>-2.4381319850000001</v>
      </c>
      <c r="E489" s="12">
        <v>0.475405174838615</v>
      </c>
      <c r="F489" s="12">
        <v>-2.9135371598386151</v>
      </c>
      <c r="G489" s="12">
        <v>-0.26991553077483788</v>
      </c>
      <c r="H489" s="12">
        <v>1.7032642951945816</v>
      </c>
      <c r="I489" s="12">
        <v>-2.8731917622195953</v>
      </c>
      <c r="J489" s="12">
        <v>3.8240021118968253</v>
      </c>
      <c r="K489" s="12">
        <v>10.927811200705598</v>
      </c>
      <c r="L489" s="12">
        <v>-21.008539048422868</v>
      </c>
      <c r="M489" s="12">
        <v>21.959349398100095</v>
      </c>
    </row>
    <row r="490" spans="2:13" x14ac:dyDescent="0.3">
      <c r="B490" s="3" t="s">
        <v>433</v>
      </c>
      <c r="C490" s="9">
        <v>1</v>
      </c>
      <c r="D490" s="12">
        <v>4.8377576949999996</v>
      </c>
      <c r="E490" s="12">
        <v>8.0454784033853031</v>
      </c>
      <c r="F490" s="12">
        <v>-3.2077207083853034</v>
      </c>
      <c r="G490" s="12">
        <v>-0.29716924483270252</v>
      </c>
      <c r="H490" s="12">
        <v>1.620571943490656</v>
      </c>
      <c r="I490" s="12">
        <v>4.859453626393579</v>
      </c>
      <c r="J490" s="12">
        <v>11.231503180377027</v>
      </c>
      <c r="K490" s="12">
        <v>10.915227977601344</v>
      </c>
      <c r="L490" s="12">
        <v>-13.413727355937198</v>
      </c>
      <c r="M490" s="12">
        <v>29.504684162707804</v>
      </c>
    </row>
    <row r="491" spans="2:13" x14ac:dyDescent="0.3">
      <c r="B491" s="3" t="s">
        <v>434</v>
      </c>
      <c r="C491" s="9">
        <v>1</v>
      </c>
      <c r="D491" s="12">
        <v>4.13333204</v>
      </c>
      <c r="E491" s="12">
        <v>9.4865684356976097</v>
      </c>
      <c r="F491" s="12">
        <v>-5.3532363956976097</v>
      </c>
      <c r="G491" s="12">
        <v>-0.49593383019969334</v>
      </c>
      <c r="H491" s="12">
        <v>1.418551794262729</v>
      </c>
      <c r="I491" s="12">
        <v>6.6977128207890946</v>
      </c>
      <c r="J491" s="12">
        <v>12.275424050606125</v>
      </c>
      <c r="K491" s="12">
        <v>10.887067445918944</v>
      </c>
      <c r="L491" s="12">
        <v>-11.91727406003529</v>
      </c>
      <c r="M491" s="12">
        <v>30.890410931430509</v>
      </c>
    </row>
    <row r="492" spans="2:13" x14ac:dyDescent="0.3">
      <c r="B492" s="3" t="s">
        <v>435</v>
      </c>
      <c r="C492" s="9">
        <v>1</v>
      </c>
      <c r="D492" s="12">
        <v>-2.9850478840000001</v>
      </c>
      <c r="E492" s="12">
        <v>-2.5049704045732275</v>
      </c>
      <c r="F492" s="12">
        <v>-0.48007747942677259</v>
      </c>
      <c r="G492" s="12">
        <v>-4.4475275434517292E-2</v>
      </c>
      <c r="H492" s="12">
        <v>1.6584282610912671</v>
      </c>
      <c r="I492" s="12">
        <v>-5.765420242621742</v>
      </c>
      <c r="J492" s="12">
        <v>0.75547943347528745</v>
      </c>
      <c r="K492" s="12">
        <v>10.920912630186555</v>
      </c>
      <c r="L492" s="12">
        <v>-23.975352121901061</v>
      </c>
      <c r="M492" s="12">
        <v>18.965411312754604</v>
      </c>
    </row>
    <row r="493" spans="2:13" x14ac:dyDescent="0.3">
      <c r="B493" s="3" t="s">
        <v>436</v>
      </c>
      <c r="C493" s="9">
        <v>1</v>
      </c>
      <c r="D493" s="12">
        <v>3.8023715629999999</v>
      </c>
      <c r="E493" s="12">
        <v>8.4422473580549475</v>
      </c>
      <c r="F493" s="12">
        <v>-4.6398757950549481</v>
      </c>
      <c r="G493" s="12">
        <v>-0.42984677017846928</v>
      </c>
      <c r="H493" s="12">
        <v>1.3599277696734129</v>
      </c>
      <c r="I493" s="12">
        <v>5.7686458641490592</v>
      </c>
      <c r="J493" s="12">
        <v>11.115848851960836</v>
      </c>
      <c r="K493" s="12">
        <v>10.879584179448722</v>
      </c>
      <c r="L493" s="12">
        <v>-12.946883126598946</v>
      </c>
      <c r="M493" s="12">
        <v>29.831377842708839</v>
      </c>
    </row>
    <row r="494" spans="2:13" x14ac:dyDescent="0.3">
      <c r="B494" s="3" t="s">
        <v>437</v>
      </c>
      <c r="C494" s="9">
        <v>1</v>
      </c>
      <c r="D494" s="12">
        <v>-1.713556079</v>
      </c>
      <c r="E494" s="12">
        <v>3.085436182102105</v>
      </c>
      <c r="F494" s="12">
        <v>-4.7989922611021054</v>
      </c>
      <c r="G494" s="12">
        <v>-0.44458761713938943</v>
      </c>
      <c r="H494" s="12">
        <v>1.1019410138453023</v>
      </c>
      <c r="I494" s="12">
        <v>0.91903351976034786</v>
      </c>
      <c r="J494" s="12">
        <v>5.2518388444438617</v>
      </c>
      <c r="K494" s="12">
        <v>10.850355864070838</v>
      </c>
      <c r="L494" s="12">
        <v>-18.246231789173283</v>
      </c>
      <c r="M494" s="12">
        <v>24.41710415337749</v>
      </c>
    </row>
    <row r="495" spans="2:13" x14ac:dyDescent="0.3">
      <c r="B495" s="3" t="s">
        <v>438</v>
      </c>
      <c r="C495" s="9">
        <v>1</v>
      </c>
      <c r="D495" s="12">
        <v>42.122043920000003</v>
      </c>
      <c r="E495" s="12">
        <v>24.960792991417669</v>
      </c>
      <c r="F495" s="12">
        <v>17.161250928582334</v>
      </c>
      <c r="G495" s="12">
        <v>1.5898503774034782</v>
      </c>
      <c r="H495" s="12">
        <v>1.3938963397901616</v>
      </c>
      <c r="I495" s="12">
        <v>22.220409700834598</v>
      </c>
      <c r="J495" s="12">
        <v>27.701176282000741</v>
      </c>
      <c r="K495" s="12">
        <v>10.883882367292586</v>
      </c>
      <c r="L495" s="12">
        <v>3.5632123216166605</v>
      </c>
      <c r="M495" s="12">
        <v>46.358373661218678</v>
      </c>
    </row>
    <row r="496" spans="2:13" x14ac:dyDescent="0.3">
      <c r="B496" s="3" t="s">
        <v>439</v>
      </c>
      <c r="C496" s="9">
        <v>1</v>
      </c>
      <c r="D496" s="12">
        <v>19.93662346</v>
      </c>
      <c r="E496" s="12">
        <v>10.454122531190487</v>
      </c>
      <c r="F496" s="12">
        <v>9.4825009288095128</v>
      </c>
      <c r="G496" s="12">
        <v>0.87847661823344858</v>
      </c>
      <c r="H496" s="12">
        <v>1.7860243578089579</v>
      </c>
      <c r="I496" s="12">
        <v>6.9428203152374426</v>
      </c>
      <c r="J496" s="12">
        <v>13.965424747143532</v>
      </c>
      <c r="K496" s="12">
        <v>10.94101601249486</v>
      </c>
      <c r="L496" s="12">
        <v>-11.055782191822386</v>
      </c>
      <c r="M496" s="12">
        <v>31.964027254203359</v>
      </c>
    </row>
    <row r="497" spans="2:13" x14ac:dyDescent="0.3">
      <c r="B497" s="3" t="s">
        <v>440</v>
      </c>
      <c r="C497" s="9">
        <v>1</v>
      </c>
      <c r="D497" s="12">
        <v>0.62162394300000001</v>
      </c>
      <c r="E497" s="12">
        <v>2.0158751572747251</v>
      </c>
      <c r="F497" s="12">
        <v>-1.3942512142747252</v>
      </c>
      <c r="G497" s="12">
        <v>-0.12916603972721258</v>
      </c>
      <c r="H497" s="12">
        <v>1.7163288689250036</v>
      </c>
      <c r="I497" s="12">
        <v>-1.3584065732128368</v>
      </c>
      <c r="J497" s="12">
        <v>5.390156887762287</v>
      </c>
      <c r="K497" s="12">
        <v>10.929855130114371</v>
      </c>
      <c r="L497" s="12">
        <v>-19.472087406403503</v>
      </c>
      <c r="M497" s="12">
        <v>23.503837720952951</v>
      </c>
    </row>
    <row r="498" spans="2:13" x14ac:dyDescent="0.3">
      <c r="B498" s="3" t="s">
        <v>441</v>
      </c>
      <c r="C498" s="9">
        <v>1</v>
      </c>
      <c r="D498" s="12">
        <v>-0.67517504399999995</v>
      </c>
      <c r="E498" s="12">
        <v>0.84085377507468184</v>
      </c>
      <c r="F498" s="12">
        <v>-1.5160288190746818</v>
      </c>
      <c r="G498" s="12">
        <v>-0.14044774475886881</v>
      </c>
      <c r="H498" s="12">
        <v>1.1786554383316923</v>
      </c>
      <c r="I498" s="12">
        <v>-1.4763685149596539</v>
      </c>
      <c r="J498" s="12">
        <v>3.1580760651090176</v>
      </c>
      <c r="K498" s="12">
        <v>10.858415032650525</v>
      </c>
      <c r="L498" s="12">
        <v>-20.50665842383896</v>
      </c>
      <c r="M498" s="12">
        <v>22.188365973988322</v>
      </c>
    </row>
    <row r="499" spans="2:13" x14ac:dyDescent="0.3">
      <c r="B499" s="3" t="s">
        <v>442</v>
      </c>
      <c r="C499" s="9">
        <v>1</v>
      </c>
      <c r="D499" s="12">
        <v>1.4468384780000001</v>
      </c>
      <c r="E499" s="12">
        <v>-9.1840784922150362</v>
      </c>
      <c r="F499" s="12">
        <v>10.630916970215036</v>
      </c>
      <c r="G499" s="12">
        <v>0.98486802783657168</v>
      </c>
      <c r="H499" s="12">
        <v>1.9211136668641404</v>
      </c>
      <c r="I499" s="12">
        <v>-12.960964650605984</v>
      </c>
      <c r="J499" s="12">
        <v>-5.4071923338240886</v>
      </c>
      <c r="K499" s="12">
        <v>10.963878241753427</v>
      </c>
      <c r="L499" s="12">
        <v>-30.7389300805415</v>
      </c>
      <c r="M499" s="12">
        <v>12.370773096111428</v>
      </c>
    </row>
    <row r="500" spans="2:13" x14ac:dyDescent="0.3">
      <c r="B500" s="3" t="s">
        <v>443</v>
      </c>
      <c r="C500" s="9">
        <v>1</v>
      </c>
      <c r="D500" s="12">
        <v>1.133444871</v>
      </c>
      <c r="E500" s="12">
        <v>6.1695425791100913</v>
      </c>
      <c r="F500" s="12">
        <v>-5.0360977081100913</v>
      </c>
      <c r="G500" s="12">
        <v>-0.46655350913518967</v>
      </c>
      <c r="H500" s="12">
        <v>1.2569266252655686</v>
      </c>
      <c r="I500" s="12">
        <v>3.6984400853010695</v>
      </c>
      <c r="J500" s="12">
        <v>8.6406450729191135</v>
      </c>
      <c r="K500" s="12">
        <v>10.867189743456379</v>
      </c>
      <c r="L500" s="12">
        <v>-15.195220594776108</v>
      </c>
      <c r="M500" s="12">
        <v>27.534305752996289</v>
      </c>
    </row>
    <row r="501" spans="2:13" x14ac:dyDescent="0.3">
      <c r="B501" s="3" t="s">
        <v>444</v>
      </c>
      <c r="C501" s="9">
        <v>1</v>
      </c>
      <c r="D501" s="12">
        <v>3.175457057</v>
      </c>
      <c r="E501" s="12">
        <v>10.806705432370865</v>
      </c>
      <c r="F501" s="12">
        <v>-7.6312483753708653</v>
      </c>
      <c r="G501" s="12">
        <v>-0.70697311985783673</v>
      </c>
      <c r="H501" s="12">
        <v>1.3404949475199028</v>
      </c>
      <c r="I501" s="12">
        <v>8.1713086310222209</v>
      </c>
      <c r="J501" s="12">
        <v>13.44210223371951</v>
      </c>
      <c r="K501" s="12">
        <v>10.877172200682878</v>
      </c>
      <c r="L501" s="12">
        <v>-10.577683131296169</v>
      </c>
      <c r="M501" s="12">
        <v>32.1910939960379</v>
      </c>
    </row>
    <row r="502" spans="2:13" x14ac:dyDescent="0.3">
      <c r="B502" s="3" t="s">
        <v>445</v>
      </c>
      <c r="C502" s="9">
        <v>1</v>
      </c>
      <c r="D502" s="12">
        <v>1.477300337</v>
      </c>
      <c r="E502" s="12">
        <v>5.6171893069219632</v>
      </c>
      <c r="F502" s="12">
        <v>-4.1398889699219632</v>
      </c>
      <c r="G502" s="12">
        <v>-0.38352705572743717</v>
      </c>
      <c r="H502" s="12">
        <v>1.5726853842857003</v>
      </c>
      <c r="I502" s="12">
        <v>2.5253089242748956</v>
      </c>
      <c r="J502" s="12">
        <v>8.7090696895690307</v>
      </c>
      <c r="K502" s="12">
        <v>10.9082211059791</v>
      </c>
      <c r="L502" s="12">
        <v>-15.828241027812117</v>
      </c>
      <c r="M502" s="12">
        <v>27.062619641656042</v>
      </c>
    </row>
    <row r="503" spans="2:13" x14ac:dyDescent="0.3">
      <c r="B503" s="3" t="s">
        <v>446</v>
      </c>
      <c r="C503" s="9">
        <v>1</v>
      </c>
      <c r="D503" s="12">
        <v>18.738408379999999</v>
      </c>
      <c r="E503" s="12">
        <v>14.464181308454073</v>
      </c>
      <c r="F503" s="12">
        <v>4.2742270715459263</v>
      </c>
      <c r="G503" s="12">
        <v>0.39597238867288165</v>
      </c>
      <c r="H503" s="12">
        <v>1.594715074904552</v>
      </c>
      <c r="I503" s="12">
        <v>11.328990821357127</v>
      </c>
      <c r="J503" s="12">
        <v>17.599371795551018</v>
      </c>
      <c r="K503" s="12">
        <v>10.911418997963091</v>
      </c>
      <c r="L503" s="12">
        <v>-6.987536043117526</v>
      </c>
      <c r="M503" s="12">
        <v>35.915898660025675</v>
      </c>
    </row>
    <row r="504" spans="2:13" x14ac:dyDescent="0.3">
      <c r="B504" s="3" t="s">
        <v>447</v>
      </c>
      <c r="C504" s="9">
        <v>1</v>
      </c>
      <c r="D504" s="12">
        <v>-2.363326056</v>
      </c>
      <c r="E504" s="12">
        <v>-10.6391251937715</v>
      </c>
      <c r="F504" s="12">
        <v>8.2757991377715001</v>
      </c>
      <c r="G504" s="12">
        <v>0.76668550779056199</v>
      </c>
      <c r="H504" s="12">
        <v>1.572712579737001</v>
      </c>
      <c r="I504" s="12">
        <v>-13.731059042345837</v>
      </c>
      <c r="J504" s="12">
        <v>-7.5471913451971631</v>
      </c>
      <c r="K504" s="12">
        <v>10.908225026898053</v>
      </c>
      <c r="L504" s="12">
        <v>-32.084563236984664</v>
      </c>
      <c r="M504" s="12">
        <v>10.806312849441666</v>
      </c>
    </row>
    <row r="505" spans="2:13" x14ac:dyDescent="0.3">
      <c r="B505" s="3" t="s">
        <v>448</v>
      </c>
      <c r="C505" s="9">
        <v>1</v>
      </c>
      <c r="D505" s="12">
        <v>26.584568879999999</v>
      </c>
      <c r="E505" s="12">
        <v>18.059287732605064</v>
      </c>
      <c r="F505" s="12">
        <v>8.525281147394935</v>
      </c>
      <c r="G505" s="12">
        <v>0.78979798769111442</v>
      </c>
      <c r="H505" s="12">
        <v>1.5714885385339432</v>
      </c>
      <c r="I505" s="12">
        <v>14.969760334183505</v>
      </c>
      <c r="J505" s="12">
        <v>21.148815131026623</v>
      </c>
      <c r="K505" s="12">
        <v>10.908048615849014</v>
      </c>
      <c r="L505" s="12">
        <v>-3.385803488626248</v>
      </c>
      <c r="M505" s="12">
        <v>39.50437895383638</v>
      </c>
    </row>
    <row r="506" spans="2:13" x14ac:dyDescent="0.3">
      <c r="B506" s="3" t="s">
        <v>449</v>
      </c>
      <c r="C506" s="9">
        <v>1</v>
      </c>
      <c r="D506" s="12">
        <v>16.120605699999999</v>
      </c>
      <c r="E506" s="12">
        <v>11.642744522728224</v>
      </c>
      <c r="F506" s="12">
        <v>4.4778611772717749</v>
      </c>
      <c r="G506" s="12">
        <v>0.41483743302120785</v>
      </c>
      <c r="H506" s="12">
        <v>1.4435422183229667</v>
      </c>
      <c r="I506" s="12">
        <v>8.804758037349405</v>
      </c>
      <c r="J506" s="12">
        <v>14.480731008107043</v>
      </c>
      <c r="K506" s="12">
        <v>10.890351808599336</v>
      </c>
      <c r="L506" s="12">
        <v>-9.7675549901820897</v>
      </c>
      <c r="M506" s="12">
        <v>33.053044035638536</v>
      </c>
    </row>
    <row r="507" spans="2:13" x14ac:dyDescent="0.3">
      <c r="B507" s="3" t="s">
        <v>450</v>
      </c>
      <c r="C507" s="9">
        <v>1</v>
      </c>
      <c r="D507" s="12">
        <v>-1.344951977</v>
      </c>
      <c r="E507" s="12">
        <v>-5.3827736757580693</v>
      </c>
      <c r="F507" s="12">
        <v>4.0378216987580693</v>
      </c>
      <c r="G507" s="12">
        <v>0.37407135286196636</v>
      </c>
      <c r="H507" s="12">
        <v>1.3316529785684383</v>
      </c>
      <c r="I507" s="12">
        <v>-8.0007872734359911</v>
      </c>
      <c r="J507" s="12">
        <v>-2.764760078080148</v>
      </c>
      <c r="K507" s="12">
        <v>10.876086062288778</v>
      </c>
      <c r="L507" s="12">
        <v>-26.765026904521431</v>
      </c>
      <c r="M507" s="12">
        <v>15.99947955300529</v>
      </c>
    </row>
    <row r="508" spans="2:13" x14ac:dyDescent="0.3">
      <c r="B508" s="3" t="s">
        <v>451</v>
      </c>
      <c r="C508" s="9">
        <v>1</v>
      </c>
      <c r="D508" s="12">
        <v>86.831721079999994</v>
      </c>
      <c r="E508" s="12">
        <v>47.368722635169647</v>
      </c>
      <c r="F508" s="12">
        <v>39.462998444830347</v>
      </c>
      <c r="G508" s="12">
        <v>3.6559259713691095</v>
      </c>
      <c r="H508" s="12">
        <v>2.2118869882764662</v>
      </c>
      <c r="I508" s="12">
        <v>43.020179655105977</v>
      </c>
      <c r="J508" s="12">
        <v>51.717265615233316</v>
      </c>
      <c r="K508" s="12">
        <v>11.018547655108126</v>
      </c>
      <c r="L508" s="12">
        <v>25.706391643542826</v>
      </c>
      <c r="M508" s="12">
        <v>69.031053626796464</v>
      </c>
    </row>
    <row r="509" spans="2:13" x14ac:dyDescent="0.3">
      <c r="B509" s="3" t="s">
        <v>452</v>
      </c>
      <c r="C509" s="9">
        <v>1</v>
      </c>
      <c r="D509" s="12">
        <v>9.1221484559999997</v>
      </c>
      <c r="E509" s="12">
        <v>28.7421694902708</v>
      </c>
      <c r="F509" s="12">
        <v>-19.620021034270799</v>
      </c>
      <c r="G509" s="12">
        <v>-1.817635437871685</v>
      </c>
      <c r="H509" s="12">
        <v>1.4947567759690621</v>
      </c>
      <c r="I509" s="12">
        <v>25.803495805993755</v>
      </c>
      <c r="J509" s="12">
        <v>31.680843174547846</v>
      </c>
      <c r="K509" s="12">
        <v>10.897258655197987</v>
      </c>
      <c r="L509" s="12">
        <v>7.31829120075475</v>
      </c>
      <c r="M509" s="12">
        <v>50.166047779786851</v>
      </c>
    </row>
    <row r="510" spans="2:13" x14ac:dyDescent="0.3">
      <c r="B510" s="3" t="s">
        <v>453</v>
      </c>
      <c r="C510" s="9">
        <v>1</v>
      </c>
      <c r="D510" s="12">
        <v>0.56373785899999995</v>
      </c>
      <c r="E510" s="12">
        <v>0.9701393201889541</v>
      </c>
      <c r="F510" s="12">
        <v>-0.40640146118895415</v>
      </c>
      <c r="G510" s="12">
        <v>-3.7649791331496985E-2</v>
      </c>
      <c r="H510" s="12">
        <v>1.3870205887581202</v>
      </c>
      <c r="I510" s="12">
        <v>-1.7567263272950258</v>
      </c>
      <c r="J510" s="12">
        <v>3.697004967672934</v>
      </c>
      <c r="K510" s="12">
        <v>10.883003927805087</v>
      </c>
      <c r="L510" s="12">
        <v>-20.425714348238557</v>
      </c>
      <c r="M510" s="12">
        <v>22.365992988616462</v>
      </c>
    </row>
    <row r="511" spans="2:13" x14ac:dyDescent="0.3">
      <c r="B511" s="3" t="s">
        <v>454</v>
      </c>
      <c r="C511" s="9">
        <v>1</v>
      </c>
      <c r="D511" s="12">
        <v>2.206100927</v>
      </c>
      <c r="E511" s="12">
        <v>10.671193940255904</v>
      </c>
      <c r="F511" s="12">
        <v>-8.4650930132559044</v>
      </c>
      <c r="G511" s="12">
        <v>-0.78422204639322357</v>
      </c>
      <c r="H511" s="12">
        <v>1.3778384693697558</v>
      </c>
      <c r="I511" s="12">
        <v>7.9623802280742293</v>
      </c>
      <c r="J511" s="12">
        <v>13.380007652437579</v>
      </c>
      <c r="K511" s="12">
        <v>10.881837493119313</v>
      </c>
      <c r="L511" s="12">
        <v>-10.722366531732817</v>
      </c>
      <c r="M511" s="12">
        <v>32.064754412244625</v>
      </c>
    </row>
    <row r="512" spans="2:13" x14ac:dyDescent="0.3">
      <c r="B512" s="3" t="s">
        <v>455</v>
      </c>
      <c r="C512" s="9">
        <v>1</v>
      </c>
      <c r="D512" s="12">
        <v>0.804081512</v>
      </c>
      <c r="E512" s="12">
        <v>5.8991719722368918</v>
      </c>
      <c r="F512" s="12">
        <v>-5.095090460236892</v>
      </c>
      <c r="G512" s="12">
        <v>-0.4720187080081143</v>
      </c>
      <c r="H512" s="12">
        <v>1.3902944294977133</v>
      </c>
      <c r="I512" s="12">
        <v>3.1658699935834353</v>
      </c>
      <c r="J512" s="12">
        <v>8.6324739508903487</v>
      </c>
      <c r="K512" s="12">
        <v>10.883421657717504</v>
      </c>
      <c r="L512" s="12">
        <v>-15.497502948129725</v>
      </c>
      <c r="M512" s="12">
        <v>27.29584689260351</v>
      </c>
    </row>
    <row r="513" spans="2:13" x14ac:dyDescent="0.3">
      <c r="B513" s="3" t="s">
        <v>456</v>
      </c>
      <c r="C513" s="9">
        <v>1</v>
      </c>
      <c r="D513" s="12">
        <v>9.8455736080000005</v>
      </c>
      <c r="E513" s="12">
        <v>18.965922383411566</v>
      </c>
      <c r="F513" s="12">
        <v>-9.120348775411566</v>
      </c>
      <c r="G513" s="12">
        <v>-0.84492616552150446</v>
      </c>
      <c r="H513" s="12">
        <v>1.4937605998763632</v>
      </c>
      <c r="I513" s="12">
        <v>16.029207169245232</v>
      </c>
      <c r="J513" s="12">
        <v>21.9026375975779</v>
      </c>
      <c r="K513" s="12">
        <v>10.89712205624609</v>
      </c>
      <c r="L513" s="12">
        <v>-2.4576873542225357</v>
      </c>
      <c r="M513" s="12">
        <v>40.389532121045669</v>
      </c>
    </row>
    <row r="514" spans="2:13" x14ac:dyDescent="0.3">
      <c r="B514" s="3" t="s">
        <v>457</v>
      </c>
      <c r="C514" s="9">
        <v>1</v>
      </c>
      <c r="D514" s="12">
        <v>4.0142309919999999</v>
      </c>
      <c r="E514" s="12">
        <v>10.28765597998439</v>
      </c>
      <c r="F514" s="12">
        <v>-6.2734249879843897</v>
      </c>
      <c r="G514" s="12">
        <v>-0.58118182213324909</v>
      </c>
      <c r="H514" s="12">
        <v>1.28697627336316</v>
      </c>
      <c r="I514" s="12">
        <v>7.757476242635911</v>
      </c>
      <c r="J514" s="12">
        <v>12.817835717332869</v>
      </c>
      <c r="K514" s="12">
        <v>10.870706338926729</v>
      </c>
      <c r="L514" s="12">
        <v>-11.084020777926387</v>
      </c>
      <c r="M514" s="12">
        <v>31.659332737895166</v>
      </c>
    </row>
    <row r="515" spans="2:13" x14ac:dyDescent="0.3">
      <c r="B515" s="3" t="s">
        <v>458</v>
      </c>
      <c r="C515" s="9">
        <v>1</v>
      </c>
      <c r="D515" s="12">
        <v>2.003110081</v>
      </c>
      <c r="E515" s="12">
        <v>6.0371094652003912</v>
      </c>
      <c r="F515" s="12">
        <v>-4.0339993842003912</v>
      </c>
      <c r="G515" s="12">
        <v>-0.3737172464936504</v>
      </c>
      <c r="H515" s="12">
        <v>1.5595834682184317</v>
      </c>
      <c r="I515" s="12">
        <v>2.9709872905638055</v>
      </c>
      <c r="J515" s="12">
        <v>9.1032316398369773</v>
      </c>
      <c r="K515" s="12">
        <v>10.906339852275018</v>
      </c>
      <c r="L515" s="12">
        <v>-15.404622347578467</v>
      </c>
      <c r="M515" s="12">
        <v>27.478841277979249</v>
      </c>
    </row>
    <row r="516" spans="2:13" x14ac:dyDescent="0.3">
      <c r="B516" s="3" t="s">
        <v>459</v>
      </c>
      <c r="C516" s="9">
        <v>1</v>
      </c>
      <c r="D516" s="12">
        <v>1.5333559450000001</v>
      </c>
      <c r="E516" s="12">
        <v>8.1381141793691558</v>
      </c>
      <c r="F516" s="12">
        <v>-6.6047582343691555</v>
      </c>
      <c r="G516" s="12">
        <v>-0.61187715366842255</v>
      </c>
      <c r="H516" s="12">
        <v>1.0946619626607261</v>
      </c>
      <c r="I516" s="12">
        <v>5.986022043332758</v>
      </c>
      <c r="J516" s="12">
        <v>10.290206315405554</v>
      </c>
      <c r="K516" s="12">
        <v>10.849619034393708</v>
      </c>
      <c r="L516" s="12">
        <v>-13.192105193701634</v>
      </c>
      <c r="M516" s="12">
        <v>29.468333552439944</v>
      </c>
    </row>
    <row r="517" spans="2:13" x14ac:dyDescent="0.3">
      <c r="B517" s="3" t="s">
        <v>460</v>
      </c>
      <c r="C517" s="9">
        <v>1</v>
      </c>
      <c r="D517" s="12">
        <v>21.707930269999999</v>
      </c>
      <c r="E517" s="12">
        <v>37.623304451164763</v>
      </c>
      <c r="F517" s="12">
        <v>-15.915374181164765</v>
      </c>
      <c r="G517" s="12">
        <v>-1.4744300257447855</v>
      </c>
      <c r="H517" s="12">
        <v>1.9009634580222203</v>
      </c>
      <c r="I517" s="12">
        <v>33.886033358855755</v>
      </c>
      <c r="J517" s="12">
        <v>41.360575543473772</v>
      </c>
      <c r="K517" s="12">
        <v>10.960365434040867</v>
      </c>
      <c r="L517" s="12">
        <v>16.07535900017702</v>
      </c>
      <c r="M517" s="12">
        <v>59.17124990215251</v>
      </c>
    </row>
    <row r="518" spans="2:13" x14ac:dyDescent="0.3">
      <c r="B518" s="3" t="s">
        <v>461</v>
      </c>
      <c r="C518" s="9">
        <v>1</v>
      </c>
      <c r="D518" s="12">
        <v>-2.5217822879999998</v>
      </c>
      <c r="E518" s="12">
        <v>3.5038892511514588</v>
      </c>
      <c r="F518" s="12">
        <v>-6.0256715391514586</v>
      </c>
      <c r="G518" s="12">
        <v>-0.55822947933672151</v>
      </c>
      <c r="H518" s="12">
        <v>1.2573736173722325</v>
      </c>
      <c r="I518" s="12">
        <v>1.0319079762845078</v>
      </c>
      <c r="J518" s="12">
        <v>5.9758705260184097</v>
      </c>
      <c r="K518" s="12">
        <v>10.867241452762784</v>
      </c>
      <c r="L518" s="12">
        <v>-17.860975582603697</v>
      </c>
      <c r="M518" s="12">
        <v>24.868754084906616</v>
      </c>
    </row>
    <row r="519" spans="2:13" x14ac:dyDescent="0.3">
      <c r="B519" s="3" t="s">
        <v>462</v>
      </c>
      <c r="C519" s="9">
        <v>1</v>
      </c>
      <c r="D519" s="12">
        <v>1.0587151379999999</v>
      </c>
      <c r="E519" s="12">
        <v>-0.52060786543635107</v>
      </c>
      <c r="F519" s="12">
        <v>1.579323003436351</v>
      </c>
      <c r="G519" s="12">
        <v>0.14631143635766988</v>
      </c>
      <c r="H519" s="12">
        <v>1.2443030217319577</v>
      </c>
      <c r="I519" s="12">
        <v>-2.9668925078722497</v>
      </c>
      <c r="J519" s="12">
        <v>1.9256767769995475</v>
      </c>
      <c r="K519" s="12">
        <v>10.865736900407322</v>
      </c>
      <c r="L519" s="12">
        <v>-21.882514767516806</v>
      </c>
      <c r="M519" s="12">
        <v>20.841299036644106</v>
      </c>
    </row>
    <row r="520" spans="2:13" x14ac:dyDescent="0.3">
      <c r="B520" s="3" t="s">
        <v>463</v>
      </c>
      <c r="C520" s="9">
        <v>1</v>
      </c>
      <c r="D520" s="12">
        <v>5.4345776299999997</v>
      </c>
      <c r="E520" s="12">
        <v>15.708457292789038</v>
      </c>
      <c r="F520" s="12">
        <v>-10.273879662789039</v>
      </c>
      <c r="G520" s="12">
        <v>-0.95179142402018335</v>
      </c>
      <c r="H520" s="12">
        <v>1.3100195281174238</v>
      </c>
      <c r="I520" s="12">
        <v>13.13297479619898</v>
      </c>
      <c r="J520" s="12">
        <v>18.283939789379097</v>
      </c>
      <c r="K520" s="12">
        <v>10.873458490426632</v>
      </c>
      <c r="L520" s="12">
        <v>-5.6686301615761252</v>
      </c>
      <c r="M520" s="12">
        <v>37.085544747154202</v>
      </c>
    </row>
    <row r="521" spans="2:13" x14ac:dyDescent="0.3">
      <c r="B521" s="3" t="s">
        <v>464</v>
      </c>
      <c r="C521" s="9">
        <v>1</v>
      </c>
      <c r="D521" s="12">
        <v>1.699167637</v>
      </c>
      <c r="E521" s="12">
        <v>-13.064953285544155</v>
      </c>
      <c r="F521" s="12">
        <v>14.764120922544155</v>
      </c>
      <c r="G521" s="12">
        <v>1.367775771033287</v>
      </c>
      <c r="H521" s="12">
        <v>2.7654927563326082</v>
      </c>
      <c r="I521" s="12">
        <v>-18.501878488191061</v>
      </c>
      <c r="J521" s="12">
        <v>-7.6280280828972487</v>
      </c>
      <c r="K521" s="12">
        <v>11.142885558252411</v>
      </c>
      <c r="L521" s="12">
        <v>-34.97173108604489</v>
      </c>
      <c r="M521" s="12">
        <v>8.8418245149565831</v>
      </c>
    </row>
    <row r="522" spans="2:13" x14ac:dyDescent="0.3">
      <c r="B522" s="3" t="s">
        <v>465</v>
      </c>
      <c r="C522" s="9">
        <v>1</v>
      </c>
      <c r="D522" s="12">
        <v>-2.4340957919999999</v>
      </c>
      <c r="E522" s="12">
        <v>-2.5988053590715579</v>
      </c>
      <c r="F522" s="12">
        <v>0.16470956707155793</v>
      </c>
      <c r="G522" s="12">
        <v>1.5259002298867503E-2</v>
      </c>
      <c r="H522" s="12">
        <v>2.0585197933281161</v>
      </c>
      <c r="I522" s="12">
        <v>-6.6458302948139893</v>
      </c>
      <c r="J522" s="12">
        <v>1.4482195766708736</v>
      </c>
      <c r="K522" s="12">
        <v>10.988787563626191</v>
      </c>
      <c r="L522" s="12">
        <v>-24.202628371951842</v>
      </c>
      <c r="M522" s="12">
        <v>19.005017653808725</v>
      </c>
    </row>
    <row r="523" spans="2:13" x14ac:dyDescent="0.3">
      <c r="B523" s="3" t="s">
        <v>466</v>
      </c>
      <c r="C523" s="9">
        <v>1</v>
      </c>
      <c r="D523" s="12">
        <v>-2.4903180530000002</v>
      </c>
      <c r="E523" s="12">
        <v>0.22364740846335529</v>
      </c>
      <c r="F523" s="12">
        <v>-2.7139654614633555</v>
      </c>
      <c r="G523" s="12">
        <v>-0.25142683544013422</v>
      </c>
      <c r="H523" s="12">
        <v>1.7370085131544035</v>
      </c>
      <c r="I523" s="12">
        <v>-3.1912902516537951</v>
      </c>
      <c r="J523" s="12">
        <v>3.6385850685805057</v>
      </c>
      <c r="K523" s="12">
        <v>10.933121555793337</v>
      </c>
      <c r="L523" s="12">
        <v>-21.270736908465132</v>
      </c>
      <c r="M523" s="12">
        <v>21.718031725391839</v>
      </c>
    </row>
    <row r="524" spans="2:13" x14ac:dyDescent="0.3">
      <c r="B524" s="3" t="s">
        <v>467</v>
      </c>
      <c r="C524" s="9">
        <v>1</v>
      </c>
      <c r="D524" s="12">
        <v>9.2362070680000006</v>
      </c>
      <c r="E524" s="12">
        <v>14.174752119575249</v>
      </c>
      <c r="F524" s="12">
        <v>-4.9385450515752485</v>
      </c>
      <c r="G524" s="12">
        <v>-0.45751604861124151</v>
      </c>
      <c r="H524" s="12">
        <v>1.272373836774457</v>
      </c>
      <c r="I524" s="12">
        <v>11.673280595375179</v>
      </c>
      <c r="J524" s="12">
        <v>16.67622364377532</v>
      </c>
      <c r="K524" s="12">
        <v>10.868987237065383</v>
      </c>
      <c r="L524" s="12">
        <v>-7.1935449049355888</v>
      </c>
      <c r="M524" s="12">
        <v>35.543049144086083</v>
      </c>
    </row>
    <row r="525" spans="2:13" x14ac:dyDescent="0.3">
      <c r="B525" s="3" t="s">
        <v>468</v>
      </c>
      <c r="C525" s="9">
        <v>1</v>
      </c>
      <c r="D525" s="12">
        <v>10.289564779999999</v>
      </c>
      <c r="E525" s="12">
        <v>18.606766312729796</v>
      </c>
      <c r="F525" s="12">
        <v>-8.317201532729797</v>
      </c>
      <c r="G525" s="12">
        <v>-0.77052110308159205</v>
      </c>
      <c r="H525" s="12">
        <v>1.6649004865749868</v>
      </c>
      <c r="I525" s="12">
        <v>15.333592157913838</v>
      </c>
      <c r="J525" s="12">
        <v>21.879940467545755</v>
      </c>
      <c r="K525" s="12">
        <v>10.921897363058291</v>
      </c>
      <c r="L525" s="12">
        <v>-2.8655513774751888</v>
      </c>
      <c r="M525" s="12">
        <v>40.079084002934778</v>
      </c>
    </row>
    <row r="526" spans="2:13" x14ac:dyDescent="0.3">
      <c r="B526" s="3" t="s">
        <v>469</v>
      </c>
      <c r="C526" s="9">
        <v>1</v>
      </c>
      <c r="D526" s="12">
        <v>-0.88186719999999996</v>
      </c>
      <c r="E526" s="12">
        <v>0.70703155808141993</v>
      </c>
      <c r="F526" s="12">
        <v>-1.5888987580814198</v>
      </c>
      <c r="G526" s="12">
        <v>-0.14719855217456118</v>
      </c>
      <c r="H526" s="12">
        <v>1.069179406636569</v>
      </c>
      <c r="I526" s="12">
        <v>-1.3949621820151048</v>
      </c>
      <c r="J526" s="12">
        <v>2.8090252981779447</v>
      </c>
      <c r="K526" s="12">
        <v>10.847077624068049</v>
      </c>
      <c r="L526" s="12">
        <v>-20.618191433126427</v>
      </c>
      <c r="M526" s="12">
        <v>22.03225454928927</v>
      </c>
    </row>
    <row r="527" spans="2:13" x14ac:dyDescent="0.3">
      <c r="B527" s="3" t="s">
        <v>470</v>
      </c>
      <c r="C527" s="9">
        <v>1</v>
      </c>
      <c r="D527" s="12">
        <v>-3.3967507440000002</v>
      </c>
      <c r="E527" s="12">
        <v>0.77973077152091319</v>
      </c>
      <c r="F527" s="12">
        <v>-4.1764815155209138</v>
      </c>
      <c r="G527" s="12">
        <v>-0.38691705757944389</v>
      </c>
      <c r="H527" s="12">
        <v>2.0555821960716778</v>
      </c>
      <c r="I527" s="12">
        <v>-3.2615188836599684</v>
      </c>
      <c r="J527" s="12">
        <v>4.8209804267017944</v>
      </c>
      <c r="K527" s="12">
        <v>10.988237645036119</v>
      </c>
      <c r="L527" s="12">
        <v>-20.823011108083964</v>
      </c>
      <c r="M527" s="12">
        <v>22.382472651125791</v>
      </c>
    </row>
    <row r="528" spans="2:13" x14ac:dyDescent="0.3">
      <c r="B528" s="3" t="s">
        <v>471</v>
      </c>
      <c r="C528" s="9">
        <v>1</v>
      </c>
      <c r="D528" s="12">
        <v>8.5952633420000009</v>
      </c>
      <c r="E528" s="12">
        <v>17.732226434194136</v>
      </c>
      <c r="F528" s="12">
        <v>-9.1369630921941347</v>
      </c>
      <c r="G528" s="12">
        <v>-0.84646534689685948</v>
      </c>
      <c r="H528" s="12">
        <v>1.1824391918585064</v>
      </c>
      <c r="I528" s="12">
        <v>15.407565330637894</v>
      </c>
      <c r="J528" s="12">
        <v>20.056887537750377</v>
      </c>
      <c r="K528" s="12">
        <v>10.858826401661693</v>
      </c>
      <c r="L528" s="12">
        <v>-3.61609451120394</v>
      </c>
      <c r="M528" s="12">
        <v>39.080547379592211</v>
      </c>
    </row>
    <row r="529" spans="2:13" ht="15" thickBot="1" x14ac:dyDescent="0.35">
      <c r="B529" s="7" t="s">
        <v>472</v>
      </c>
      <c r="C529" s="10">
        <v>1</v>
      </c>
      <c r="D529" s="13">
        <v>-0.30513842099999999</v>
      </c>
      <c r="E529" s="13">
        <v>0.68410609958049662</v>
      </c>
      <c r="F529" s="13">
        <v>-0.98924452058049661</v>
      </c>
      <c r="G529" s="13">
        <v>-9.1645462264629218E-2</v>
      </c>
      <c r="H529" s="13">
        <v>1.4446929064755256</v>
      </c>
      <c r="I529" s="13">
        <v>-2.1561426247438802</v>
      </c>
      <c r="J529" s="13">
        <v>3.5243548239048734</v>
      </c>
      <c r="K529" s="13">
        <v>10.890504394792867</v>
      </c>
      <c r="L529" s="13">
        <v>-20.726493395934828</v>
      </c>
      <c r="M529" s="13">
        <v>22.094705595095821</v>
      </c>
    </row>
    <row r="549" spans="7:7" x14ac:dyDescent="0.3">
      <c r="G549" t="s">
        <v>66</v>
      </c>
    </row>
    <row r="569" spans="7:7" x14ac:dyDescent="0.3">
      <c r="G569" t="s">
        <v>66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D478732">
              <controlPr defaultSize="0" autoFill="0" autoPict="0" macro="[0]!GoToResultsNew140620251414134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17B8-E170-46F6-8F12-3AB5D11829A3}">
  <sheetPr codeName="XLSTAT_20250614_141341_1_HID"/>
  <dimension ref="A1:H70"/>
  <sheetViews>
    <sheetView workbookViewId="0">
      <selection activeCell="E1" sqref="E1"/>
    </sheetView>
  </sheetViews>
  <sheetFormatPr defaultRowHeight="14.4" x14ac:dyDescent="0.3"/>
  <sheetData>
    <row r="1" spans="1:8" x14ac:dyDescent="0.3">
      <c r="A1">
        <v>1</v>
      </c>
      <c r="C1">
        <f t="shared" ref="C1:C32" si="0">-18.6173606340152+(A1-1)*1.09362069269882</f>
        <v>-18.617360634015199</v>
      </c>
      <c r="D1">
        <f t="shared" ref="D1:D32" si="1">0+1*C1-21.2213750247559*(1.00248138957816+(C1-7.95640169070967)^2/69098.1854043233)^0.5</f>
        <v>-39.973078047951006</v>
      </c>
      <c r="E1">
        <v>1</v>
      </c>
      <c r="G1">
        <f t="shared" ref="G1:G32" si="2">-19.2953212253174+(E1-1)*1.1034462085148</f>
        <v>-19.295321225317402</v>
      </c>
      <c r="H1">
        <f t="shared" ref="H1:H32" si="3">0+1*G1+21.2213750247559*(1.00248138957816+(G1-7.95640169070967)^2/69098.1854043233)^0.5</f>
        <v>2.065963839968969</v>
      </c>
    </row>
    <row r="2" spans="1:8" x14ac:dyDescent="0.3">
      <c r="A2">
        <v>2</v>
      </c>
      <c r="C2">
        <f t="shared" si="0"/>
        <v>-17.523739941316379</v>
      </c>
      <c r="D2">
        <f t="shared" si="1"/>
        <v>-38.870768859022249</v>
      </c>
      <c r="E2">
        <v>2</v>
      </c>
      <c r="G2">
        <f t="shared" si="2"/>
        <v>-18.191875016802602</v>
      </c>
      <c r="H2">
        <f t="shared" si="3"/>
        <v>3.1604190721501944</v>
      </c>
    </row>
    <row r="3" spans="1:8" x14ac:dyDescent="0.3">
      <c r="A3">
        <v>3</v>
      </c>
      <c r="C3">
        <f t="shared" si="0"/>
        <v>-16.430119248617558</v>
      </c>
      <c r="D3">
        <f t="shared" si="1"/>
        <v>-37.768821432229757</v>
      </c>
      <c r="E3">
        <v>3</v>
      </c>
      <c r="G3">
        <f t="shared" si="2"/>
        <v>-17.088428808287802</v>
      </c>
      <c r="H3">
        <f t="shared" si="3"/>
        <v>4.2552423236920234</v>
      </c>
    </row>
    <row r="4" spans="1:8" x14ac:dyDescent="0.3">
      <c r="A4">
        <v>4</v>
      </c>
      <c r="C4">
        <f t="shared" si="0"/>
        <v>-15.336498555918739</v>
      </c>
      <c r="D4">
        <f t="shared" si="1"/>
        <v>-36.667236191229364</v>
      </c>
      <c r="E4">
        <v>4</v>
      </c>
      <c r="G4">
        <f t="shared" si="2"/>
        <v>-15.984982599773002</v>
      </c>
      <c r="H4">
        <f t="shared" si="3"/>
        <v>5.3504340408123845</v>
      </c>
    </row>
    <row r="5" spans="1:8" x14ac:dyDescent="0.3">
      <c r="A5">
        <v>5</v>
      </c>
      <c r="C5">
        <f t="shared" si="0"/>
        <v>-14.24287786321992</v>
      </c>
      <c r="D5">
        <f t="shared" si="1"/>
        <v>-35.566013541868443</v>
      </c>
      <c r="E5">
        <v>5</v>
      </c>
      <c r="G5">
        <f t="shared" si="2"/>
        <v>-14.881536391258201</v>
      </c>
      <c r="H5">
        <f t="shared" si="3"/>
        <v>6.4459946513380046</v>
      </c>
    </row>
    <row r="6" spans="1:8" x14ac:dyDescent="0.3">
      <c r="A6">
        <v>6</v>
      </c>
      <c r="C6">
        <f t="shared" si="0"/>
        <v>-13.1492571705211</v>
      </c>
      <c r="D6">
        <f t="shared" si="1"/>
        <v>-34.465153872083661</v>
      </c>
      <c r="E6">
        <v>6</v>
      </c>
      <c r="G6">
        <f t="shared" si="2"/>
        <v>-13.778090182743401</v>
      </c>
      <c r="H6">
        <f t="shared" si="3"/>
        <v>7.5419245645948507</v>
      </c>
    </row>
    <row r="7" spans="1:8" x14ac:dyDescent="0.3">
      <c r="A7">
        <v>7</v>
      </c>
      <c r="C7">
        <f t="shared" si="0"/>
        <v>-12.055636477822279</v>
      </c>
      <c r="D7">
        <f t="shared" si="1"/>
        <v>-33.364657551802971</v>
      </c>
      <c r="E7">
        <v>7</v>
      </c>
      <c r="G7">
        <f t="shared" si="2"/>
        <v>-12.674643974228601</v>
      </c>
      <c r="H7">
        <f t="shared" si="3"/>
        <v>8.6382241713029764</v>
      </c>
    </row>
    <row r="8" spans="1:8" x14ac:dyDescent="0.3">
      <c r="A8">
        <v>8</v>
      </c>
      <c r="C8">
        <f t="shared" si="0"/>
        <v>-10.962015785123459</v>
      </c>
      <c r="D8">
        <f t="shared" si="1"/>
        <v>-32.264524932851955</v>
      </c>
      <c r="E8">
        <v>8</v>
      </c>
      <c r="G8">
        <f t="shared" si="2"/>
        <v>-11.571197765713801</v>
      </c>
      <c r="H8">
        <f t="shared" si="3"/>
        <v>9.7348938434759802</v>
      </c>
    </row>
    <row r="9" spans="1:8" x14ac:dyDescent="0.3">
      <c r="A9">
        <v>9</v>
      </c>
      <c r="C9">
        <f t="shared" si="0"/>
        <v>-9.86839509242464</v>
      </c>
      <c r="D9">
        <f t="shared" si="1"/>
        <v>-31.16475634886455</v>
      </c>
      <c r="E9">
        <v>9</v>
      </c>
      <c r="G9">
        <f t="shared" si="2"/>
        <v>-10.467751557199001</v>
      </c>
      <c r="H9">
        <f t="shared" si="3"/>
        <v>10.831933934325004</v>
      </c>
    </row>
    <row r="10" spans="1:8" x14ac:dyDescent="0.3">
      <c r="A10">
        <v>10</v>
      </c>
      <c r="C10">
        <f t="shared" si="0"/>
        <v>-8.7747743997258194</v>
      </c>
      <c r="D10">
        <f t="shared" si="1"/>
        <v>-30.065352115198195</v>
      </c>
      <c r="E10">
        <v>10</v>
      </c>
      <c r="G10">
        <f t="shared" si="2"/>
        <v>-9.3643053486842014</v>
      </c>
      <c r="H10">
        <f t="shared" si="3"/>
        <v>11.929344778167408</v>
      </c>
    </row>
    <row r="11" spans="1:8" x14ac:dyDescent="0.3">
      <c r="A11">
        <v>11</v>
      </c>
      <c r="C11">
        <f t="shared" si="0"/>
        <v>-7.6811537070270006</v>
      </c>
      <c r="D11">
        <f t="shared" si="1"/>
        <v>-28.966312528853503</v>
      </c>
      <c r="E11">
        <v>11</v>
      </c>
      <c r="G11">
        <f t="shared" si="2"/>
        <v>-8.2608591401694014</v>
      </c>
      <c r="H11">
        <f t="shared" si="3"/>
        <v>13.027126690340147</v>
      </c>
    </row>
    <row r="12" spans="1:8" x14ac:dyDescent="0.3">
      <c r="A12">
        <v>12</v>
      </c>
      <c r="C12">
        <f t="shared" si="0"/>
        <v>-6.5875330143281801</v>
      </c>
      <c r="D12">
        <f t="shared" si="1"/>
        <v>-27.867637868398425</v>
      </c>
      <c r="E12">
        <v>12</v>
      </c>
      <c r="G12">
        <f t="shared" si="2"/>
        <v>-7.1574129316546014</v>
      </c>
      <c r="H12">
        <f t="shared" si="3"/>
        <v>14.125279967117905</v>
      </c>
    </row>
    <row r="13" spans="1:8" x14ac:dyDescent="0.3">
      <c r="A13">
        <v>13</v>
      </c>
      <c r="C13">
        <f t="shared" si="0"/>
        <v>-5.4939123216293595</v>
      </c>
      <c r="D13">
        <f t="shared" si="1"/>
        <v>-26.769328393897016</v>
      </c>
      <c r="E13">
        <v>13</v>
      </c>
      <c r="G13">
        <f t="shared" si="2"/>
        <v>-6.0539667231398013</v>
      </c>
      <c r="H13">
        <f t="shared" si="3"/>
        <v>15.223804885636017</v>
      </c>
    </row>
    <row r="14" spans="1:8" x14ac:dyDescent="0.3">
      <c r="A14">
        <v>14</v>
      </c>
      <c r="C14">
        <f t="shared" si="0"/>
        <v>-4.4002916289305407</v>
      </c>
      <c r="D14">
        <f t="shared" si="1"/>
        <v>-25.671384346842828</v>
      </c>
      <c r="E14">
        <v>14</v>
      </c>
      <c r="G14">
        <f t="shared" si="2"/>
        <v>-4.9505205146250013</v>
      </c>
      <c r="H14">
        <f t="shared" si="3"/>
        <v>16.322701703818293</v>
      </c>
    </row>
    <row r="15" spans="1:8" x14ac:dyDescent="0.3">
      <c r="A15">
        <v>15</v>
      </c>
      <c r="C15">
        <f t="shared" si="0"/>
        <v>-3.3066709362317201</v>
      </c>
      <c r="D15">
        <f t="shared" si="1"/>
        <v>-24.573805950096961</v>
      </c>
      <c r="E15">
        <v>15</v>
      </c>
      <c r="G15">
        <f t="shared" si="2"/>
        <v>-3.8470743061102013</v>
      </c>
      <c r="H15">
        <f t="shared" si="3"/>
        <v>17.421970660309682</v>
      </c>
    </row>
    <row r="16" spans="1:8" x14ac:dyDescent="0.3">
      <c r="A16">
        <v>16</v>
      </c>
      <c r="C16">
        <f t="shared" si="0"/>
        <v>-2.2130502435329014</v>
      </c>
      <c r="D16">
        <f t="shared" si="1"/>
        <v>-23.476593407830816</v>
      </c>
      <c r="E16">
        <v>16</v>
      </c>
      <c r="G16">
        <f t="shared" si="2"/>
        <v>-2.7436280975954013</v>
      </c>
      <c r="H16">
        <f t="shared" si="3"/>
        <v>18.521611974413918</v>
      </c>
    </row>
    <row r="17" spans="1:8" x14ac:dyDescent="0.3">
      <c r="A17">
        <v>17</v>
      </c>
      <c r="C17">
        <f t="shared" si="0"/>
        <v>-1.1194295508340808</v>
      </c>
      <c r="D17">
        <f t="shared" si="1"/>
        <v>-22.379746905473535</v>
      </c>
      <c r="E17">
        <v>17</v>
      </c>
      <c r="G17">
        <f t="shared" si="2"/>
        <v>-1.6401818890806013</v>
      </c>
      <c r="H17">
        <f t="shared" si="3"/>
        <v>19.621625846036121</v>
      </c>
    </row>
    <row r="18" spans="1:8" x14ac:dyDescent="0.3">
      <c r="A18">
        <v>18</v>
      </c>
      <c r="C18">
        <f t="shared" si="0"/>
        <v>-2.5808858135260238E-2</v>
      </c>
      <c r="D18">
        <f t="shared" si="1"/>
        <v>-21.283266609664299</v>
      </c>
      <c r="E18">
        <v>18</v>
      </c>
      <c r="G18">
        <f t="shared" si="2"/>
        <v>-0.53673568056580123</v>
      </c>
      <c r="H18">
        <f t="shared" si="3"/>
        <v>20.722012455630416</v>
      </c>
    </row>
    <row r="19" spans="1:8" x14ac:dyDescent="0.3">
      <c r="A19">
        <v>19</v>
      </c>
      <c r="C19">
        <f t="shared" si="0"/>
        <v>1.0678118345635603</v>
      </c>
      <c r="D19">
        <f t="shared" si="1"/>
        <v>-20.18715266820934</v>
      </c>
      <c r="E19">
        <v>19</v>
      </c>
      <c r="G19">
        <f t="shared" si="2"/>
        <v>0.56671052794899879</v>
      </c>
      <c r="H19">
        <f t="shared" si="3"/>
        <v>21.822771964152594</v>
      </c>
    </row>
    <row r="20" spans="1:8" x14ac:dyDescent="0.3">
      <c r="A20">
        <v>20</v>
      </c>
      <c r="C20">
        <f t="shared" si="0"/>
        <v>2.1614325272623773</v>
      </c>
      <c r="D20">
        <f t="shared" si="1"/>
        <v>-19.091405210043803</v>
      </c>
      <c r="E20">
        <v>20</v>
      </c>
      <c r="G20">
        <f t="shared" si="2"/>
        <v>1.6701567364637988</v>
      </c>
      <c r="H20">
        <f t="shared" si="3"/>
        <v>22.923904513017824</v>
      </c>
    </row>
    <row r="21" spans="1:8" x14ac:dyDescent="0.3">
      <c r="A21">
        <v>21</v>
      </c>
      <c r="C21">
        <f t="shared" si="0"/>
        <v>3.2550532199611979</v>
      </c>
      <c r="D21">
        <f t="shared" si="1"/>
        <v>-17.996024345198428</v>
      </c>
      <c r="E21">
        <v>21</v>
      </c>
      <c r="G21">
        <f t="shared" si="2"/>
        <v>2.7736029449785988</v>
      </c>
      <c r="H21">
        <f t="shared" si="3"/>
        <v>24.025410224063531</v>
      </c>
    </row>
    <row r="22" spans="1:8" x14ac:dyDescent="0.3">
      <c r="A22">
        <v>22</v>
      </c>
      <c r="C22">
        <f t="shared" si="0"/>
        <v>4.3486739126600185</v>
      </c>
      <c r="D22">
        <f t="shared" si="1"/>
        <v>-16.901010164771144</v>
      </c>
      <c r="E22">
        <v>22</v>
      </c>
      <c r="G22">
        <f t="shared" si="2"/>
        <v>3.8770491534933988</v>
      </c>
      <c r="H22">
        <f t="shared" si="3"/>
        <v>25.1272891995173</v>
      </c>
    </row>
    <row r="23" spans="1:8" x14ac:dyDescent="0.3">
      <c r="A23">
        <v>23</v>
      </c>
      <c r="C23">
        <f t="shared" si="0"/>
        <v>5.442294605358839</v>
      </c>
      <c r="D23">
        <f t="shared" si="1"/>
        <v>-15.806362740903484</v>
      </c>
      <c r="E23">
        <v>23</v>
      </c>
      <c r="G23">
        <f t="shared" si="2"/>
        <v>4.9804953620081989</v>
      </c>
      <c r="H23">
        <f t="shared" si="3"/>
        <v>26.229541521969988</v>
      </c>
    </row>
    <row r="24" spans="1:8" x14ac:dyDescent="0.3">
      <c r="A24">
        <v>24</v>
      </c>
      <c r="C24">
        <f t="shared" si="0"/>
        <v>6.5359152980576596</v>
      </c>
      <c r="D24">
        <f t="shared" si="1"/>
        <v>-14.712082126761921</v>
      </c>
      <c r="E24">
        <v>24</v>
      </c>
      <c r="G24">
        <f t="shared" si="2"/>
        <v>6.0839415705229989</v>
      </c>
      <c r="H24">
        <f t="shared" si="3"/>
        <v>27.332167254353976</v>
      </c>
    </row>
    <row r="25" spans="1:8" x14ac:dyDescent="0.3">
      <c r="A25">
        <v>25</v>
      </c>
      <c r="C25">
        <f t="shared" si="0"/>
        <v>7.6295359907564801</v>
      </c>
      <c r="D25">
        <f t="shared" si="1"/>
        <v>-13.618168356524119</v>
      </c>
      <c r="E25">
        <v>25</v>
      </c>
      <c r="G25">
        <f t="shared" si="2"/>
        <v>7.1873877790377989</v>
      </c>
      <c r="H25">
        <f t="shared" si="3"/>
        <v>28.435166439926569</v>
      </c>
    </row>
    <row r="26" spans="1:8" x14ac:dyDescent="0.3">
      <c r="A26">
        <v>26</v>
      </c>
      <c r="C26">
        <f t="shared" si="0"/>
        <v>8.7231566834552972</v>
      </c>
      <c r="D26">
        <f t="shared" si="1"/>
        <v>-12.524621445370069</v>
      </c>
      <c r="E26">
        <v>26</v>
      </c>
      <c r="G26">
        <f t="shared" si="2"/>
        <v>8.2908339875525989</v>
      </c>
      <c r="H26">
        <f t="shared" si="3"/>
        <v>29.538539102258625</v>
      </c>
    </row>
    <row r="27" spans="1:8" x14ac:dyDescent="0.3">
      <c r="A27">
        <v>27</v>
      </c>
      <c r="C27">
        <f t="shared" si="0"/>
        <v>9.8167773761541177</v>
      </c>
      <c r="D27">
        <f t="shared" si="1"/>
        <v>-11.431441389478167</v>
      </c>
      <c r="E27">
        <v>27</v>
      </c>
      <c r="G27">
        <f t="shared" si="2"/>
        <v>9.3942801960673989</v>
      </c>
      <c r="H27">
        <f t="shared" si="3"/>
        <v>30.642285245228305</v>
      </c>
    </row>
    <row r="28" spans="1:8" x14ac:dyDescent="0.3">
      <c r="A28">
        <v>28</v>
      </c>
      <c r="C28">
        <f t="shared" si="0"/>
        <v>10.910398068852938</v>
      </c>
      <c r="D28">
        <f t="shared" si="1"/>
        <v>-10.338628166026201</v>
      </c>
      <c r="E28">
        <v>28</v>
      </c>
      <c r="G28">
        <f t="shared" si="2"/>
        <v>10.497726404582199</v>
      </c>
      <c r="H28">
        <f t="shared" si="3"/>
        <v>31.746404853020081</v>
      </c>
    </row>
    <row r="29" spans="1:8" x14ac:dyDescent="0.3">
      <c r="A29">
        <v>29</v>
      </c>
      <c r="C29">
        <f t="shared" si="0"/>
        <v>12.004018761551759</v>
      </c>
      <c r="D29">
        <f t="shared" si="1"/>
        <v>-9.2461817331972647</v>
      </c>
      <c r="E29">
        <v>29</v>
      </c>
      <c r="G29">
        <f t="shared" si="2"/>
        <v>11.601172613096999</v>
      </c>
      <c r="H29">
        <f t="shared" si="3"/>
        <v>32.850897890128891</v>
      </c>
    </row>
    <row r="30" spans="1:8" x14ac:dyDescent="0.3">
      <c r="A30">
        <v>30</v>
      </c>
      <c r="C30">
        <f t="shared" si="0"/>
        <v>13.097639454250579</v>
      </c>
      <c r="D30">
        <f t="shared" si="1"/>
        <v>-8.1541020301905576</v>
      </c>
      <c r="E30">
        <v>30</v>
      </c>
      <c r="G30">
        <f t="shared" si="2"/>
        <v>12.704618821611799</v>
      </c>
      <c r="H30">
        <f t="shared" si="3"/>
        <v>33.955764301369499</v>
      </c>
    </row>
    <row r="31" spans="1:8" x14ac:dyDescent="0.3">
      <c r="A31">
        <v>31</v>
      </c>
      <c r="C31">
        <f t="shared" si="0"/>
        <v>14.191260146949396</v>
      </c>
      <c r="D31">
        <f t="shared" si="1"/>
        <v>-7.062388977237184</v>
      </c>
      <c r="E31">
        <v>31</v>
      </c>
      <c r="G31">
        <f t="shared" si="2"/>
        <v>13.808065030126599</v>
      </c>
      <c r="H31">
        <f t="shared" si="3"/>
        <v>35.061004011891043</v>
      </c>
    </row>
    <row r="32" spans="1:8" x14ac:dyDescent="0.3">
      <c r="A32">
        <v>32</v>
      </c>
      <c r="C32">
        <f t="shared" si="0"/>
        <v>15.284880839648217</v>
      </c>
      <c r="D32">
        <f t="shared" si="1"/>
        <v>-5.9710424756207132</v>
      </c>
      <c r="E32">
        <v>32</v>
      </c>
      <c r="G32">
        <f t="shared" si="2"/>
        <v>14.911511238641403</v>
      </c>
      <c r="H32">
        <f t="shared" si="3"/>
        <v>36.166616927196742</v>
      </c>
    </row>
    <row r="33" spans="1:8" x14ac:dyDescent="0.3">
      <c r="A33">
        <v>33</v>
      </c>
      <c r="C33">
        <f t="shared" ref="C33:C64" si="4">-18.6173606340152+(A33-1)*1.09362069269882</f>
        <v>16.378501532347038</v>
      </c>
      <c r="D33">
        <f t="shared" ref="D33:D64" si="5">0+1*C33-21.2213750247559*(1.00248138957816+(C33-7.95640169070967)^2/69098.1854043233)^0.5</f>
        <v>-4.880062407702745</v>
      </c>
      <c r="E33">
        <v>33</v>
      </c>
      <c r="G33">
        <f t="shared" ref="G33:G64" si="6">-19.2953212253174+(E33-1)*1.1034462085148</f>
        <v>16.014957447156199</v>
      </c>
      <c r="H33">
        <f t="shared" ref="H33:H64" si="7">0+1*G33+21.2213750247559*(1.00248138957816+(G33-7.95640169070967)^2/69098.1854043233)^0.5</f>
        <v>37.27260293316877</v>
      </c>
    </row>
    <row r="34" spans="1:8" x14ac:dyDescent="0.3">
      <c r="A34">
        <v>34</v>
      </c>
      <c r="C34">
        <f t="shared" si="4"/>
        <v>17.472122225045858</v>
      </c>
      <c r="D34">
        <f t="shared" si="5"/>
        <v>-3.7894486369533134</v>
      </c>
      <c r="E34">
        <v>34</v>
      </c>
      <c r="G34">
        <f t="shared" si="6"/>
        <v>17.118403655670996</v>
      </c>
      <c r="H34">
        <f t="shared" si="7"/>
        <v>38.378961896098332</v>
      </c>
    </row>
    <row r="35" spans="1:8" x14ac:dyDescent="0.3">
      <c r="A35">
        <v>35</v>
      </c>
      <c r="C35">
        <f t="shared" si="4"/>
        <v>18.565742917744679</v>
      </c>
      <c r="D35">
        <f t="shared" si="5"/>
        <v>-2.6992010079861117</v>
      </c>
      <c r="E35">
        <v>35</v>
      </c>
      <c r="G35">
        <f t="shared" si="6"/>
        <v>18.221849864185799</v>
      </c>
      <c r="H35">
        <f t="shared" si="7"/>
        <v>39.485693662720742</v>
      </c>
    </row>
    <row r="36" spans="1:8" x14ac:dyDescent="0.3">
      <c r="A36">
        <v>36</v>
      </c>
      <c r="C36">
        <f t="shared" si="4"/>
        <v>19.659363610443499</v>
      </c>
      <c r="D36">
        <f t="shared" si="5"/>
        <v>-1.6093193465985998</v>
      </c>
      <c r="E36">
        <v>36</v>
      </c>
      <c r="G36">
        <f t="shared" si="6"/>
        <v>19.325296072700603</v>
      </c>
      <c r="H36">
        <f t="shared" si="7"/>
        <v>40.592798060255731</v>
      </c>
    </row>
    <row r="37" spans="1:8" x14ac:dyDescent="0.3">
      <c r="A37">
        <v>37</v>
      </c>
      <c r="C37">
        <f t="shared" si="4"/>
        <v>20.75298430314232</v>
      </c>
      <c r="D37">
        <f t="shared" si="5"/>
        <v>-0.51980345981688814</v>
      </c>
      <c r="E37">
        <v>37</v>
      </c>
      <c r="G37">
        <f t="shared" si="6"/>
        <v>20.428742281215399</v>
      </c>
      <c r="H37">
        <f t="shared" si="7"/>
        <v>41.700274896452804</v>
      </c>
    </row>
    <row r="38" spans="1:8" x14ac:dyDescent="0.3">
      <c r="A38">
        <v>38</v>
      </c>
      <c r="C38">
        <f t="shared" si="4"/>
        <v>21.84660499584114</v>
      </c>
      <c r="D38">
        <f t="shared" si="5"/>
        <v>0.56934686405460511</v>
      </c>
      <c r="E38">
        <v>38</v>
      </c>
      <c r="G38">
        <f t="shared" si="6"/>
        <v>21.532188489730196</v>
      </c>
      <c r="H38">
        <f t="shared" si="7"/>
        <v>42.808123959641591</v>
      </c>
    </row>
    <row r="39" spans="1:8" x14ac:dyDescent="0.3">
      <c r="A39">
        <v>39</v>
      </c>
      <c r="C39">
        <f t="shared" si="4"/>
        <v>22.940225688539954</v>
      </c>
      <c r="D39">
        <f t="shared" si="5"/>
        <v>1.6581318553786772</v>
      </c>
      <c r="E39">
        <v>39</v>
      </c>
      <c r="G39">
        <f t="shared" si="6"/>
        <v>22.635634698244999</v>
      </c>
      <c r="H39">
        <f t="shared" si="7"/>
        <v>43.916345018787361</v>
      </c>
    </row>
    <row r="40" spans="1:8" x14ac:dyDescent="0.3">
      <c r="A40">
        <v>40</v>
      </c>
      <c r="C40">
        <f t="shared" si="4"/>
        <v>24.033846381238774</v>
      </c>
      <c r="D40">
        <f t="shared" si="5"/>
        <v>2.7465517631262664</v>
      </c>
      <c r="E40">
        <v>40</v>
      </c>
      <c r="G40">
        <f t="shared" si="6"/>
        <v>23.739080906759803</v>
      </c>
      <c r="H40">
        <f t="shared" si="7"/>
        <v>45.024937823551298</v>
      </c>
    </row>
    <row r="41" spans="1:8" x14ac:dyDescent="0.3">
      <c r="A41">
        <v>41</v>
      </c>
      <c r="C41">
        <f t="shared" si="4"/>
        <v>25.127467073937595</v>
      </c>
      <c r="D41">
        <f t="shared" si="5"/>
        <v>3.8346068548125558</v>
      </c>
      <c r="E41">
        <v>41</v>
      </c>
      <c r="G41">
        <f t="shared" si="6"/>
        <v>24.842527115274599</v>
      </c>
      <c r="H41">
        <f t="shared" si="7"/>
        <v>46.133902104356004</v>
      </c>
    </row>
    <row r="42" spans="1:8" x14ac:dyDescent="0.3">
      <c r="A42">
        <v>42</v>
      </c>
      <c r="C42">
        <f t="shared" si="4"/>
        <v>26.221087766636415</v>
      </c>
      <c r="D42">
        <f t="shared" si="5"/>
        <v>4.9222974164285134</v>
      </c>
      <c r="E42">
        <v>42</v>
      </c>
      <c r="G42">
        <f t="shared" si="6"/>
        <v>25.945973323789396</v>
      </c>
      <c r="H42">
        <f t="shared" si="7"/>
        <v>47.243237572455712</v>
      </c>
    </row>
    <row r="43" spans="1:8" x14ac:dyDescent="0.3">
      <c r="A43">
        <v>43</v>
      </c>
      <c r="C43">
        <f t="shared" si="4"/>
        <v>27.314708459335236</v>
      </c>
      <c r="D43">
        <f t="shared" si="5"/>
        <v>6.0096237523678333</v>
      </c>
      <c r="E43">
        <v>43</v>
      </c>
      <c r="G43">
        <f t="shared" si="6"/>
        <v>27.049419532304199</v>
      </c>
      <c r="H43">
        <f t="shared" si="7"/>
        <v>48.352943920011462</v>
      </c>
    </row>
    <row r="44" spans="1:8" x14ac:dyDescent="0.3">
      <c r="A44">
        <v>44</v>
      </c>
      <c r="C44">
        <f t="shared" si="4"/>
        <v>28.408329152034057</v>
      </c>
      <c r="D44">
        <f t="shared" si="5"/>
        <v>7.0965861853492562</v>
      </c>
      <c r="E44">
        <v>44</v>
      </c>
      <c r="G44">
        <f t="shared" si="6"/>
        <v>28.152865740819003</v>
      </c>
      <c r="H44">
        <f t="shared" si="7"/>
        <v>49.463020820171053</v>
      </c>
    </row>
    <row r="45" spans="1:8" x14ac:dyDescent="0.3">
      <c r="A45">
        <v>45</v>
      </c>
      <c r="C45">
        <f t="shared" si="4"/>
        <v>29.501949844732877</v>
      </c>
      <c r="D45">
        <f t="shared" si="5"/>
        <v>8.183185056334441</v>
      </c>
      <c r="E45">
        <v>45</v>
      </c>
      <c r="G45">
        <f t="shared" si="6"/>
        <v>29.256311949333799</v>
      </c>
      <c r="H45">
        <f t="shared" si="7"/>
        <v>50.573467927153843</v>
      </c>
    </row>
    <row r="46" spans="1:8" x14ac:dyDescent="0.3">
      <c r="A46">
        <v>46</v>
      </c>
      <c r="C46">
        <f t="shared" si="4"/>
        <v>30.595570537431698</v>
      </c>
      <c r="D46">
        <f t="shared" si="5"/>
        <v>9.2694207244412929</v>
      </c>
      <c r="E46">
        <v>46</v>
      </c>
      <c r="G46">
        <f t="shared" si="6"/>
        <v>30.359758157848596</v>
      </c>
      <c r="H46">
        <f t="shared" si="7"/>
        <v>51.684284876340186</v>
      </c>
    </row>
    <row r="47" spans="1:8" x14ac:dyDescent="0.3">
      <c r="A47">
        <v>47</v>
      </c>
      <c r="C47">
        <f t="shared" si="4"/>
        <v>31.689191230130518</v>
      </c>
      <c r="D47">
        <f t="shared" si="5"/>
        <v>10.35529356685295</v>
      </c>
      <c r="E47">
        <v>47</v>
      </c>
      <c r="G47">
        <f t="shared" si="6"/>
        <v>31.463204366363399</v>
      </c>
      <c r="H47">
        <f t="shared" si="7"/>
        <v>52.795471284365647</v>
      </c>
    </row>
    <row r="48" spans="1:8" x14ac:dyDescent="0.3">
      <c r="A48">
        <v>48</v>
      </c>
      <c r="C48">
        <f t="shared" si="4"/>
        <v>32.782811922829339</v>
      </c>
      <c r="D48">
        <f t="shared" si="5"/>
        <v>11.440803978722371</v>
      </c>
      <c r="E48">
        <v>48</v>
      </c>
      <c r="G48">
        <f t="shared" si="6"/>
        <v>32.566650574878203</v>
      </c>
      <c r="H48">
        <f t="shared" si="7"/>
        <v>53.907026749219725</v>
      </c>
    </row>
    <row r="49" spans="1:8" x14ac:dyDescent="0.3">
      <c r="A49">
        <v>49</v>
      </c>
      <c r="C49">
        <f t="shared" si="4"/>
        <v>33.876432615528159</v>
      </c>
      <c r="D49">
        <f t="shared" si="5"/>
        <v>12.525952373072602</v>
      </c>
      <c r="E49">
        <v>49</v>
      </c>
      <c r="G49">
        <f t="shared" si="6"/>
        <v>33.670096783392999</v>
      </c>
      <c r="H49">
        <f t="shared" si="7"/>
        <v>55.018950850349171</v>
      </c>
    </row>
    <row r="50" spans="1:8" x14ac:dyDescent="0.3">
      <c r="A50">
        <v>50</v>
      </c>
      <c r="C50">
        <f t="shared" si="4"/>
        <v>34.970053308226973</v>
      </c>
      <c r="D50">
        <f t="shared" si="5"/>
        <v>13.610739180692793</v>
      </c>
      <c r="E50">
        <v>50</v>
      </c>
      <c r="G50">
        <f t="shared" si="6"/>
        <v>34.773542991907796</v>
      </c>
      <c r="H50">
        <f t="shared" si="7"/>
        <v>56.131243148765932</v>
      </c>
    </row>
    <row r="51" spans="1:8" x14ac:dyDescent="0.3">
      <c r="A51">
        <v>51</v>
      </c>
      <c r="C51">
        <f t="shared" si="4"/>
        <v>36.063674000925793</v>
      </c>
      <c r="D51">
        <f t="shared" si="5"/>
        <v>14.69516485003011</v>
      </c>
      <c r="E51">
        <v>51</v>
      </c>
      <c r="G51">
        <f t="shared" si="6"/>
        <v>35.876989200422599</v>
      </c>
      <c r="H51">
        <f t="shared" si="7"/>
        <v>57.243903187159269</v>
      </c>
    </row>
    <row r="52" spans="1:8" x14ac:dyDescent="0.3">
      <c r="A52">
        <v>52</v>
      </c>
      <c r="C52">
        <f t="shared" si="4"/>
        <v>37.157294693624614</v>
      </c>
      <c r="D52">
        <f t="shared" si="5"/>
        <v>15.779229847077357</v>
      </c>
      <c r="E52">
        <v>52</v>
      </c>
      <c r="G52">
        <f t="shared" si="6"/>
        <v>36.980435408937403</v>
      </c>
      <c r="H52">
        <f t="shared" si="7"/>
        <v>58.356930490012473</v>
      </c>
    </row>
    <row r="53" spans="1:8" x14ac:dyDescent="0.3">
      <c r="A53">
        <v>53</v>
      </c>
      <c r="C53">
        <f t="shared" si="4"/>
        <v>38.250915386323435</v>
      </c>
      <c r="D53">
        <f t="shared" si="5"/>
        <v>16.862934655256698</v>
      </c>
      <c r="E53">
        <v>53</v>
      </c>
      <c r="G53">
        <f t="shared" si="6"/>
        <v>38.083881617452199</v>
      </c>
      <c r="H53">
        <f t="shared" si="7"/>
        <v>59.470324563723764</v>
      </c>
    </row>
    <row r="54" spans="1:8" x14ac:dyDescent="0.3">
      <c r="A54">
        <v>54</v>
      </c>
      <c r="C54">
        <f t="shared" si="4"/>
        <v>39.344536079022255</v>
      </c>
      <c r="D54">
        <f t="shared" si="5"/>
        <v>17.946279775299281</v>
      </c>
      <c r="E54">
        <v>54</v>
      </c>
      <c r="G54">
        <f t="shared" si="6"/>
        <v>39.187327825966996</v>
      </c>
      <c r="H54">
        <f t="shared" si="7"/>
        <v>60.584084896731454</v>
      </c>
    </row>
    <row r="55" spans="1:8" x14ac:dyDescent="0.3">
      <c r="A55">
        <v>55</v>
      </c>
      <c r="C55">
        <f t="shared" si="4"/>
        <v>40.438156771721076</v>
      </c>
      <c r="D55">
        <f t="shared" si="5"/>
        <v>19.029265725120979</v>
      </c>
      <c r="E55">
        <v>55</v>
      </c>
      <c r="G55">
        <f t="shared" si="6"/>
        <v>40.2907740344818</v>
      </c>
      <c r="H55">
        <f t="shared" si="7"/>
        <v>61.698210959643298</v>
      </c>
    </row>
    <row r="56" spans="1:8" x14ac:dyDescent="0.3">
      <c r="A56">
        <v>56</v>
      </c>
      <c r="C56">
        <f t="shared" si="4"/>
        <v>41.531777464419896</v>
      </c>
      <c r="D56">
        <f t="shared" si="5"/>
        <v>20.111893039694287</v>
      </c>
      <c r="E56">
        <v>56</v>
      </c>
      <c r="G56">
        <f t="shared" si="6"/>
        <v>41.394220242996603</v>
      </c>
      <c r="H56">
        <f t="shared" si="7"/>
        <v>62.812702205369789</v>
      </c>
    </row>
    <row r="57" spans="1:8" x14ac:dyDescent="0.3">
      <c r="A57">
        <v>57</v>
      </c>
      <c r="C57">
        <f t="shared" si="4"/>
        <v>42.625398157118717</v>
      </c>
      <c r="D57">
        <f t="shared" si="5"/>
        <v>21.194162270916365</v>
      </c>
      <c r="E57">
        <v>57</v>
      </c>
      <c r="G57">
        <f t="shared" si="6"/>
        <v>42.4976664515114</v>
      </c>
      <c r="H57">
        <f t="shared" si="7"/>
        <v>63.927558069261615</v>
      </c>
    </row>
    <row r="58" spans="1:8" x14ac:dyDescent="0.3">
      <c r="A58">
        <v>58</v>
      </c>
      <c r="C58">
        <f t="shared" si="4"/>
        <v>43.719018849817537</v>
      </c>
      <c r="D58">
        <f t="shared" si="5"/>
        <v>22.276073987473477</v>
      </c>
      <c r="E58">
        <v>58</v>
      </c>
      <c r="G58">
        <f t="shared" si="6"/>
        <v>43.601112660026196</v>
      </c>
      <c r="H58">
        <f t="shared" si="7"/>
        <v>65.04277796925102</v>
      </c>
    </row>
    <row r="59" spans="1:8" x14ac:dyDescent="0.3">
      <c r="A59">
        <v>59</v>
      </c>
      <c r="C59">
        <f t="shared" si="4"/>
        <v>44.812639542516358</v>
      </c>
      <c r="D59">
        <f t="shared" si="5"/>
        <v>23.357628774701688</v>
      </c>
      <c r="E59">
        <v>59</v>
      </c>
      <c r="G59">
        <f t="shared" si="6"/>
        <v>44.704558868541</v>
      </c>
      <c r="H59">
        <f t="shared" si="7"/>
        <v>66.158361305996877</v>
      </c>
    </row>
    <row r="60" spans="1:8" x14ac:dyDescent="0.3">
      <c r="A60">
        <v>60</v>
      </c>
      <c r="C60">
        <f t="shared" si="4"/>
        <v>45.906260235215171</v>
      </c>
      <c r="D60">
        <f t="shared" si="5"/>
        <v>24.438827234444101</v>
      </c>
      <c r="E60">
        <v>60</v>
      </c>
      <c r="G60">
        <f t="shared" si="6"/>
        <v>45.808005077055803</v>
      </c>
      <c r="H60">
        <f t="shared" si="7"/>
        <v>67.274307463033665</v>
      </c>
    </row>
    <row r="61" spans="1:8" x14ac:dyDescent="0.3">
      <c r="A61">
        <v>61</v>
      </c>
      <c r="C61">
        <f t="shared" si="4"/>
        <v>46.999880927913992</v>
      </c>
      <c r="D61">
        <f t="shared" si="5"/>
        <v>25.519669984904571</v>
      </c>
      <c r="E61">
        <v>61</v>
      </c>
      <c r="G61">
        <f t="shared" si="6"/>
        <v>46.9114512855706</v>
      </c>
      <c r="H61">
        <f t="shared" si="7"/>
        <v>68.390615806924046</v>
      </c>
    </row>
    <row r="62" spans="1:8" x14ac:dyDescent="0.3">
      <c r="A62">
        <v>62</v>
      </c>
      <c r="C62">
        <f t="shared" si="4"/>
        <v>48.093501620612813</v>
      </c>
      <c r="D62">
        <f t="shared" si="5"/>
        <v>26.600157660497995</v>
      </c>
      <c r="E62">
        <v>62</v>
      </c>
      <c r="G62">
        <f t="shared" si="6"/>
        <v>48.014897494085396</v>
      </c>
      <c r="H62">
        <f t="shared" si="7"/>
        <v>69.507285687415063</v>
      </c>
    </row>
    <row r="63" spans="1:8" x14ac:dyDescent="0.3">
      <c r="A63">
        <v>63</v>
      </c>
      <c r="C63">
        <f t="shared" si="4"/>
        <v>49.187122313311633</v>
      </c>
      <c r="D63">
        <f t="shared" si="5"/>
        <v>27.680290911697355</v>
      </c>
      <c r="E63">
        <v>63</v>
      </c>
      <c r="G63">
        <f t="shared" si="6"/>
        <v>49.118343702600207</v>
      </c>
      <c r="H63">
        <f t="shared" si="7"/>
        <v>70.624316437597855</v>
      </c>
    </row>
    <row r="64" spans="1:8" x14ac:dyDescent="0.3">
      <c r="A64">
        <v>64</v>
      </c>
      <c r="C64">
        <f t="shared" si="4"/>
        <v>50.280743006010454</v>
      </c>
      <c r="D64">
        <f t="shared" si="5"/>
        <v>28.760070404877478</v>
      </c>
      <c r="E64">
        <v>64</v>
      </c>
      <c r="G64">
        <f t="shared" si="6"/>
        <v>50.221789911115003</v>
      </c>
      <c r="H64">
        <f t="shared" si="7"/>
        <v>71.741707374070742</v>
      </c>
    </row>
    <row r="65" spans="1:8" x14ac:dyDescent="0.3">
      <c r="A65">
        <v>65</v>
      </c>
      <c r="C65">
        <f t="shared" ref="C65:C70" si="8">-18.6173606340152+(A65-1)*1.09362069269882</f>
        <v>51.374363698709274</v>
      </c>
      <c r="D65">
        <f t="shared" ref="D65:D70" si="9">0+1*C65-21.2213750247559*(1.00248138957816+(C65-7.95640169070967)^2/69098.1854043233)^0.5</f>
        <v>29.839496822155699</v>
      </c>
      <c r="E65">
        <v>65</v>
      </c>
      <c r="G65">
        <f t="shared" ref="G65:G70" si="10">-19.2953212253174+(E65-1)*1.1034462085148</f>
        <v>51.3252361196298</v>
      </c>
      <c r="H65">
        <f t="shared" ref="H65:H70" si="11">0+1*G65+21.2213750247559*(1.00248138957816+(G65-7.95640169070967)^2/69098.1854043233)^0.5</f>
        <v>72.859457797105648</v>
      </c>
    </row>
    <row r="66" spans="1:8" x14ac:dyDescent="0.3">
      <c r="A66">
        <v>66</v>
      </c>
      <c r="C66">
        <f t="shared" si="8"/>
        <v>52.467984391408095</v>
      </c>
      <c r="D66">
        <f t="shared" si="9"/>
        <v>30.918570861229391</v>
      </c>
      <c r="E66">
        <v>66</v>
      </c>
      <c r="G66">
        <f t="shared" si="10"/>
        <v>52.428682328144596</v>
      </c>
      <c r="H66">
        <f t="shared" si="11"/>
        <v>73.977566990817792</v>
      </c>
    </row>
    <row r="67" spans="1:8" x14ac:dyDescent="0.3">
      <c r="A67">
        <v>67</v>
      </c>
      <c r="C67">
        <f t="shared" si="8"/>
        <v>53.561605084106915</v>
      </c>
      <c r="D67">
        <f t="shared" si="9"/>
        <v>31.997293235210623</v>
      </c>
      <c r="E67">
        <v>67</v>
      </c>
      <c r="G67">
        <f t="shared" si="10"/>
        <v>53.532128536659393</v>
      </c>
      <c r="H67">
        <f t="shared" si="11"/>
        <v>75.096034223338506</v>
      </c>
    </row>
    <row r="68" spans="1:8" x14ac:dyDescent="0.3">
      <c r="A68">
        <v>68</v>
      </c>
      <c r="C68">
        <f t="shared" si="8"/>
        <v>54.655225776805736</v>
      </c>
      <c r="D68">
        <f t="shared" si="9"/>
        <v>33.075664672457833</v>
      </c>
      <c r="E68">
        <v>68</v>
      </c>
      <c r="G68">
        <f t="shared" si="10"/>
        <v>54.635574745174203</v>
      </c>
      <c r="H68">
        <f t="shared" si="11"/>
        <v>76.214858746991098</v>
      </c>
    </row>
    <row r="69" spans="1:8" x14ac:dyDescent="0.3">
      <c r="A69">
        <v>69</v>
      </c>
      <c r="C69">
        <f t="shared" si="8"/>
        <v>55.748846469504556</v>
      </c>
      <c r="D69">
        <f t="shared" si="9"/>
        <v>34.153685916404797</v>
      </c>
      <c r="E69">
        <v>69</v>
      </c>
      <c r="G69">
        <f t="shared" si="10"/>
        <v>55.739020953689</v>
      </c>
      <c r="H69">
        <f t="shared" si="11"/>
        <v>77.334039798469561</v>
      </c>
    </row>
    <row r="70" spans="1:8" x14ac:dyDescent="0.3">
      <c r="A70">
        <v>70</v>
      </c>
      <c r="C70">
        <f t="shared" si="8"/>
        <v>56.842467162203377</v>
      </c>
      <c r="D70">
        <f t="shared" si="9"/>
        <v>35.231357725386793</v>
      </c>
      <c r="E70">
        <v>70</v>
      </c>
      <c r="G70">
        <f t="shared" si="10"/>
        <v>56.842467162203796</v>
      </c>
      <c r="H70">
        <f t="shared" si="11"/>
        <v>78.45357659902038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dim_training</vt:lpstr>
      <vt:lpstr>XLSTAT_20250614_143753_1_HID</vt:lpstr>
      <vt:lpstr>Nonlinear regression</vt:lpstr>
      <vt:lpstr>Linear regression</vt:lpstr>
      <vt:lpstr>XLSTAT_20250614_141341_1_HID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Sujal Mittal</cp:lastModifiedBy>
  <dcterms:created xsi:type="dcterms:W3CDTF">2025-06-14T08:43:02Z</dcterms:created>
  <dcterms:modified xsi:type="dcterms:W3CDTF">2025-08-13T05:58:05Z</dcterms:modified>
</cp:coreProperties>
</file>