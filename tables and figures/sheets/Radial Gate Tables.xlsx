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_stats_features.csv" sheetId="1" r:id="rId5"/>
    <sheet state="visible" name="ndim_stats_features" sheetId="2" r:id="rId6"/>
    <sheet state="visible" name="Non Dimensional features stats" sheetId="3" r:id="rId7"/>
    <sheet state="visible" name="Dimensional featuers stats" sheetId="4" r:id="rId8"/>
    <sheet state="visible" name="Hyperparameters" sheetId="5" r:id="rId9"/>
    <sheet state="visible" name="Model Performance " sheetId="6" r:id="rId10"/>
  </sheets>
  <definedNames/>
  <calcPr/>
</workbook>
</file>

<file path=xl/sharedStrings.xml><?xml version="1.0" encoding="utf-8"?>
<sst xmlns="http://schemas.openxmlformats.org/spreadsheetml/2006/main" count="259" uniqueCount="61">
  <si>
    <t>Mean</t>
  </si>
  <si>
    <t>Standard deviation</t>
  </si>
  <si>
    <t>Variance</t>
  </si>
  <si>
    <t>Kurtosis</t>
  </si>
  <si>
    <t>Skewness</t>
  </si>
  <si>
    <t>Range</t>
  </si>
  <si>
    <t>Minimum</t>
  </si>
  <si>
    <t>Maximum</t>
  </si>
  <si>
    <t>Sum</t>
  </si>
  <si>
    <t>Count</t>
  </si>
  <si>
    <t>AR</t>
  </si>
  <si>
    <t>L</t>
  </si>
  <si>
    <t>phi</t>
  </si>
  <si>
    <t>QW</t>
  </si>
  <si>
    <t>Qa</t>
  </si>
  <si>
    <t>h</t>
  </si>
  <si>
    <t>Va</t>
  </si>
  <si>
    <t>R</t>
  </si>
  <si>
    <t>sigma</t>
  </si>
  <si>
    <t>R/L</t>
  </si>
  <si>
    <t>Fr</t>
  </si>
  <si>
    <t>Qa/Qw</t>
  </si>
  <si>
    <t>Parameters</t>
  </si>
  <si>
    <t>Training</t>
  </si>
  <si>
    <t>Testing</t>
  </si>
  <si>
    <t>L (m)</t>
  </si>
  <si>
    <t>φ (%)</t>
  </si>
  <si>
    <t>Qw (m3/s)</t>
  </si>
  <si>
    <t>Qa (m3/s)</t>
  </si>
  <si>
    <t>h (m)</t>
  </si>
  <si>
    <t>Va (m/s)</t>
  </si>
  <si>
    <t>R (m)</t>
  </si>
  <si>
    <t>Training dataset</t>
  </si>
  <si>
    <t>Testing dataset</t>
  </si>
  <si>
    <t>ML Models</t>
  </si>
  <si>
    <t>Optimal Values</t>
  </si>
  <si>
    <t>Dimensional</t>
  </si>
  <si>
    <t>GBM</t>
  </si>
  <si>
    <t xml:space="preserve"> {'n_estimators': 470, 'max_depth': 6, 'learning_rate': 0.05148810384435254, 'subsample': 0.939879106935373, 'min_samples_split': 10, 'min_samples_leaf': 1, 'max_features': None}</t>
  </si>
  <si>
    <t>XGB</t>
  </si>
  <si>
    <t xml:space="preserve"> {'n_estimators': 474, 'max_depth': 9, 'learning_rate': 0.29787739449223777, 'subsample': 0.9615035752763753, 'colsample_bytree': 0.7162874323190875, 'gamma': 0.479575241737767, 'reg_alpha': 0.02176590366042399, 'reg_lambda': 0.0828552712757255}</t>
  </si>
  <si>
    <t>CATB</t>
  </si>
  <si>
    <t xml:space="preserve"> {'iterations': 475, 'depth': 8, 'learning_rate': 0.12760508328206074, 'l2_leaf_reg': 6.147645152771797, 'bagging_temperature': 0.9768427864973606, 'random_strength': 0.028282687916864738}</t>
  </si>
  <si>
    <t>XRT</t>
  </si>
  <si>
    <t xml:space="preserve">  {'n_estimators': 500, 'max_depth': 15, 'min_samples_split': 3, 'min_samples_leaf': 1, 'max_features': None}</t>
  </si>
  <si>
    <t>RF</t>
  </si>
  <si>
    <t xml:space="preserve"> {'n_estimators': 475, 'max_depth': 12, 'min_samples_split': 2, 'min_samples_leaf': 1, 'max_features': None}</t>
  </si>
  <si>
    <t>Non Dimensional</t>
  </si>
  <si>
    <t xml:space="preserve"> {'n_estimators': 465, 'max_depth': 6, 'learning_rate': 0.11441069333248899, 'subsample': 0.9698690613239506, 'min_samples_split': 17, 'min_samples_leaf': 6, 'max_features': None}</t>
  </si>
  <si>
    <t>XBG</t>
  </si>
  <si>
    <t xml:space="preserve"> {'n_estimators': 385, 'max_depth': 4, 'learning_rate': 0.24391279082974093, 'subsample': 0.5918556835987723, 'colsample_bytree': 0.8427619844455038, 'gamma': 0.0969936996408106, 'reg_alpha': 0.6473301773166262, 'reg_lambda': 0.6151572928889338}</t>
  </si>
  <si>
    <t xml:space="preserve">  {'iterations': 295, 'depth': 5, 'learning_rate': 0.2153257951221818, 'l2_leaf_reg': 1.4311480526560383, 'bagging_temperature': 0.38040268431334634, 'random_strength': 0.7566611066941972}</t>
  </si>
  <si>
    <t xml:space="preserve"> {'n_estimators': 337, 'max_depth': 16, 'min_samples_split': 2, 'min_samples_leaf': 1, 'max_features': None}</t>
  </si>
  <si>
    <t xml:space="preserve"> {'n_estimators': 167, 'max_depth': 20, 'min_samples_split': 2, 'min_samples_leaf': 1, 'max_features': None}</t>
  </si>
  <si>
    <t>Dimensinoal</t>
  </si>
  <si>
    <t>Model</t>
  </si>
  <si>
    <t>CC</t>
  </si>
  <si>
    <t>RMSE</t>
  </si>
  <si>
    <t>MAE</t>
  </si>
  <si>
    <t>MLR</t>
  </si>
  <si>
    <t>MNLR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</si>
</sst>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0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borderId="0" fillId="0" fontId="1" numFmtId="0" xfId="0" applyFont="1"/>
    <xf borderId="0" fillId="0" fontId="1" numFmtId="11" xfId="0" applyFont="1" applyNumberFormat="1"/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164" xfId="0" applyAlignment="1" applyFont="1" applyNumberFormat="1">
      <alignment readingOrder="0" vertical="top"/>
    </xf>
    <xf borderId="0" fillId="0" fontId="1" numFmtId="165" xfId="0" applyFont="1" applyNumberFormat="1"/>
    <xf borderId="0" fillId="0" fontId="1" numFmtId="165" xfId="0" applyAlignment="1" applyFont="1" applyNumberForma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2" numFmtId="165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>
      <c r="A2" s="1" t="s">
        <v>10</v>
      </c>
      <c r="B2" s="1">
        <v>1.09528535991563</v>
      </c>
      <c r="C2" s="1">
        <v>0.443623634714631</v>
      </c>
      <c r="D2" s="1">
        <v>0.19680192927742</v>
      </c>
      <c r="E2" s="1">
        <v>-1.53306119000954</v>
      </c>
      <c r="F2" s="1">
        <v>0.266704776600547</v>
      </c>
      <c r="G2" s="1">
        <v>1.066666667</v>
      </c>
      <c r="H2" s="1">
        <v>0.6</v>
      </c>
      <c r="I2" s="1">
        <v>1.666666667</v>
      </c>
      <c r="J2" s="1">
        <v>441.400000045999</v>
      </c>
      <c r="K2" s="1">
        <v>403.0</v>
      </c>
    </row>
    <row r="3">
      <c r="A3" s="1" t="s">
        <v>11</v>
      </c>
      <c r="B3" s="1">
        <v>3.22084367245657</v>
      </c>
      <c r="C3" s="1">
        <v>1.91961912756252</v>
      </c>
      <c r="D3" s="1">
        <v>3.68493759490389</v>
      </c>
      <c r="E3" s="1">
        <v>-1.41096739294477</v>
      </c>
      <c r="F3" s="1">
        <v>0.305350543480518</v>
      </c>
      <c r="G3" s="1">
        <v>5.0</v>
      </c>
      <c r="H3" s="1">
        <v>1.0</v>
      </c>
      <c r="I3" s="1">
        <v>6.0</v>
      </c>
      <c r="J3" s="1">
        <v>1298.0</v>
      </c>
      <c r="K3" s="1">
        <v>403.0</v>
      </c>
    </row>
    <row r="4">
      <c r="A4" s="1" t="s">
        <v>12</v>
      </c>
      <c r="B4" s="1">
        <v>28.8585607940446</v>
      </c>
      <c r="C4" s="1">
        <v>16.8084717124019</v>
      </c>
      <c r="D4" s="1">
        <v>282.524721306617</v>
      </c>
      <c r="E4" s="1">
        <v>-0.719464295008526</v>
      </c>
      <c r="F4" s="1">
        <v>0.698615469631847</v>
      </c>
      <c r="G4" s="1">
        <v>50.0</v>
      </c>
      <c r="H4" s="1">
        <v>10.0</v>
      </c>
      <c r="I4" s="1">
        <v>60.0</v>
      </c>
      <c r="J4" s="1">
        <v>11630.0</v>
      </c>
      <c r="K4" s="1">
        <v>403.0</v>
      </c>
    </row>
    <row r="5">
      <c r="A5" s="1" t="s">
        <v>13</v>
      </c>
      <c r="B5" s="1">
        <v>11.9316377171215</v>
      </c>
      <c r="C5" s="1">
        <v>7.54206843751671</v>
      </c>
      <c r="D5" s="1">
        <v>56.8827963161858</v>
      </c>
      <c r="E5" s="1">
        <v>-0.0482438337653463</v>
      </c>
      <c r="F5" s="1">
        <v>0.813466583130996</v>
      </c>
      <c r="G5" s="1">
        <v>31.6999999999999</v>
      </c>
      <c r="H5" s="1">
        <v>1.6</v>
      </c>
      <c r="I5" s="1">
        <v>33.3</v>
      </c>
      <c r="J5" s="1">
        <v>4808.45</v>
      </c>
      <c r="K5" s="1">
        <v>403.0</v>
      </c>
    </row>
    <row r="6">
      <c r="A6" s="1" t="s">
        <v>14</v>
      </c>
      <c r="B6" s="1">
        <v>13.5742542451513</v>
      </c>
      <c r="C6" s="1">
        <v>12.9908290963638</v>
      </c>
      <c r="D6" s="1">
        <v>168.761640610934</v>
      </c>
      <c r="E6" s="1">
        <v>0.20023671262482</v>
      </c>
      <c r="F6" s="1">
        <v>1.01823113402655</v>
      </c>
      <c r="G6" s="1">
        <v>57.52589943</v>
      </c>
      <c r="H6" s="1">
        <v>0.0</v>
      </c>
      <c r="I6" s="1">
        <v>57.52589943</v>
      </c>
      <c r="J6" s="1">
        <v>5470.42446079599</v>
      </c>
      <c r="K6" s="1">
        <v>403.0</v>
      </c>
    </row>
    <row r="7">
      <c r="A7" s="1" t="s">
        <v>15</v>
      </c>
      <c r="B7" s="1">
        <v>3.79696029776675</v>
      </c>
      <c r="C7" s="1">
        <v>2.65603832953744</v>
      </c>
      <c r="D7" s="1">
        <v>7.05453960797203</v>
      </c>
      <c r="E7" s="1">
        <v>-1.46601251691061</v>
      </c>
      <c r="F7" s="1">
        <v>0.342620222493888</v>
      </c>
      <c r="G7" s="1">
        <v>7.4486</v>
      </c>
      <c r="H7" s="1">
        <v>0.54</v>
      </c>
      <c r="I7" s="1">
        <v>7.9886</v>
      </c>
      <c r="J7" s="1">
        <v>1530.175</v>
      </c>
      <c r="K7" s="1">
        <v>403.0</v>
      </c>
    </row>
    <row r="8">
      <c r="A8" s="1" t="s">
        <v>16</v>
      </c>
      <c r="B8" s="1">
        <v>8.54473945409429</v>
      </c>
      <c r="C8" s="1">
        <v>8.15893052931545</v>
      </c>
      <c r="D8" s="1">
        <v>66.5681473821957</v>
      </c>
      <c r="E8" s="1">
        <v>0.20577139995001</v>
      </c>
      <c r="F8" s="1">
        <v>1.02124545771174</v>
      </c>
      <c r="G8" s="1">
        <v>36.17</v>
      </c>
      <c r="H8" s="1">
        <v>0.0</v>
      </c>
      <c r="I8" s="1">
        <v>36.17</v>
      </c>
      <c r="J8" s="1">
        <v>3443.52999999999</v>
      </c>
      <c r="K8" s="1">
        <v>403.0</v>
      </c>
    </row>
    <row r="9">
      <c r="A9" s="1" t="s">
        <v>17</v>
      </c>
      <c r="B9" s="1">
        <v>0.00769725632754342</v>
      </c>
      <c r="C9" s="1">
        <v>0.00308925138869961</v>
      </c>
      <c r="D9" s="2">
        <v>9.54347414258249E-6</v>
      </c>
      <c r="E9" s="1">
        <v>-0.718904688618573</v>
      </c>
      <c r="F9" s="1">
        <v>0.289382203337148</v>
      </c>
      <c r="G9" s="1">
        <v>0.01124</v>
      </c>
      <c r="H9" s="1">
        <v>0.00255</v>
      </c>
      <c r="I9" s="1">
        <v>0.01379</v>
      </c>
      <c r="J9" s="1">
        <v>3.1019943</v>
      </c>
      <c r="K9" s="1">
        <v>403.0</v>
      </c>
    </row>
    <row r="10">
      <c r="A10" s="1" t="s">
        <v>18</v>
      </c>
      <c r="B10" s="1">
        <v>7.95640169070967</v>
      </c>
      <c r="C10" s="1">
        <v>16.9225617756237</v>
      </c>
      <c r="D10" s="1">
        <v>286.373097049803</v>
      </c>
      <c r="E10" s="1">
        <v>9.1382178981649</v>
      </c>
      <c r="F10" s="1">
        <v>2.91649766670478</v>
      </c>
      <c r="G10" s="1">
        <v>91.5092196299999</v>
      </c>
      <c r="H10" s="1">
        <v>-4.67749855</v>
      </c>
      <c r="I10" s="1">
        <v>86.83172108</v>
      </c>
      <c r="J10" s="1">
        <v>3206.429881356</v>
      </c>
      <c r="K10" s="1">
        <v>403.0</v>
      </c>
    </row>
    <row r="13">
      <c r="B13" s="1" t="s">
        <v>0</v>
      </c>
      <c r="C13" s="1" t="s">
        <v>1</v>
      </c>
      <c r="D13" s="1" t="s">
        <v>2</v>
      </c>
      <c r="E13" s="1" t="s">
        <v>3</v>
      </c>
      <c r="F13" s="1" t="s">
        <v>4</v>
      </c>
      <c r="G13" s="1" t="s">
        <v>5</v>
      </c>
      <c r="H13" s="1" t="s">
        <v>6</v>
      </c>
      <c r="I13" s="1" t="s">
        <v>7</v>
      </c>
      <c r="J13" s="1" t="s">
        <v>8</v>
      </c>
      <c r="K13" s="1" t="s">
        <v>9</v>
      </c>
    </row>
    <row r="14">
      <c r="A14" s="1" t="s">
        <v>10</v>
      </c>
      <c r="B14" s="1">
        <v>1.06336633673267</v>
      </c>
      <c r="C14" s="1">
        <v>0.428576583482391</v>
      </c>
      <c r="D14" s="1">
        <v>0.183677887909438</v>
      </c>
      <c r="E14" s="1">
        <v>-1.34082252771505</v>
      </c>
      <c r="F14" s="1">
        <v>0.407955866194055</v>
      </c>
      <c r="G14" s="1">
        <v>1.066666667</v>
      </c>
      <c r="H14" s="1">
        <v>0.6</v>
      </c>
      <c r="I14" s="1">
        <v>1.666666667</v>
      </c>
      <c r="J14" s="1">
        <v>107.40000001</v>
      </c>
      <c r="K14" s="1">
        <v>101.0</v>
      </c>
    </row>
    <row r="15">
      <c r="A15" s="1" t="s">
        <v>11</v>
      </c>
      <c r="B15" s="1">
        <v>3.36633663366336</v>
      </c>
      <c r="C15" s="1">
        <v>1.93764172269915</v>
      </c>
      <c r="D15" s="1">
        <v>3.75445544554456</v>
      </c>
      <c r="E15" s="1">
        <v>-1.46950260041125</v>
      </c>
      <c r="F15" s="1">
        <v>0.170495216418677</v>
      </c>
      <c r="G15" s="1">
        <v>5.0</v>
      </c>
      <c r="H15" s="1">
        <v>1.0</v>
      </c>
      <c r="I15" s="1">
        <v>6.0</v>
      </c>
      <c r="J15" s="1">
        <v>340.0</v>
      </c>
      <c r="K15" s="1">
        <v>101.0</v>
      </c>
    </row>
    <row r="16">
      <c r="A16" s="1" t="s">
        <v>12</v>
      </c>
      <c r="B16" s="1">
        <v>30.3960396039603</v>
      </c>
      <c r="C16" s="1">
        <v>17.5454149041399</v>
      </c>
      <c r="D16" s="1">
        <v>307.841584158415</v>
      </c>
      <c r="E16" s="1">
        <v>-0.969390057434906</v>
      </c>
      <c r="F16" s="1">
        <v>0.620382355253477</v>
      </c>
      <c r="G16" s="1">
        <v>50.0</v>
      </c>
      <c r="H16" s="1">
        <v>10.0</v>
      </c>
      <c r="I16" s="1">
        <v>60.0</v>
      </c>
      <c r="J16" s="1">
        <v>3070.0</v>
      </c>
      <c r="K16" s="1">
        <v>101.0</v>
      </c>
    </row>
    <row r="17">
      <c r="A17" s="1" t="s">
        <v>13</v>
      </c>
      <c r="B17" s="1">
        <v>13.1366336633663</v>
      </c>
      <c r="C17" s="1">
        <v>8.57890112744374</v>
      </c>
      <c r="D17" s="1">
        <v>73.5975445544554</v>
      </c>
      <c r="E17" s="1">
        <v>-0.637858373044172</v>
      </c>
      <c r="F17" s="1">
        <v>0.565460472769612</v>
      </c>
      <c r="G17" s="1">
        <v>31.6999999999999</v>
      </c>
      <c r="H17" s="1">
        <v>1.6</v>
      </c>
      <c r="I17" s="1">
        <v>33.3</v>
      </c>
      <c r="J17" s="1">
        <v>1326.8</v>
      </c>
      <c r="K17" s="1">
        <v>101.0</v>
      </c>
    </row>
    <row r="18">
      <c r="A18" s="1" t="s">
        <v>14</v>
      </c>
      <c r="B18" s="1">
        <v>13.6828879776831</v>
      </c>
      <c r="C18" s="1">
        <v>13.4825065756351</v>
      </c>
      <c r="D18" s="1">
        <v>181.777983562045</v>
      </c>
      <c r="E18" s="1">
        <v>0.708209255295042</v>
      </c>
      <c r="F18" s="1">
        <v>1.08568304069875</v>
      </c>
      <c r="G18" s="1">
        <v>58.92547896</v>
      </c>
      <c r="H18" s="1">
        <v>0.0</v>
      </c>
      <c r="I18" s="1">
        <v>58.92547896</v>
      </c>
      <c r="J18" s="1">
        <v>1381.971685746</v>
      </c>
      <c r="K18" s="1">
        <v>101.0</v>
      </c>
    </row>
    <row r="19">
      <c r="A19" s="1" t="s">
        <v>15</v>
      </c>
      <c r="B19" s="1">
        <v>3.98586732673267</v>
      </c>
      <c r="C19" s="1">
        <v>2.78700168981322</v>
      </c>
      <c r="D19" s="1">
        <v>7.76737841902178</v>
      </c>
      <c r="E19" s="1">
        <v>-1.54004791254083</v>
      </c>
      <c r="F19" s="1">
        <v>0.351087535396495</v>
      </c>
      <c r="G19" s="1">
        <v>7.4486</v>
      </c>
      <c r="H19" s="1">
        <v>0.54</v>
      </c>
      <c r="I19" s="1">
        <v>7.9886</v>
      </c>
      <c r="J19" s="1">
        <v>402.572599999999</v>
      </c>
      <c r="K19" s="1">
        <v>101.0</v>
      </c>
    </row>
    <row r="20">
      <c r="A20" s="1" t="s">
        <v>16</v>
      </c>
      <c r="B20" s="1">
        <v>8.60584158415841</v>
      </c>
      <c r="C20" s="1">
        <v>8.47471831594735</v>
      </c>
      <c r="D20" s="1">
        <v>71.8208505346534</v>
      </c>
      <c r="E20" s="1">
        <v>0.710180144815954</v>
      </c>
      <c r="F20" s="1">
        <v>1.08662549335589</v>
      </c>
      <c r="G20" s="1">
        <v>37.05</v>
      </c>
      <c r="H20" s="1">
        <v>0.0</v>
      </c>
      <c r="I20" s="1">
        <v>37.05</v>
      </c>
      <c r="J20" s="1">
        <v>869.189999999999</v>
      </c>
      <c r="K20" s="1">
        <v>101.0</v>
      </c>
    </row>
    <row r="21">
      <c r="A21" s="1" t="s">
        <v>17</v>
      </c>
      <c r="B21" s="1">
        <v>0.00800366673267326</v>
      </c>
      <c r="C21" s="1">
        <v>0.00300855671379354</v>
      </c>
      <c r="D21" s="2">
        <v>9.05141350011221E-6</v>
      </c>
      <c r="E21" s="1">
        <v>-0.953793875436295</v>
      </c>
      <c r="F21" s="1">
        <v>0.0867450798453214</v>
      </c>
      <c r="G21" s="1">
        <v>0.01124</v>
      </c>
      <c r="H21" s="1">
        <v>0.00255</v>
      </c>
      <c r="I21" s="1">
        <v>0.01379</v>
      </c>
      <c r="J21" s="1">
        <v>0.80837034</v>
      </c>
      <c r="K21" s="1">
        <v>101.0</v>
      </c>
    </row>
    <row r="22">
      <c r="A22" s="1" t="s">
        <v>18</v>
      </c>
      <c r="B22" s="1">
        <v>8.90238306282178</v>
      </c>
      <c r="C22" s="1">
        <v>18.6285752801274</v>
      </c>
      <c r="D22" s="1">
        <v>347.023816967374</v>
      </c>
      <c r="E22" s="1">
        <v>7.04886254616216</v>
      </c>
      <c r="F22" s="1">
        <v>2.62314651778999</v>
      </c>
      <c r="G22" s="1">
        <v>90.442954668</v>
      </c>
      <c r="H22" s="1">
        <v>-3.611233588</v>
      </c>
      <c r="I22" s="1">
        <v>86.83172108</v>
      </c>
      <c r="J22" s="1">
        <v>899.140689344999</v>
      </c>
      <c r="K22" s="1">
        <v>101.0</v>
      </c>
    </row>
    <row r="25">
      <c r="A25" s="3" t="str">
        <f t="array" ref="A25:J35">TRANSPOSE(A1:K10)</f>
        <v/>
      </c>
      <c r="B25" s="3" t="s">
        <v>10</v>
      </c>
      <c r="C25" s="3" t="s">
        <v>11</v>
      </c>
      <c r="D25" s="3" t="s">
        <v>12</v>
      </c>
      <c r="E25" s="3" t="s">
        <v>13</v>
      </c>
      <c r="F25" s="3" t="s">
        <v>14</v>
      </c>
      <c r="G25" s="3" t="s">
        <v>15</v>
      </c>
      <c r="H25" s="3" t="s">
        <v>16</v>
      </c>
      <c r="I25" s="3" t="s">
        <v>17</v>
      </c>
      <c r="J25" s="3" t="s">
        <v>18</v>
      </c>
    </row>
    <row r="26">
      <c r="A26" s="3" t="s">
        <v>0</v>
      </c>
      <c r="B26" s="3">
        <v>1.09528535991563</v>
      </c>
      <c r="C26" s="3">
        <v>3.22084367245657</v>
      </c>
      <c r="D26" s="3">
        <v>28.8585607940446</v>
      </c>
      <c r="E26" s="3">
        <v>11.9316377171215</v>
      </c>
      <c r="F26" s="3">
        <v>13.5742542451513</v>
      </c>
      <c r="G26" s="3">
        <v>3.79696029776675</v>
      </c>
      <c r="H26" s="3">
        <v>8.54473945409429</v>
      </c>
      <c r="I26" s="3">
        <v>0.00769725632754342</v>
      </c>
      <c r="J26" s="3">
        <v>7.95640169070967</v>
      </c>
    </row>
    <row r="27">
      <c r="A27" s="3" t="s">
        <v>1</v>
      </c>
      <c r="B27" s="3">
        <v>0.443623634714631</v>
      </c>
      <c r="C27" s="3">
        <v>1.91961912756252</v>
      </c>
      <c r="D27" s="3">
        <v>16.8084717124019</v>
      </c>
      <c r="E27" s="3">
        <v>7.54206843751671</v>
      </c>
      <c r="F27" s="3">
        <v>12.9908290963638</v>
      </c>
      <c r="G27" s="3">
        <v>2.65603832953744</v>
      </c>
      <c r="H27" s="3">
        <v>8.15893052931545</v>
      </c>
      <c r="I27" s="3">
        <v>0.00308925138869961</v>
      </c>
      <c r="J27" s="3">
        <v>16.9225617756237</v>
      </c>
    </row>
    <row r="28">
      <c r="A28" s="3" t="s">
        <v>2</v>
      </c>
      <c r="B28" s="3">
        <v>0.19680192927742</v>
      </c>
      <c r="C28" s="3">
        <v>3.68493759490389</v>
      </c>
      <c r="D28" s="3">
        <v>282.524721306617</v>
      </c>
      <c r="E28" s="3">
        <v>56.8827963161858</v>
      </c>
      <c r="F28" s="3">
        <v>168.761640610934</v>
      </c>
      <c r="G28" s="3">
        <v>7.05453960797203</v>
      </c>
      <c r="H28" s="3">
        <v>66.5681473821957</v>
      </c>
      <c r="I28" s="4">
        <v>9.54347414258249E-6</v>
      </c>
      <c r="J28" s="3">
        <v>286.373097049803</v>
      </c>
    </row>
    <row r="29">
      <c r="A29" s="3" t="s">
        <v>3</v>
      </c>
      <c r="B29" s="3">
        <v>-1.53306119000954</v>
      </c>
      <c r="C29" s="3">
        <v>-1.41096739294477</v>
      </c>
      <c r="D29" s="3">
        <v>-0.719464295008526</v>
      </c>
      <c r="E29" s="3">
        <v>-0.0482438337653463</v>
      </c>
      <c r="F29" s="3">
        <v>0.20023671262482</v>
      </c>
      <c r="G29" s="3">
        <v>-1.46601251691061</v>
      </c>
      <c r="H29" s="3">
        <v>0.20577139995001</v>
      </c>
      <c r="I29" s="3">
        <v>-0.718904688618573</v>
      </c>
      <c r="J29" s="3">
        <v>9.1382178981649</v>
      </c>
    </row>
    <row r="30">
      <c r="A30" s="3" t="s">
        <v>4</v>
      </c>
      <c r="B30" s="3">
        <v>0.266704776600547</v>
      </c>
      <c r="C30" s="3">
        <v>0.305350543480518</v>
      </c>
      <c r="D30" s="3">
        <v>0.698615469631847</v>
      </c>
      <c r="E30" s="3">
        <v>0.813466583130996</v>
      </c>
      <c r="F30" s="3">
        <v>1.01823113402655</v>
      </c>
      <c r="G30" s="3">
        <v>0.342620222493888</v>
      </c>
      <c r="H30" s="3">
        <v>1.02124545771174</v>
      </c>
      <c r="I30" s="3">
        <v>0.289382203337148</v>
      </c>
      <c r="J30" s="3">
        <v>2.91649766670478</v>
      </c>
    </row>
    <row r="31">
      <c r="A31" s="3" t="s">
        <v>5</v>
      </c>
      <c r="B31" s="3">
        <v>1.066666667</v>
      </c>
      <c r="C31" s="3">
        <v>5.0</v>
      </c>
      <c r="D31" s="3">
        <v>50.0</v>
      </c>
      <c r="E31" s="3">
        <v>31.6999999999999</v>
      </c>
      <c r="F31" s="3">
        <v>57.52589943</v>
      </c>
      <c r="G31" s="3">
        <v>7.4486</v>
      </c>
      <c r="H31" s="3">
        <v>36.17</v>
      </c>
      <c r="I31" s="3">
        <v>0.01124</v>
      </c>
      <c r="J31" s="3">
        <v>91.5092196299999</v>
      </c>
    </row>
    <row r="32">
      <c r="A32" s="3" t="s">
        <v>6</v>
      </c>
      <c r="B32" s="3">
        <v>0.6</v>
      </c>
      <c r="C32" s="3">
        <v>1.0</v>
      </c>
      <c r="D32" s="3">
        <v>10.0</v>
      </c>
      <c r="E32" s="3">
        <v>1.6</v>
      </c>
      <c r="F32" s="3">
        <v>0.0</v>
      </c>
      <c r="G32" s="3">
        <v>0.54</v>
      </c>
      <c r="H32" s="3">
        <v>0.0</v>
      </c>
      <c r="I32" s="3">
        <v>0.00255</v>
      </c>
      <c r="J32" s="3">
        <v>-4.67749855</v>
      </c>
    </row>
    <row r="33">
      <c r="A33" s="3" t="s">
        <v>7</v>
      </c>
      <c r="B33" s="3">
        <v>1.666666667</v>
      </c>
      <c r="C33" s="3">
        <v>6.0</v>
      </c>
      <c r="D33" s="3">
        <v>60.0</v>
      </c>
      <c r="E33" s="3">
        <v>33.3</v>
      </c>
      <c r="F33" s="3">
        <v>57.52589943</v>
      </c>
      <c r="G33" s="3">
        <v>7.9886</v>
      </c>
      <c r="H33" s="3">
        <v>36.17</v>
      </c>
      <c r="I33" s="3">
        <v>0.01379</v>
      </c>
      <c r="J33" s="3">
        <v>86.83172108</v>
      </c>
    </row>
    <row r="34">
      <c r="A34" s="3" t="s">
        <v>8</v>
      </c>
      <c r="B34" s="3">
        <v>441.400000045999</v>
      </c>
      <c r="C34" s="3">
        <v>1298.0</v>
      </c>
      <c r="D34" s="3">
        <v>11630.0</v>
      </c>
      <c r="E34" s="3">
        <v>4808.45</v>
      </c>
      <c r="F34" s="3">
        <v>5470.42446079599</v>
      </c>
      <c r="G34" s="3">
        <v>1530.175</v>
      </c>
      <c r="H34" s="3">
        <v>3443.52999999999</v>
      </c>
      <c r="I34" s="3">
        <v>3.1019943</v>
      </c>
      <c r="J34" s="3">
        <v>3206.429881356</v>
      </c>
    </row>
    <row r="35">
      <c r="A35" s="3" t="s">
        <v>9</v>
      </c>
      <c r="B35" s="3">
        <v>403.0</v>
      </c>
      <c r="C35" s="3">
        <v>403.0</v>
      </c>
      <c r="D35" s="3">
        <v>403.0</v>
      </c>
      <c r="E35" s="3">
        <v>403.0</v>
      </c>
      <c r="F35" s="3">
        <v>403.0</v>
      </c>
      <c r="G35" s="3">
        <v>403.0</v>
      </c>
      <c r="H35" s="3">
        <v>403.0</v>
      </c>
      <c r="I35" s="3">
        <v>403.0</v>
      </c>
      <c r="J35" s="3">
        <v>403.0</v>
      </c>
    </row>
    <row r="37">
      <c r="A37" s="3" t="str">
        <f t="array" ref="A37:J47">TRANSPOSE(A13:K22)</f>
        <v/>
      </c>
      <c r="B37" s="3" t="s">
        <v>10</v>
      </c>
      <c r="C37" s="3" t="s">
        <v>11</v>
      </c>
      <c r="D37" s="3" t="s">
        <v>12</v>
      </c>
      <c r="E37" s="3" t="s">
        <v>13</v>
      </c>
      <c r="F37" s="3" t="s">
        <v>14</v>
      </c>
      <c r="G37" s="3" t="s">
        <v>15</v>
      </c>
      <c r="H37" s="3" t="s">
        <v>16</v>
      </c>
      <c r="I37" s="3" t="s">
        <v>17</v>
      </c>
      <c r="J37" s="3" t="s">
        <v>18</v>
      </c>
    </row>
    <row r="38">
      <c r="A38" s="3" t="s">
        <v>0</v>
      </c>
      <c r="B38" s="3">
        <v>1.06336633673267</v>
      </c>
      <c r="C38" s="3">
        <v>3.36633663366336</v>
      </c>
      <c r="D38" s="3">
        <v>30.3960396039603</v>
      </c>
      <c r="E38" s="3">
        <v>13.1366336633663</v>
      </c>
      <c r="F38" s="3">
        <v>13.6828879776831</v>
      </c>
      <c r="G38" s="3">
        <v>3.98586732673267</v>
      </c>
      <c r="H38" s="3">
        <v>8.60584158415841</v>
      </c>
      <c r="I38" s="3">
        <v>0.00800366673267326</v>
      </c>
      <c r="J38" s="3">
        <v>8.90238306282178</v>
      </c>
    </row>
    <row r="39">
      <c r="A39" s="3" t="s">
        <v>1</v>
      </c>
      <c r="B39" s="3">
        <v>0.428576583482391</v>
      </c>
      <c r="C39" s="3">
        <v>1.93764172269915</v>
      </c>
      <c r="D39" s="3">
        <v>17.5454149041399</v>
      </c>
      <c r="E39" s="3">
        <v>8.57890112744374</v>
      </c>
      <c r="F39" s="3">
        <v>13.4825065756351</v>
      </c>
      <c r="G39" s="3">
        <v>2.78700168981322</v>
      </c>
      <c r="H39" s="3">
        <v>8.47471831594735</v>
      </c>
      <c r="I39" s="3">
        <v>0.00300855671379354</v>
      </c>
      <c r="J39" s="3">
        <v>18.6285752801274</v>
      </c>
    </row>
    <row r="40">
      <c r="A40" s="3" t="s">
        <v>2</v>
      </c>
      <c r="B40" s="3">
        <v>0.183677887909438</v>
      </c>
      <c r="C40" s="3">
        <v>3.75445544554456</v>
      </c>
      <c r="D40" s="3">
        <v>307.841584158415</v>
      </c>
      <c r="E40" s="3">
        <v>73.5975445544554</v>
      </c>
      <c r="F40" s="3">
        <v>181.777983562045</v>
      </c>
      <c r="G40" s="3">
        <v>7.76737841902178</v>
      </c>
      <c r="H40" s="3">
        <v>71.8208505346534</v>
      </c>
      <c r="I40" s="4">
        <v>9.05141350011221E-6</v>
      </c>
      <c r="J40" s="3">
        <v>347.023816967374</v>
      </c>
    </row>
    <row r="41">
      <c r="A41" s="3" t="s">
        <v>3</v>
      </c>
      <c r="B41" s="3">
        <v>-1.34082252771505</v>
      </c>
      <c r="C41" s="3">
        <v>-1.46950260041125</v>
      </c>
      <c r="D41" s="3">
        <v>-0.969390057434906</v>
      </c>
      <c r="E41" s="3">
        <v>-0.637858373044172</v>
      </c>
      <c r="F41" s="3">
        <v>0.708209255295042</v>
      </c>
      <c r="G41" s="3">
        <v>-1.54004791254083</v>
      </c>
      <c r="H41" s="3">
        <v>0.710180144815954</v>
      </c>
      <c r="I41" s="3">
        <v>-0.953793875436295</v>
      </c>
      <c r="J41" s="3">
        <v>7.04886254616216</v>
      </c>
    </row>
    <row r="42">
      <c r="A42" s="3" t="s">
        <v>4</v>
      </c>
      <c r="B42" s="3">
        <v>0.407955866194055</v>
      </c>
      <c r="C42" s="3">
        <v>0.170495216418677</v>
      </c>
      <c r="D42" s="3">
        <v>0.620382355253477</v>
      </c>
      <c r="E42" s="3">
        <v>0.565460472769612</v>
      </c>
      <c r="F42" s="3">
        <v>1.08568304069875</v>
      </c>
      <c r="G42" s="3">
        <v>0.351087535396495</v>
      </c>
      <c r="H42" s="3">
        <v>1.08662549335589</v>
      </c>
      <c r="I42" s="3">
        <v>0.0867450798453214</v>
      </c>
      <c r="J42" s="3">
        <v>2.62314651778999</v>
      </c>
    </row>
    <row r="43">
      <c r="A43" s="3" t="s">
        <v>5</v>
      </c>
      <c r="B43" s="3">
        <v>1.066666667</v>
      </c>
      <c r="C43" s="3">
        <v>5.0</v>
      </c>
      <c r="D43" s="3">
        <v>50.0</v>
      </c>
      <c r="E43" s="3">
        <v>31.6999999999999</v>
      </c>
      <c r="F43" s="3">
        <v>58.92547896</v>
      </c>
      <c r="G43" s="3">
        <v>7.4486</v>
      </c>
      <c r="H43" s="3">
        <v>37.05</v>
      </c>
      <c r="I43" s="3">
        <v>0.01124</v>
      </c>
      <c r="J43" s="3">
        <v>90.442954668</v>
      </c>
    </row>
    <row r="44">
      <c r="A44" s="3" t="s">
        <v>6</v>
      </c>
      <c r="B44" s="3">
        <v>0.6</v>
      </c>
      <c r="C44" s="3">
        <v>1.0</v>
      </c>
      <c r="D44" s="3">
        <v>10.0</v>
      </c>
      <c r="E44" s="3">
        <v>1.6</v>
      </c>
      <c r="F44" s="3">
        <v>0.0</v>
      </c>
      <c r="G44" s="3">
        <v>0.54</v>
      </c>
      <c r="H44" s="3">
        <v>0.0</v>
      </c>
      <c r="I44" s="3">
        <v>0.00255</v>
      </c>
      <c r="J44" s="3">
        <v>-3.611233588</v>
      </c>
    </row>
    <row r="45">
      <c r="A45" s="3" t="s">
        <v>7</v>
      </c>
      <c r="B45" s="3">
        <v>1.666666667</v>
      </c>
      <c r="C45" s="3">
        <v>6.0</v>
      </c>
      <c r="D45" s="3">
        <v>60.0</v>
      </c>
      <c r="E45" s="3">
        <v>33.3</v>
      </c>
      <c r="F45" s="3">
        <v>58.92547896</v>
      </c>
      <c r="G45" s="3">
        <v>7.9886</v>
      </c>
      <c r="H45" s="3">
        <v>37.05</v>
      </c>
      <c r="I45" s="3">
        <v>0.01379</v>
      </c>
      <c r="J45" s="3">
        <v>86.83172108</v>
      </c>
    </row>
    <row r="46">
      <c r="A46" s="3" t="s">
        <v>8</v>
      </c>
      <c r="B46" s="3">
        <v>107.40000001</v>
      </c>
      <c r="C46" s="3">
        <v>340.0</v>
      </c>
      <c r="D46" s="3">
        <v>3070.0</v>
      </c>
      <c r="E46" s="3">
        <v>1326.8</v>
      </c>
      <c r="F46" s="3">
        <v>1381.971685746</v>
      </c>
      <c r="G46" s="3">
        <v>402.572599999999</v>
      </c>
      <c r="H46" s="3">
        <v>869.189999999999</v>
      </c>
      <c r="I46" s="3">
        <v>0.80837034</v>
      </c>
      <c r="J46" s="3">
        <v>899.140689344999</v>
      </c>
    </row>
    <row r="47">
      <c r="A47" s="3" t="s">
        <v>9</v>
      </c>
      <c r="B47" s="3">
        <v>101.0</v>
      </c>
      <c r="C47" s="3">
        <v>101.0</v>
      </c>
      <c r="D47" s="3">
        <v>101.0</v>
      </c>
      <c r="E47" s="3">
        <v>101.0</v>
      </c>
      <c r="F47" s="3">
        <v>101.0</v>
      </c>
      <c r="G47" s="3">
        <v>101.0</v>
      </c>
      <c r="H47" s="3">
        <v>101.0</v>
      </c>
      <c r="I47" s="3">
        <v>101.0</v>
      </c>
      <c r="J47" s="3">
        <v>101.0</v>
      </c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>
      <c r="A2" s="1" t="s">
        <v>10</v>
      </c>
      <c r="B2" s="1">
        <v>1.09528535991563</v>
      </c>
      <c r="C2" s="1">
        <v>0.443623634714631</v>
      </c>
      <c r="D2" s="1">
        <v>0.19680192927742</v>
      </c>
      <c r="E2" s="1">
        <v>-1.53306119000954</v>
      </c>
      <c r="F2" s="1">
        <v>0.266704776600547</v>
      </c>
      <c r="G2" s="1">
        <v>1.066666667</v>
      </c>
      <c r="H2" s="1">
        <v>0.6</v>
      </c>
      <c r="I2" s="1">
        <v>1.666666667</v>
      </c>
      <c r="J2" s="1">
        <v>441.400000045999</v>
      </c>
      <c r="K2" s="1">
        <v>403.0</v>
      </c>
    </row>
    <row r="3">
      <c r="A3" s="1" t="s">
        <v>12</v>
      </c>
      <c r="B3" s="1">
        <v>28.8585607940446</v>
      </c>
      <c r="C3" s="1">
        <v>16.8084717124019</v>
      </c>
      <c r="D3" s="1">
        <v>282.524721306617</v>
      </c>
      <c r="E3" s="1">
        <v>-0.719464295008526</v>
      </c>
      <c r="F3" s="1">
        <v>0.698615469631847</v>
      </c>
      <c r="G3" s="1">
        <v>50.0</v>
      </c>
      <c r="H3" s="1">
        <v>10.0</v>
      </c>
      <c r="I3" s="1">
        <v>60.0</v>
      </c>
      <c r="J3" s="1">
        <v>11630.0</v>
      </c>
      <c r="K3" s="1">
        <v>403.0</v>
      </c>
    </row>
    <row r="4">
      <c r="A4" s="1" t="s">
        <v>19</v>
      </c>
      <c r="B4" s="1">
        <v>0.00373069975186104</v>
      </c>
      <c r="C4" s="1">
        <v>0.00307343466798678</v>
      </c>
      <c r="D4" s="2">
        <v>9.44600065838303E-6</v>
      </c>
      <c r="E4" s="1">
        <v>1.38727178845644</v>
      </c>
      <c r="F4" s="1">
        <v>1.38006273126676</v>
      </c>
      <c r="G4" s="1">
        <v>0.013365</v>
      </c>
      <c r="H4" s="1">
        <v>4.25E-4</v>
      </c>
      <c r="I4" s="1">
        <v>0.01379</v>
      </c>
      <c r="J4" s="1">
        <v>1.503472</v>
      </c>
      <c r="K4" s="1">
        <v>403.0</v>
      </c>
    </row>
    <row r="5">
      <c r="A5" s="1" t="s">
        <v>20</v>
      </c>
      <c r="B5" s="1">
        <v>25.4565103970223</v>
      </c>
      <c r="C5" s="1">
        <v>19.2983241829838</v>
      </c>
      <c r="D5" s="1">
        <v>372.425316271538</v>
      </c>
      <c r="E5" s="1">
        <v>0.713363529695056</v>
      </c>
      <c r="F5" s="1">
        <v>1.13999558008683</v>
      </c>
      <c r="G5" s="1">
        <v>81.8519999999999</v>
      </c>
      <c r="H5" s="1">
        <v>2.031</v>
      </c>
      <c r="I5" s="1">
        <v>83.883</v>
      </c>
      <c r="J5" s="1">
        <v>10258.9736899999</v>
      </c>
      <c r="K5" s="1">
        <v>403.0</v>
      </c>
    </row>
    <row r="6">
      <c r="A6" s="1" t="s">
        <v>21</v>
      </c>
      <c r="B6" s="1">
        <v>1.16779280146153</v>
      </c>
      <c r="C6" s="1">
        <v>1.07351034776896</v>
      </c>
      <c r="D6" s="1">
        <v>1.15242446676705</v>
      </c>
      <c r="E6" s="1">
        <v>0.563220424772907</v>
      </c>
      <c r="F6" s="1">
        <v>1.13270613427153</v>
      </c>
      <c r="G6" s="1">
        <v>4.653484118</v>
      </c>
      <c r="H6" s="1">
        <v>0.0</v>
      </c>
      <c r="I6" s="1">
        <v>4.653484118</v>
      </c>
      <c r="J6" s="1">
        <v>470.620498989</v>
      </c>
      <c r="K6" s="1">
        <v>403.0</v>
      </c>
    </row>
    <row r="7">
      <c r="A7" s="1" t="s">
        <v>18</v>
      </c>
      <c r="B7" s="1">
        <v>7.95640169070967</v>
      </c>
      <c r="C7" s="1">
        <v>16.9225617756237</v>
      </c>
      <c r="D7" s="1">
        <v>286.373097049803</v>
      </c>
      <c r="E7" s="1">
        <v>9.1382178981649</v>
      </c>
      <c r="F7" s="1">
        <v>2.91649766670478</v>
      </c>
      <c r="G7" s="1">
        <v>91.5092196299999</v>
      </c>
      <c r="H7" s="1">
        <v>-4.67749855</v>
      </c>
      <c r="I7" s="1">
        <v>86.83172108</v>
      </c>
      <c r="J7" s="1">
        <v>3206.429881356</v>
      </c>
      <c r="K7" s="1">
        <v>403.0</v>
      </c>
    </row>
    <row r="10">
      <c r="B10" s="1" t="s">
        <v>0</v>
      </c>
      <c r="C10" s="1" t="s">
        <v>1</v>
      </c>
      <c r="D10" s="1" t="s">
        <v>2</v>
      </c>
      <c r="E10" s="1" t="s">
        <v>3</v>
      </c>
      <c r="F10" s="1" t="s">
        <v>4</v>
      </c>
      <c r="G10" s="1" t="s">
        <v>5</v>
      </c>
      <c r="H10" s="1" t="s">
        <v>6</v>
      </c>
      <c r="I10" s="1" t="s">
        <v>7</v>
      </c>
      <c r="J10" s="1" t="s">
        <v>8</v>
      </c>
      <c r="K10" s="1" t="s">
        <v>9</v>
      </c>
    </row>
    <row r="11">
      <c r="A11" s="1" t="s">
        <v>10</v>
      </c>
      <c r="B11" s="1">
        <v>1.06336633673267</v>
      </c>
      <c r="C11" s="1">
        <v>0.428576583482391</v>
      </c>
      <c r="D11" s="1">
        <v>0.183677887909438</v>
      </c>
      <c r="E11" s="1">
        <v>-1.34082252771505</v>
      </c>
      <c r="F11" s="1">
        <v>0.407955866194055</v>
      </c>
      <c r="G11" s="1">
        <v>1.066666667</v>
      </c>
      <c r="H11" s="1">
        <v>0.6</v>
      </c>
      <c r="I11" s="1">
        <v>1.666666667</v>
      </c>
      <c r="J11" s="1">
        <v>107.40000001</v>
      </c>
      <c r="K11" s="1">
        <v>101.0</v>
      </c>
    </row>
    <row r="12">
      <c r="A12" s="1" t="s">
        <v>12</v>
      </c>
      <c r="B12" s="1">
        <v>30.3960396039603</v>
      </c>
      <c r="C12" s="1">
        <v>17.5454149041399</v>
      </c>
      <c r="D12" s="1">
        <v>307.841584158415</v>
      </c>
      <c r="E12" s="1">
        <v>-0.969390057434906</v>
      </c>
      <c r="F12" s="1">
        <v>0.620382355253477</v>
      </c>
      <c r="G12" s="1">
        <v>50.0</v>
      </c>
      <c r="H12" s="1">
        <v>10.0</v>
      </c>
      <c r="I12" s="1">
        <v>60.0</v>
      </c>
      <c r="J12" s="1">
        <v>3070.0</v>
      </c>
      <c r="K12" s="1">
        <v>101.0</v>
      </c>
    </row>
    <row r="13">
      <c r="A13" s="1" t="s">
        <v>19</v>
      </c>
      <c r="B13" s="1">
        <v>0.00366614851485148</v>
      </c>
      <c r="C13" s="1">
        <v>0.00315180739064473</v>
      </c>
      <c r="D13" s="2">
        <v>9.93388982772277E-6</v>
      </c>
      <c r="E13" s="1">
        <v>1.34436930312711</v>
      </c>
      <c r="F13" s="1">
        <v>1.49857584298364</v>
      </c>
      <c r="G13" s="1">
        <v>0.013365</v>
      </c>
      <c r="H13" s="1">
        <v>4.25E-4</v>
      </c>
      <c r="I13" s="1">
        <v>0.01379</v>
      </c>
      <c r="J13" s="1">
        <v>0.370281</v>
      </c>
      <c r="K13" s="1">
        <v>101.0</v>
      </c>
    </row>
    <row r="14">
      <c r="A14" s="1" t="s">
        <v>20</v>
      </c>
      <c r="B14" s="1">
        <v>24.5466343564356</v>
      </c>
      <c r="C14" s="1">
        <v>18.8403441443867</v>
      </c>
      <c r="D14" s="1">
        <v>354.958567478928</v>
      </c>
      <c r="E14" s="1">
        <v>1.44273229366028</v>
      </c>
      <c r="F14" s="1">
        <v>1.3377653666572</v>
      </c>
      <c r="G14" s="1">
        <v>81.8519999999999</v>
      </c>
      <c r="H14" s="1">
        <v>2.031</v>
      </c>
      <c r="I14" s="1">
        <v>83.883</v>
      </c>
      <c r="J14" s="1">
        <v>2479.21007</v>
      </c>
      <c r="K14" s="1">
        <v>101.0</v>
      </c>
    </row>
    <row r="15">
      <c r="A15" s="1" t="s">
        <v>21</v>
      </c>
      <c r="B15" s="1">
        <v>1.06665745309901</v>
      </c>
      <c r="C15" s="1">
        <v>1.04730775527728</v>
      </c>
      <c r="D15" s="1">
        <v>1.09685353426395</v>
      </c>
      <c r="E15" s="1">
        <v>0.999728403768411</v>
      </c>
      <c r="F15" s="1">
        <v>1.17901178024986</v>
      </c>
      <c r="G15" s="1">
        <v>4.714038317</v>
      </c>
      <c r="H15" s="1">
        <v>0.0</v>
      </c>
      <c r="I15" s="1">
        <v>4.714038317</v>
      </c>
      <c r="J15" s="1">
        <v>107.732402763</v>
      </c>
      <c r="K15" s="1">
        <v>101.0</v>
      </c>
    </row>
    <row r="16">
      <c r="A16" s="1" t="s">
        <v>18</v>
      </c>
      <c r="B16" s="1">
        <v>8.90238306282178</v>
      </c>
      <c r="C16" s="1">
        <v>18.6285752801274</v>
      </c>
      <c r="D16" s="1">
        <v>347.023816967374</v>
      </c>
      <c r="E16" s="1">
        <v>7.04886254616216</v>
      </c>
      <c r="F16" s="1">
        <v>2.62314651778999</v>
      </c>
      <c r="G16" s="1">
        <v>90.442954668</v>
      </c>
      <c r="H16" s="1">
        <v>-3.611233588</v>
      </c>
      <c r="I16" s="1">
        <v>86.83172108</v>
      </c>
      <c r="J16" s="1">
        <v>899.140689344999</v>
      </c>
      <c r="K16" s="1">
        <v>101.0</v>
      </c>
    </row>
    <row r="18">
      <c r="A18" s="3" t="str">
        <f t="array" ref="A18:G28">TRANSPOSE(A10:K16)</f>
        <v/>
      </c>
      <c r="B18" s="3" t="s">
        <v>10</v>
      </c>
      <c r="C18" s="3" t="s">
        <v>12</v>
      </c>
      <c r="D18" s="3" t="s">
        <v>19</v>
      </c>
      <c r="E18" s="3" t="s">
        <v>20</v>
      </c>
      <c r="F18" s="3" t="s">
        <v>21</v>
      </c>
      <c r="G18" s="3" t="s">
        <v>18</v>
      </c>
    </row>
    <row r="19">
      <c r="A19" s="3" t="s">
        <v>0</v>
      </c>
      <c r="B19" s="3">
        <v>1.06336633673267</v>
      </c>
      <c r="C19" s="3">
        <v>30.3960396039603</v>
      </c>
      <c r="D19" s="3">
        <v>0.00366614851485148</v>
      </c>
      <c r="E19" s="3">
        <v>24.5466343564356</v>
      </c>
      <c r="F19" s="3">
        <v>1.06665745309901</v>
      </c>
      <c r="G19" s="3">
        <v>8.90238306282178</v>
      </c>
    </row>
    <row r="20">
      <c r="A20" s="3" t="s">
        <v>1</v>
      </c>
      <c r="B20" s="3">
        <v>0.428576583482391</v>
      </c>
      <c r="C20" s="3">
        <v>17.5454149041399</v>
      </c>
      <c r="D20" s="3">
        <v>0.00315180739064473</v>
      </c>
      <c r="E20" s="3">
        <v>18.8403441443867</v>
      </c>
      <c r="F20" s="3">
        <v>1.04730775527728</v>
      </c>
      <c r="G20" s="3">
        <v>18.6285752801274</v>
      </c>
    </row>
    <row r="21">
      <c r="A21" s="3" t="s">
        <v>2</v>
      </c>
      <c r="B21" s="3">
        <v>0.183677887909438</v>
      </c>
      <c r="C21" s="3">
        <v>307.841584158415</v>
      </c>
      <c r="D21" s="4">
        <v>9.93388982772277E-6</v>
      </c>
      <c r="E21" s="3">
        <v>354.958567478928</v>
      </c>
      <c r="F21" s="3">
        <v>1.09685353426395</v>
      </c>
      <c r="G21" s="3">
        <v>347.023816967374</v>
      </c>
    </row>
    <row r="22">
      <c r="A22" s="3" t="s">
        <v>3</v>
      </c>
      <c r="B22" s="3">
        <v>-1.34082252771505</v>
      </c>
      <c r="C22" s="3">
        <v>-0.969390057434906</v>
      </c>
      <c r="D22" s="3">
        <v>1.34436930312711</v>
      </c>
      <c r="E22" s="3">
        <v>1.44273229366028</v>
      </c>
      <c r="F22" s="3">
        <v>0.999728403768411</v>
      </c>
      <c r="G22" s="3">
        <v>7.04886254616216</v>
      </c>
    </row>
    <row r="23">
      <c r="A23" s="3" t="s">
        <v>4</v>
      </c>
      <c r="B23" s="3">
        <v>0.407955866194055</v>
      </c>
      <c r="C23" s="3">
        <v>0.620382355253477</v>
      </c>
      <c r="D23" s="3">
        <v>1.49857584298364</v>
      </c>
      <c r="E23" s="3">
        <v>1.3377653666572</v>
      </c>
      <c r="F23" s="3">
        <v>1.17901178024986</v>
      </c>
      <c r="G23" s="3">
        <v>2.62314651778999</v>
      </c>
    </row>
    <row r="24">
      <c r="A24" s="3" t="s">
        <v>5</v>
      </c>
      <c r="B24" s="3">
        <v>1.066666667</v>
      </c>
      <c r="C24" s="3">
        <v>50.0</v>
      </c>
      <c r="D24" s="3">
        <v>0.013365</v>
      </c>
      <c r="E24" s="3">
        <v>81.8519999999999</v>
      </c>
      <c r="F24" s="3">
        <v>4.714038317</v>
      </c>
      <c r="G24" s="3">
        <v>90.442954668</v>
      </c>
    </row>
    <row r="25">
      <c r="A25" s="3" t="s">
        <v>6</v>
      </c>
      <c r="B25" s="3">
        <v>0.6</v>
      </c>
      <c r="C25" s="3">
        <v>10.0</v>
      </c>
      <c r="D25" s="3">
        <v>4.25E-4</v>
      </c>
      <c r="E25" s="3">
        <v>2.031</v>
      </c>
      <c r="F25" s="3">
        <v>0.0</v>
      </c>
      <c r="G25" s="3">
        <v>-3.611233588</v>
      </c>
    </row>
    <row r="26">
      <c r="A26" s="3" t="s">
        <v>7</v>
      </c>
      <c r="B26" s="3">
        <v>1.666666667</v>
      </c>
      <c r="C26" s="3">
        <v>60.0</v>
      </c>
      <c r="D26" s="3">
        <v>0.01379</v>
      </c>
      <c r="E26" s="3">
        <v>83.883</v>
      </c>
      <c r="F26" s="3">
        <v>4.714038317</v>
      </c>
      <c r="G26" s="3">
        <v>86.83172108</v>
      </c>
    </row>
    <row r="27">
      <c r="A27" s="3" t="s">
        <v>8</v>
      </c>
      <c r="B27" s="3">
        <v>107.40000001</v>
      </c>
      <c r="C27" s="3">
        <v>3070.0</v>
      </c>
      <c r="D27" s="3">
        <v>0.370281</v>
      </c>
      <c r="E27" s="3">
        <v>2479.21007</v>
      </c>
      <c r="F27" s="3">
        <v>107.732402763</v>
      </c>
      <c r="G27" s="3">
        <v>899.140689344999</v>
      </c>
    </row>
    <row r="28">
      <c r="A28" s="3" t="s">
        <v>9</v>
      </c>
      <c r="B28" s="3">
        <v>101.0</v>
      </c>
      <c r="C28" s="3">
        <v>101.0</v>
      </c>
      <c r="D28" s="3">
        <v>101.0</v>
      </c>
      <c r="E28" s="3">
        <v>101.0</v>
      </c>
      <c r="F28" s="3">
        <v>101.0</v>
      </c>
      <c r="G28" s="3">
        <v>101.0</v>
      </c>
    </row>
    <row r="30">
      <c r="A30" s="3" t="str">
        <f t="array" ref="A30:G40">TRANSPOSE(A1:K7)</f>
        <v/>
      </c>
      <c r="B30" s="3" t="s">
        <v>10</v>
      </c>
      <c r="C30" s="3" t="s">
        <v>12</v>
      </c>
      <c r="D30" s="3" t="s">
        <v>19</v>
      </c>
      <c r="E30" s="3" t="s">
        <v>20</v>
      </c>
      <c r="F30" s="3" t="s">
        <v>21</v>
      </c>
      <c r="G30" s="3" t="s">
        <v>18</v>
      </c>
    </row>
    <row r="31">
      <c r="A31" s="3" t="s">
        <v>0</v>
      </c>
      <c r="B31" s="3">
        <v>1.09528535991563</v>
      </c>
      <c r="C31" s="3">
        <v>28.8585607940446</v>
      </c>
      <c r="D31" s="3">
        <v>0.00373069975186104</v>
      </c>
      <c r="E31" s="3">
        <v>25.4565103970223</v>
      </c>
      <c r="F31" s="3">
        <v>1.16779280146153</v>
      </c>
      <c r="G31" s="3">
        <v>7.95640169070967</v>
      </c>
    </row>
    <row r="32">
      <c r="A32" s="3" t="s">
        <v>1</v>
      </c>
      <c r="B32" s="3">
        <v>0.443623634714631</v>
      </c>
      <c r="C32" s="3">
        <v>16.8084717124019</v>
      </c>
      <c r="D32" s="3">
        <v>0.00307343466798678</v>
      </c>
      <c r="E32" s="3">
        <v>19.2983241829838</v>
      </c>
      <c r="F32" s="3">
        <v>1.07351034776896</v>
      </c>
      <c r="G32" s="3">
        <v>16.9225617756237</v>
      </c>
    </row>
    <row r="33">
      <c r="A33" s="3" t="s">
        <v>2</v>
      </c>
      <c r="B33" s="3">
        <v>0.19680192927742</v>
      </c>
      <c r="C33" s="3">
        <v>282.524721306617</v>
      </c>
      <c r="D33" s="4">
        <v>9.44600065838303E-6</v>
      </c>
      <c r="E33" s="3">
        <v>372.425316271538</v>
      </c>
      <c r="F33" s="3">
        <v>1.15242446676705</v>
      </c>
      <c r="G33" s="3">
        <v>286.373097049803</v>
      </c>
    </row>
    <row r="34">
      <c r="A34" s="3" t="s">
        <v>3</v>
      </c>
      <c r="B34" s="3">
        <v>-1.53306119000954</v>
      </c>
      <c r="C34" s="3">
        <v>-0.719464295008526</v>
      </c>
      <c r="D34" s="3">
        <v>1.38727178845644</v>
      </c>
      <c r="E34" s="3">
        <v>0.713363529695056</v>
      </c>
      <c r="F34" s="3">
        <v>0.563220424772907</v>
      </c>
      <c r="G34" s="3">
        <v>9.1382178981649</v>
      </c>
    </row>
    <row r="35">
      <c r="A35" s="3" t="s">
        <v>4</v>
      </c>
      <c r="B35" s="3">
        <v>0.266704776600547</v>
      </c>
      <c r="C35" s="3">
        <v>0.698615469631847</v>
      </c>
      <c r="D35" s="3">
        <v>1.38006273126676</v>
      </c>
      <c r="E35" s="3">
        <v>1.13999558008683</v>
      </c>
      <c r="F35" s="3">
        <v>1.13270613427153</v>
      </c>
      <c r="G35" s="3">
        <v>2.91649766670478</v>
      </c>
    </row>
    <row r="36">
      <c r="A36" s="3" t="s">
        <v>5</v>
      </c>
      <c r="B36" s="3">
        <v>1.066666667</v>
      </c>
      <c r="C36" s="3">
        <v>50.0</v>
      </c>
      <c r="D36" s="3">
        <v>0.013365</v>
      </c>
      <c r="E36" s="3">
        <v>81.8519999999999</v>
      </c>
      <c r="F36" s="3">
        <v>4.653484118</v>
      </c>
      <c r="G36" s="3">
        <v>91.5092196299999</v>
      </c>
    </row>
    <row r="37">
      <c r="A37" s="3" t="s">
        <v>6</v>
      </c>
      <c r="B37" s="3">
        <v>0.6</v>
      </c>
      <c r="C37" s="3">
        <v>10.0</v>
      </c>
      <c r="D37" s="3">
        <v>4.25E-4</v>
      </c>
      <c r="E37" s="3">
        <v>2.031</v>
      </c>
      <c r="F37" s="3">
        <v>0.0</v>
      </c>
      <c r="G37" s="3">
        <v>-4.67749855</v>
      </c>
    </row>
    <row r="38">
      <c r="A38" s="3" t="s">
        <v>7</v>
      </c>
      <c r="B38" s="3">
        <v>1.666666667</v>
      </c>
      <c r="C38" s="3">
        <v>60.0</v>
      </c>
      <c r="D38" s="3">
        <v>0.01379</v>
      </c>
      <c r="E38" s="3">
        <v>83.883</v>
      </c>
      <c r="F38" s="3">
        <v>4.653484118</v>
      </c>
      <c r="G38" s="3">
        <v>86.83172108</v>
      </c>
    </row>
    <row r="39">
      <c r="A39" s="3" t="s">
        <v>8</v>
      </c>
      <c r="B39" s="3">
        <v>441.400000045999</v>
      </c>
      <c r="C39" s="3">
        <v>11630.0</v>
      </c>
      <c r="D39" s="3">
        <v>1.503472</v>
      </c>
      <c r="E39" s="3">
        <v>10258.9736899999</v>
      </c>
      <c r="F39" s="3">
        <v>470.620498989</v>
      </c>
      <c r="G39" s="3">
        <v>3206.429881356</v>
      </c>
    </row>
    <row r="40">
      <c r="A40" s="3" t="s">
        <v>9</v>
      </c>
      <c r="B40" s="3">
        <v>403.0</v>
      </c>
      <c r="C40" s="3">
        <v>403.0</v>
      </c>
      <c r="D40" s="3">
        <v>403.0</v>
      </c>
      <c r="E40" s="3">
        <v>403.0</v>
      </c>
      <c r="F40" s="3">
        <v>403.0</v>
      </c>
      <c r="G40" s="3">
        <v>403.0</v>
      </c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5" t="s">
        <v>22</v>
      </c>
      <c r="B1" s="6" t="s">
        <v>10</v>
      </c>
      <c r="C1" s="6" t="s">
        <v>12</v>
      </c>
      <c r="D1" s="6" t="s">
        <v>19</v>
      </c>
      <c r="E1" s="6" t="s">
        <v>20</v>
      </c>
      <c r="F1" s="6" t="s">
        <v>21</v>
      </c>
      <c r="G1" s="6" t="s">
        <v>18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5" t="s">
        <v>23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 t="s">
        <v>0</v>
      </c>
      <c r="B3" s="6">
        <v>1.09528535991563</v>
      </c>
      <c r="C3" s="6">
        <v>28.8585607940446</v>
      </c>
      <c r="D3" s="6">
        <v>0.00373069975186104</v>
      </c>
      <c r="E3" s="6">
        <v>25.4565103970223</v>
      </c>
      <c r="F3" s="6">
        <v>1.16779280146153</v>
      </c>
      <c r="G3" s="6">
        <v>7.95640169070967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 t="s">
        <v>1</v>
      </c>
      <c r="B4" s="6">
        <v>0.443623634714631</v>
      </c>
      <c r="C4" s="6">
        <v>16.8084717124019</v>
      </c>
      <c r="D4" s="6">
        <v>0.00307343466798678</v>
      </c>
      <c r="E4" s="6">
        <v>19.2983241829838</v>
      </c>
      <c r="F4" s="6">
        <v>1.07351034776896</v>
      </c>
      <c r="G4" s="6">
        <v>16.9225617756237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 t="s">
        <v>2</v>
      </c>
      <c r="B5" s="6">
        <v>0.19680192927742</v>
      </c>
      <c r="C5" s="6">
        <v>282.524721306617</v>
      </c>
      <c r="D5" s="6">
        <v>9.44600065838303E-6</v>
      </c>
      <c r="E5" s="6">
        <v>372.425316271538</v>
      </c>
      <c r="F5" s="6">
        <v>1.15242446676705</v>
      </c>
      <c r="G5" s="6">
        <v>286.373097049803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 t="s">
        <v>3</v>
      </c>
      <c r="B6" s="6">
        <v>-1.53306119000954</v>
      </c>
      <c r="C6" s="6">
        <v>-0.719464295008526</v>
      </c>
      <c r="D6" s="6">
        <v>1.38727178845644</v>
      </c>
      <c r="E6" s="6">
        <v>0.713363529695056</v>
      </c>
      <c r="F6" s="6">
        <v>0.563220424772907</v>
      </c>
      <c r="G6" s="6">
        <v>9.1382178981649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 t="s">
        <v>4</v>
      </c>
      <c r="B7" s="6">
        <v>0.266704776600547</v>
      </c>
      <c r="C7" s="6">
        <v>0.698615469631847</v>
      </c>
      <c r="D7" s="6">
        <v>1.38006273126676</v>
      </c>
      <c r="E7" s="6">
        <v>1.13999558008683</v>
      </c>
      <c r="F7" s="6">
        <v>1.13270613427153</v>
      </c>
      <c r="G7" s="6">
        <v>2.91649766670478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 t="s">
        <v>5</v>
      </c>
      <c r="B8" s="6">
        <v>1.066666667</v>
      </c>
      <c r="C8" s="6">
        <v>50.0</v>
      </c>
      <c r="D8" s="6">
        <v>0.013365</v>
      </c>
      <c r="E8" s="6">
        <v>81.8519999999999</v>
      </c>
      <c r="F8" s="6">
        <v>4.653484118</v>
      </c>
      <c r="G8" s="6">
        <v>91.5092196299999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 t="s">
        <v>6</v>
      </c>
      <c r="B9" s="6">
        <v>0.6</v>
      </c>
      <c r="C9" s="6">
        <v>10.0</v>
      </c>
      <c r="D9" s="6">
        <v>4.25E-4</v>
      </c>
      <c r="E9" s="6">
        <v>2.031</v>
      </c>
      <c r="F9" s="6">
        <v>0.0</v>
      </c>
      <c r="G9" s="6">
        <v>-4.67749855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 t="s">
        <v>7</v>
      </c>
      <c r="B10" s="6">
        <v>1.666666667</v>
      </c>
      <c r="C10" s="6">
        <v>60.0</v>
      </c>
      <c r="D10" s="6">
        <v>0.01379</v>
      </c>
      <c r="E10" s="6">
        <v>83.883</v>
      </c>
      <c r="F10" s="6">
        <v>4.653484118</v>
      </c>
      <c r="G10" s="6">
        <v>86.83172108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 t="s">
        <v>8</v>
      </c>
      <c r="B11" s="6">
        <v>441.400000045999</v>
      </c>
      <c r="C11" s="6">
        <v>11630.0</v>
      </c>
      <c r="D11" s="6">
        <v>1.503472</v>
      </c>
      <c r="E11" s="6">
        <v>10258.9736899999</v>
      </c>
      <c r="F11" s="6">
        <v>470.620498989</v>
      </c>
      <c r="G11" s="6">
        <v>3206.429881356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 t="s">
        <v>9</v>
      </c>
      <c r="B12" s="6">
        <v>403.0</v>
      </c>
      <c r="C12" s="6">
        <v>403.0</v>
      </c>
      <c r="D12" s="6">
        <v>403.0</v>
      </c>
      <c r="E12" s="6">
        <v>403.0</v>
      </c>
      <c r="F12" s="6">
        <v>403.0</v>
      </c>
      <c r="G12" s="6">
        <v>403.0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5" t="s">
        <v>24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 t="s">
        <v>0</v>
      </c>
      <c r="B14" s="6">
        <v>1.06336633673267</v>
      </c>
      <c r="C14" s="6">
        <v>30.3960396039603</v>
      </c>
      <c r="D14" s="6">
        <v>0.00366614851485148</v>
      </c>
      <c r="E14" s="6">
        <v>24.5466343564356</v>
      </c>
      <c r="F14" s="6">
        <v>1.06665745309901</v>
      </c>
      <c r="G14" s="6">
        <v>8.90238306282178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 t="s">
        <v>1</v>
      </c>
      <c r="B15" s="6">
        <v>0.428576583482391</v>
      </c>
      <c r="C15" s="6">
        <v>17.5454149041399</v>
      </c>
      <c r="D15" s="6">
        <v>0.00315180739064473</v>
      </c>
      <c r="E15" s="6">
        <v>18.8403441443867</v>
      </c>
      <c r="F15" s="6">
        <v>1.04730775527728</v>
      </c>
      <c r="G15" s="6">
        <v>18.6285752801274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 t="s">
        <v>2</v>
      </c>
      <c r="B16" s="6">
        <v>0.183677887909438</v>
      </c>
      <c r="C16" s="6">
        <v>307.841584158415</v>
      </c>
      <c r="D16" s="6">
        <v>9.93388982772277E-6</v>
      </c>
      <c r="E16" s="6">
        <v>354.958567478928</v>
      </c>
      <c r="F16" s="6">
        <v>1.09685353426395</v>
      </c>
      <c r="G16" s="6">
        <v>347.023816967374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 t="s">
        <v>3</v>
      </c>
      <c r="B17" s="6">
        <v>-1.34082252771505</v>
      </c>
      <c r="C17" s="6">
        <v>-0.969390057434906</v>
      </c>
      <c r="D17" s="6">
        <v>1.34436930312711</v>
      </c>
      <c r="E17" s="6">
        <v>1.44273229366028</v>
      </c>
      <c r="F17" s="6">
        <v>0.999728403768411</v>
      </c>
      <c r="G17" s="6">
        <v>7.04886254616216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 t="s">
        <v>4</v>
      </c>
      <c r="B18" s="6">
        <v>0.407955866194055</v>
      </c>
      <c r="C18" s="6">
        <v>0.620382355253477</v>
      </c>
      <c r="D18" s="6">
        <v>1.49857584298364</v>
      </c>
      <c r="E18" s="6">
        <v>1.3377653666572</v>
      </c>
      <c r="F18" s="6">
        <v>1.17901178024986</v>
      </c>
      <c r="G18" s="6">
        <v>2.62314651778999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 t="s">
        <v>5</v>
      </c>
      <c r="B19" s="6">
        <v>1.066666667</v>
      </c>
      <c r="C19" s="6">
        <v>50.0</v>
      </c>
      <c r="D19" s="6">
        <v>0.013365</v>
      </c>
      <c r="E19" s="6">
        <v>81.8519999999999</v>
      </c>
      <c r="F19" s="6">
        <v>4.714038317</v>
      </c>
      <c r="G19" s="6">
        <v>90.442954668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 t="s">
        <v>6</v>
      </c>
      <c r="B20" s="6">
        <v>0.6</v>
      </c>
      <c r="C20" s="6">
        <v>10.0</v>
      </c>
      <c r="D20" s="6">
        <v>4.25E-4</v>
      </c>
      <c r="E20" s="6">
        <v>2.031</v>
      </c>
      <c r="F20" s="6">
        <v>0.0</v>
      </c>
      <c r="G20" s="6">
        <v>-3.611233588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 t="s">
        <v>7</v>
      </c>
      <c r="B21" s="6">
        <v>1.666666667</v>
      </c>
      <c r="C21" s="6">
        <v>60.0</v>
      </c>
      <c r="D21" s="6">
        <v>0.01379</v>
      </c>
      <c r="E21" s="6">
        <v>83.883</v>
      </c>
      <c r="F21" s="6">
        <v>4.714038317</v>
      </c>
      <c r="G21" s="6">
        <v>86.83172108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 t="s">
        <v>8</v>
      </c>
      <c r="B22" s="6">
        <v>107.40000001</v>
      </c>
      <c r="C22" s="6">
        <v>3070.0</v>
      </c>
      <c r="D22" s="6">
        <v>0.370281</v>
      </c>
      <c r="E22" s="6">
        <v>2479.21007</v>
      </c>
      <c r="F22" s="6">
        <v>107.732402763</v>
      </c>
      <c r="G22" s="6">
        <v>899.140689344999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 t="s">
        <v>9</v>
      </c>
      <c r="B23" s="6">
        <v>101.0</v>
      </c>
      <c r="C23" s="6">
        <v>101.0</v>
      </c>
      <c r="D23" s="6">
        <v>101.0</v>
      </c>
      <c r="E23" s="6">
        <v>101.0</v>
      </c>
      <c r="F23" s="6">
        <v>101.0</v>
      </c>
      <c r="G23" s="6">
        <v>101.0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5" t="s">
        <v>22</v>
      </c>
      <c r="B1" s="6" t="s">
        <v>10</v>
      </c>
      <c r="C1" s="5" t="s">
        <v>25</v>
      </c>
      <c r="D1" s="5" t="s">
        <v>26</v>
      </c>
      <c r="E1" s="7" t="s">
        <v>27</v>
      </c>
      <c r="F1" s="5" t="s">
        <v>28</v>
      </c>
      <c r="G1" s="5" t="s">
        <v>29</v>
      </c>
      <c r="H1" s="5" t="s">
        <v>30</v>
      </c>
      <c r="I1" s="5" t="s">
        <v>31</v>
      </c>
      <c r="J1" s="6" t="s">
        <v>18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5" t="s">
        <v>32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 t="s">
        <v>0</v>
      </c>
      <c r="B3" s="6">
        <v>1.09528535991563</v>
      </c>
      <c r="C3" s="6">
        <v>3.22084367245657</v>
      </c>
      <c r="D3" s="6">
        <v>28.8585607940446</v>
      </c>
      <c r="E3" s="6">
        <v>11.9316377171215</v>
      </c>
      <c r="F3" s="6">
        <v>13.5742542451513</v>
      </c>
      <c r="G3" s="6">
        <v>3.79696029776675</v>
      </c>
      <c r="H3" s="6">
        <v>8.54473945409429</v>
      </c>
      <c r="I3" s="6">
        <v>0.00769725632754342</v>
      </c>
      <c r="J3" s="6">
        <v>7.95640169070967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 t="s">
        <v>1</v>
      </c>
      <c r="B4" s="6">
        <v>0.443623634714631</v>
      </c>
      <c r="C4" s="6">
        <v>1.91961912756252</v>
      </c>
      <c r="D4" s="6">
        <v>16.8084717124019</v>
      </c>
      <c r="E4" s="6">
        <v>7.54206843751671</v>
      </c>
      <c r="F4" s="6">
        <v>12.9908290963638</v>
      </c>
      <c r="G4" s="6">
        <v>2.65603832953744</v>
      </c>
      <c r="H4" s="6">
        <v>8.15893052931545</v>
      </c>
      <c r="I4" s="6">
        <v>0.00308925138869961</v>
      </c>
      <c r="J4" s="6">
        <v>16.9225617756237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 t="s">
        <v>2</v>
      </c>
      <c r="B5" s="6">
        <v>0.19680192927742</v>
      </c>
      <c r="C5" s="6">
        <v>3.68493759490389</v>
      </c>
      <c r="D5" s="6">
        <v>282.524721306617</v>
      </c>
      <c r="E5" s="6">
        <v>56.8827963161858</v>
      </c>
      <c r="F5" s="6">
        <v>168.761640610934</v>
      </c>
      <c r="G5" s="6">
        <v>7.05453960797203</v>
      </c>
      <c r="H5" s="6">
        <v>66.5681473821957</v>
      </c>
      <c r="I5" s="6">
        <v>9.54347414258249E-6</v>
      </c>
      <c r="J5" s="6">
        <v>286.373097049803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 t="s">
        <v>3</v>
      </c>
      <c r="B6" s="6">
        <v>-1.53306119000954</v>
      </c>
      <c r="C6" s="6">
        <v>-1.41096739294477</v>
      </c>
      <c r="D6" s="6">
        <v>-0.719464295008526</v>
      </c>
      <c r="E6" s="6">
        <v>-0.0482438337653463</v>
      </c>
      <c r="F6" s="6">
        <v>0.20023671262482</v>
      </c>
      <c r="G6" s="6">
        <v>-1.46601251691061</v>
      </c>
      <c r="H6" s="6">
        <v>0.20577139995001</v>
      </c>
      <c r="I6" s="6">
        <v>-0.718904688618573</v>
      </c>
      <c r="J6" s="6">
        <v>9.1382178981649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 t="s">
        <v>4</v>
      </c>
      <c r="B7" s="6">
        <v>0.266704776600547</v>
      </c>
      <c r="C7" s="6">
        <v>0.305350543480518</v>
      </c>
      <c r="D7" s="6">
        <v>0.698615469631847</v>
      </c>
      <c r="E7" s="6">
        <v>0.813466583130996</v>
      </c>
      <c r="F7" s="6">
        <v>1.01823113402655</v>
      </c>
      <c r="G7" s="6">
        <v>0.342620222493888</v>
      </c>
      <c r="H7" s="6">
        <v>1.02124545771174</v>
      </c>
      <c r="I7" s="6">
        <v>0.289382203337148</v>
      </c>
      <c r="J7" s="6">
        <v>2.91649766670478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 t="s">
        <v>5</v>
      </c>
      <c r="B8" s="6">
        <v>1.066666667</v>
      </c>
      <c r="C8" s="6">
        <v>5.0</v>
      </c>
      <c r="D8" s="6">
        <v>50.0</v>
      </c>
      <c r="E8" s="6">
        <v>31.6999999999999</v>
      </c>
      <c r="F8" s="6">
        <v>57.52589943</v>
      </c>
      <c r="G8" s="6">
        <v>7.4486</v>
      </c>
      <c r="H8" s="6">
        <v>36.17</v>
      </c>
      <c r="I8" s="6">
        <v>0.01124</v>
      </c>
      <c r="J8" s="6">
        <v>91.5092196299999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 t="s">
        <v>6</v>
      </c>
      <c r="B9" s="6">
        <v>0.6</v>
      </c>
      <c r="C9" s="6">
        <v>1.0</v>
      </c>
      <c r="D9" s="6">
        <v>10.0</v>
      </c>
      <c r="E9" s="6">
        <v>1.6</v>
      </c>
      <c r="F9" s="6">
        <v>0.0</v>
      </c>
      <c r="G9" s="6">
        <v>0.54</v>
      </c>
      <c r="H9" s="6">
        <v>0.0</v>
      </c>
      <c r="I9" s="6">
        <v>0.00255</v>
      </c>
      <c r="J9" s="6">
        <v>-4.67749855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 t="s">
        <v>7</v>
      </c>
      <c r="B10" s="6">
        <v>1.666666667</v>
      </c>
      <c r="C10" s="6">
        <v>6.0</v>
      </c>
      <c r="D10" s="6">
        <v>60.0</v>
      </c>
      <c r="E10" s="6">
        <v>33.3</v>
      </c>
      <c r="F10" s="6">
        <v>57.52589943</v>
      </c>
      <c r="G10" s="6">
        <v>7.9886</v>
      </c>
      <c r="H10" s="6">
        <v>36.17</v>
      </c>
      <c r="I10" s="6">
        <v>0.01379</v>
      </c>
      <c r="J10" s="6">
        <v>86.83172108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 t="s">
        <v>8</v>
      </c>
      <c r="B11" s="6">
        <v>441.400000045999</v>
      </c>
      <c r="C11" s="6">
        <v>1298.0</v>
      </c>
      <c r="D11" s="6">
        <v>11630.0</v>
      </c>
      <c r="E11" s="6">
        <v>4808.45</v>
      </c>
      <c r="F11" s="6">
        <v>5470.42446079599</v>
      </c>
      <c r="G11" s="6">
        <v>1530.175</v>
      </c>
      <c r="H11" s="6">
        <v>3443.52999999999</v>
      </c>
      <c r="I11" s="6">
        <v>3.1019943</v>
      </c>
      <c r="J11" s="6">
        <v>3206.429881356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 t="s">
        <v>9</v>
      </c>
      <c r="B12" s="6">
        <v>403.0</v>
      </c>
      <c r="C12" s="6">
        <v>403.0</v>
      </c>
      <c r="D12" s="6">
        <v>403.0</v>
      </c>
      <c r="E12" s="6">
        <v>403.0</v>
      </c>
      <c r="F12" s="6">
        <v>403.0</v>
      </c>
      <c r="G12" s="6">
        <v>403.0</v>
      </c>
      <c r="H12" s="6">
        <v>403.0</v>
      </c>
      <c r="I12" s="6">
        <v>403.0</v>
      </c>
      <c r="J12" s="6">
        <v>403.0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6"/>
      <c r="F13" s="5" t="s">
        <v>33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 t="s">
        <v>0</v>
      </c>
      <c r="B14" s="6">
        <v>1.06336633673267</v>
      </c>
      <c r="C14" s="6">
        <v>3.36633663366336</v>
      </c>
      <c r="D14" s="6">
        <v>30.3960396039603</v>
      </c>
      <c r="E14" s="6">
        <v>13.1366336633663</v>
      </c>
      <c r="F14" s="6">
        <v>13.6828879776831</v>
      </c>
      <c r="G14" s="6">
        <v>3.98586732673267</v>
      </c>
      <c r="H14" s="6">
        <v>8.60584158415841</v>
      </c>
      <c r="I14" s="6">
        <v>0.00800366673267326</v>
      </c>
      <c r="J14" s="6">
        <v>8.90238306282178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 t="s">
        <v>1</v>
      </c>
      <c r="B15" s="6">
        <v>0.428576583482391</v>
      </c>
      <c r="C15" s="6">
        <v>1.93764172269915</v>
      </c>
      <c r="D15" s="6">
        <v>17.5454149041399</v>
      </c>
      <c r="E15" s="6">
        <v>8.57890112744374</v>
      </c>
      <c r="F15" s="6">
        <v>13.4825065756351</v>
      </c>
      <c r="G15" s="6">
        <v>2.78700168981322</v>
      </c>
      <c r="H15" s="6">
        <v>8.47471831594735</v>
      </c>
      <c r="I15" s="6">
        <v>0.00300855671379354</v>
      </c>
      <c r="J15" s="6">
        <v>18.6285752801274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 t="s">
        <v>2</v>
      </c>
      <c r="B16" s="6">
        <v>0.183677887909438</v>
      </c>
      <c r="C16" s="6">
        <v>3.75445544554456</v>
      </c>
      <c r="D16" s="6">
        <v>307.841584158415</v>
      </c>
      <c r="E16" s="6">
        <v>73.5975445544554</v>
      </c>
      <c r="F16" s="6">
        <v>181.777983562045</v>
      </c>
      <c r="G16" s="6">
        <v>7.76737841902178</v>
      </c>
      <c r="H16" s="6">
        <v>71.8208505346534</v>
      </c>
      <c r="I16" s="6">
        <v>9.05141350011221E-6</v>
      </c>
      <c r="J16" s="6">
        <v>347.023816967374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 t="s">
        <v>3</v>
      </c>
      <c r="B17" s="6">
        <v>-1.34082252771505</v>
      </c>
      <c r="C17" s="6">
        <v>-1.46950260041125</v>
      </c>
      <c r="D17" s="6">
        <v>-0.969390057434906</v>
      </c>
      <c r="E17" s="6">
        <v>-0.637858373044172</v>
      </c>
      <c r="F17" s="6">
        <v>0.708209255295042</v>
      </c>
      <c r="G17" s="6">
        <v>-1.54004791254083</v>
      </c>
      <c r="H17" s="6">
        <v>0.710180144815954</v>
      </c>
      <c r="I17" s="6">
        <v>-0.953793875436295</v>
      </c>
      <c r="J17" s="6">
        <v>7.04886254616216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 t="s">
        <v>4</v>
      </c>
      <c r="B18" s="6">
        <v>0.407955866194055</v>
      </c>
      <c r="C18" s="6">
        <v>0.170495216418677</v>
      </c>
      <c r="D18" s="6">
        <v>0.620382355253477</v>
      </c>
      <c r="E18" s="6">
        <v>0.565460472769612</v>
      </c>
      <c r="F18" s="6">
        <v>1.08568304069875</v>
      </c>
      <c r="G18" s="6">
        <v>0.351087535396495</v>
      </c>
      <c r="H18" s="6">
        <v>1.08662549335589</v>
      </c>
      <c r="I18" s="6">
        <v>0.0867450798453214</v>
      </c>
      <c r="J18" s="6">
        <v>2.62314651778999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 t="s">
        <v>5</v>
      </c>
      <c r="B19" s="6">
        <v>1.066666667</v>
      </c>
      <c r="C19" s="6">
        <v>5.0</v>
      </c>
      <c r="D19" s="6">
        <v>50.0</v>
      </c>
      <c r="E19" s="6">
        <v>31.6999999999999</v>
      </c>
      <c r="F19" s="6">
        <v>58.92547896</v>
      </c>
      <c r="G19" s="6">
        <v>7.4486</v>
      </c>
      <c r="H19" s="6">
        <v>37.05</v>
      </c>
      <c r="I19" s="6">
        <v>0.01124</v>
      </c>
      <c r="J19" s="6">
        <v>90.442954668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 t="s">
        <v>6</v>
      </c>
      <c r="B20" s="6">
        <v>0.6</v>
      </c>
      <c r="C20" s="6">
        <v>1.0</v>
      </c>
      <c r="D20" s="6">
        <v>10.0</v>
      </c>
      <c r="E20" s="6">
        <v>1.6</v>
      </c>
      <c r="F20" s="6">
        <v>0.0</v>
      </c>
      <c r="G20" s="6">
        <v>0.54</v>
      </c>
      <c r="H20" s="6">
        <v>0.0</v>
      </c>
      <c r="I20" s="6">
        <v>0.00255</v>
      </c>
      <c r="J20" s="6">
        <v>-3.611233588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 t="s">
        <v>7</v>
      </c>
      <c r="B21" s="6">
        <v>1.666666667</v>
      </c>
      <c r="C21" s="6">
        <v>6.0</v>
      </c>
      <c r="D21" s="6">
        <v>60.0</v>
      </c>
      <c r="E21" s="6">
        <v>33.3</v>
      </c>
      <c r="F21" s="6">
        <v>58.92547896</v>
      </c>
      <c r="G21" s="6">
        <v>7.9886</v>
      </c>
      <c r="H21" s="6">
        <v>37.05</v>
      </c>
      <c r="I21" s="6">
        <v>0.01379</v>
      </c>
      <c r="J21" s="6">
        <v>86.83172108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 t="s">
        <v>8</v>
      </c>
      <c r="B22" s="6">
        <v>107.40000001</v>
      </c>
      <c r="C22" s="6">
        <v>340.0</v>
      </c>
      <c r="D22" s="6">
        <v>3070.0</v>
      </c>
      <c r="E22" s="6">
        <v>1326.8</v>
      </c>
      <c r="F22" s="6">
        <v>1381.971685746</v>
      </c>
      <c r="G22" s="6">
        <v>402.572599999999</v>
      </c>
      <c r="H22" s="6">
        <v>869.189999999999</v>
      </c>
      <c r="I22" s="6">
        <v>0.80837034</v>
      </c>
      <c r="J22" s="6">
        <v>899.140689344999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 t="s">
        <v>9</v>
      </c>
      <c r="B23" s="6">
        <v>101.0</v>
      </c>
      <c r="C23" s="6">
        <v>101.0</v>
      </c>
      <c r="D23" s="6">
        <v>101.0</v>
      </c>
      <c r="E23" s="6">
        <v>101.0</v>
      </c>
      <c r="F23" s="6">
        <v>101.0</v>
      </c>
      <c r="G23" s="6">
        <v>101.0</v>
      </c>
      <c r="H23" s="6">
        <v>101.0</v>
      </c>
      <c r="I23" s="6">
        <v>101.0</v>
      </c>
      <c r="J23" s="6">
        <v>101.0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0.38"/>
  </cols>
  <sheetData>
    <row r="1">
      <c r="A1" s="1" t="s">
        <v>34</v>
      </c>
      <c r="B1" s="1" t="s">
        <v>35</v>
      </c>
    </row>
    <row r="2">
      <c r="A2" s="1"/>
      <c r="B2" s="1" t="s">
        <v>36</v>
      </c>
    </row>
    <row r="3">
      <c r="A3" s="1" t="s">
        <v>37</v>
      </c>
      <c r="B3" s="1" t="s">
        <v>38</v>
      </c>
    </row>
    <row r="4">
      <c r="A4" s="1" t="s">
        <v>39</v>
      </c>
      <c r="B4" s="1" t="s">
        <v>40</v>
      </c>
    </row>
    <row r="5">
      <c r="A5" s="1" t="s">
        <v>41</v>
      </c>
      <c r="B5" s="1" t="s">
        <v>42</v>
      </c>
    </row>
    <row r="6">
      <c r="A6" s="1" t="s">
        <v>43</v>
      </c>
      <c r="B6" s="1" t="s">
        <v>44</v>
      </c>
    </row>
    <row r="7">
      <c r="A7" s="1" t="s">
        <v>45</v>
      </c>
      <c r="B7" s="1" t="s">
        <v>46</v>
      </c>
    </row>
    <row r="10">
      <c r="B10" s="1" t="s">
        <v>47</v>
      </c>
    </row>
    <row r="11">
      <c r="A11" s="1" t="s">
        <v>37</v>
      </c>
      <c r="B11" s="1" t="s">
        <v>48</v>
      </c>
    </row>
    <row r="12">
      <c r="A12" s="1" t="s">
        <v>49</v>
      </c>
      <c r="B12" s="1" t="s">
        <v>50</v>
      </c>
    </row>
    <row r="13">
      <c r="A13" s="1" t="s">
        <v>41</v>
      </c>
      <c r="B13" s="1" t="s">
        <v>51</v>
      </c>
    </row>
    <row r="14">
      <c r="A14" s="1" t="s">
        <v>43</v>
      </c>
      <c r="B14" s="1" t="s">
        <v>52</v>
      </c>
    </row>
    <row r="15">
      <c r="A15" s="1" t="s">
        <v>45</v>
      </c>
      <c r="B15" s="1" t="s">
        <v>53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8"/>
      <c r="B1" s="9"/>
      <c r="C1" s="9"/>
      <c r="D1" s="9" t="s">
        <v>54</v>
      </c>
      <c r="E1" s="9"/>
      <c r="F1" s="9"/>
      <c r="G1" s="9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8"/>
      <c r="B2" s="9" t="s">
        <v>23</v>
      </c>
      <c r="E2" s="9" t="s">
        <v>24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0" t="s">
        <v>55</v>
      </c>
      <c r="B3" s="10" t="s">
        <v>56</v>
      </c>
      <c r="C3" s="10" t="s">
        <v>57</v>
      </c>
      <c r="D3" s="10" t="s">
        <v>58</v>
      </c>
      <c r="E3" s="10" t="s">
        <v>56</v>
      </c>
      <c r="F3" s="10" t="s">
        <v>57</v>
      </c>
      <c r="G3" s="10" t="s">
        <v>58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0" t="s">
        <v>37</v>
      </c>
      <c r="B4" s="10">
        <v>0.9999990174</v>
      </c>
      <c r="C4" s="10">
        <v>0.02370048889</v>
      </c>
      <c r="D4" s="10">
        <v>0.01913549784</v>
      </c>
      <c r="E4" s="10">
        <v>0.9998099229</v>
      </c>
      <c r="F4" s="10">
        <v>0.363177557</v>
      </c>
      <c r="G4" s="10">
        <v>0.2644552685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0" t="s">
        <v>39</v>
      </c>
      <c r="B5" s="10">
        <v>0.9998757922</v>
      </c>
      <c r="C5" s="10">
        <v>0.2707887702</v>
      </c>
      <c r="D5" s="10">
        <v>0.1927281149</v>
      </c>
      <c r="E5" s="10">
        <v>0.9883038951</v>
      </c>
      <c r="F5" s="10">
        <v>3.058153256</v>
      </c>
      <c r="G5" s="10">
        <v>0.9845263512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0" t="s">
        <v>41</v>
      </c>
      <c r="B6" s="10">
        <v>0.9999930676</v>
      </c>
      <c r="C6" s="10">
        <v>0.06295838963</v>
      </c>
      <c r="D6" s="10">
        <v>0.04993643052</v>
      </c>
      <c r="E6" s="10">
        <v>0.9984379024</v>
      </c>
      <c r="F6" s="10">
        <v>1.043980254</v>
      </c>
      <c r="G6" s="10">
        <v>0.6253403308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0" t="s">
        <v>43</v>
      </c>
      <c r="B7" s="10">
        <v>0.9999935402</v>
      </c>
      <c r="C7" s="10">
        <v>0.06124465507</v>
      </c>
      <c r="D7" s="10">
        <v>0.0367647111</v>
      </c>
      <c r="E7" s="10">
        <v>0.9996925428</v>
      </c>
      <c r="F7" s="10">
        <v>0.4644953004</v>
      </c>
      <c r="G7" s="10">
        <v>0.3396242811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0" t="s">
        <v>45</v>
      </c>
      <c r="B8" s="10">
        <v>0.9994890006</v>
      </c>
      <c r="C8" s="10">
        <v>0.5512197934</v>
      </c>
      <c r="D8" s="10">
        <v>0.2918414802</v>
      </c>
      <c r="E8" s="10">
        <v>0.9922223371</v>
      </c>
      <c r="F8" s="10">
        <v>2.356642695</v>
      </c>
      <c r="G8" s="10">
        <v>0.6921582461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0" t="s">
        <v>59</v>
      </c>
      <c r="B9" s="10">
        <v>0.7747368019</v>
      </c>
      <c r="C9" s="10">
        <v>10.68657928</v>
      </c>
      <c r="D9" s="10">
        <v>7.893356298</v>
      </c>
      <c r="E9" s="10">
        <v>0.790180833</v>
      </c>
      <c r="F9" s="10">
        <v>11.58807669</v>
      </c>
      <c r="G9" s="10">
        <v>8.589369055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0" t="s">
        <v>60</v>
      </c>
      <c r="B10" s="10">
        <v>0.8810830555</v>
      </c>
      <c r="C10" s="10">
        <v>7.99378509</v>
      </c>
      <c r="D10" s="10">
        <v>5.98235259</v>
      </c>
      <c r="E10" s="11">
        <v>0.8868581426</v>
      </c>
      <c r="F10" s="11">
        <v>8.670837457</v>
      </c>
      <c r="G10" s="11">
        <v>6.597599173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/>
      <c r="B11" s="8"/>
      <c r="C11" s="8"/>
      <c r="D11" s="10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/>
      <c r="B12" s="8"/>
      <c r="C12" s="8"/>
      <c r="D12" s="10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/>
      <c r="B13" s="8"/>
      <c r="C13" s="8"/>
      <c r="D13" s="10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8"/>
      <c r="D14" s="10" t="s">
        <v>47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9" t="s">
        <v>23</v>
      </c>
      <c r="E15" s="9" t="s">
        <v>24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10" t="s">
        <v>55</v>
      </c>
      <c r="B16" s="10" t="s">
        <v>56</v>
      </c>
      <c r="C16" s="10" t="s">
        <v>57</v>
      </c>
      <c r="D16" s="10" t="s">
        <v>58</v>
      </c>
      <c r="E16" s="10" t="s">
        <v>56</v>
      </c>
      <c r="F16" s="10" t="s">
        <v>57</v>
      </c>
      <c r="G16" s="10" t="s">
        <v>58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0" t="s">
        <v>37</v>
      </c>
      <c r="B17" s="8">
        <v>0.9999985844</v>
      </c>
      <c r="C17" s="8">
        <v>0.02844019587</v>
      </c>
      <c r="D17" s="8">
        <v>0.02032770524</v>
      </c>
      <c r="E17" s="8">
        <v>0.9999065976</v>
      </c>
      <c r="F17" s="8">
        <v>0.2535641735</v>
      </c>
      <c r="G17" s="8">
        <v>0.188297224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10" t="s">
        <v>39</v>
      </c>
      <c r="B18" s="8">
        <v>0.9999040986</v>
      </c>
      <c r="C18" s="8">
        <v>0.2341370958</v>
      </c>
      <c r="D18" s="8">
        <v>0.1789942072</v>
      </c>
      <c r="E18" s="8">
        <v>0.9928773171</v>
      </c>
      <c r="F18" s="8">
        <v>2.262874606</v>
      </c>
      <c r="G18" s="8">
        <v>0.9950371599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10" t="s">
        <v>41</v>
      </c>
      <c r="B19" s="8">
        <v>0.9999797057</v>
      </c>
      <c r="C19" s="8">
        <v>0.107727736</v>
      </c>
      <c r="D19" s="8">
        <v>0.08584180339</v>
      </c>
      <c r="E19" s="8">
        <v>0.9940254983</v>
      </c>
      <c r="F19" s="8">
        <v>2.27019799</v>
      </c>
      <c r="G19" s="8">
        <v>0.7304612912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10" t="s">
        <v>43</v>
      </c>
      <c r="B20" s="8">
        <v>0.9999999982</v>
      </c>
      <c r="C20" s="8">
        <v>0.001006771658</v>
      </c>
      <c r="D20" s="8">
        <v>5.024115072E-4</v>
      </c>
      <c r="E20" s="8">
        <v>0.9936380063</v>
      </c>
      <c r="F20" s="8">
        <v>2.18513364</v>
      </c>
      <c r="G20" s="8">
        <v>0.5207364736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10" t="s">
        <v>45</v>
      </c>
      <c r="B21" s="8">
        <v>0.999699203</v>
      </c>
      <c r="C21" s="8">
        <v>0.4200778529</v>
      </c>
      <c r="D21" s="8">
        <v>0.2438406946</v>
      </c>
      <c r="E21" s="8">
        <v>0.9990598508</v>
      </c>
      <c r="F21" s="8">
        <v>0.8090782624</v>
      </c>
      <c r="G21" s="8">
        <v>0.5576004824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10" t="s">
        <v>59</v>
      </c>
      <c r="B22" s="8">
        <v>0.5269348461</v>
      </c>
      <c r="C22" s="8">
        <v>14.36472593</v>
      </c>
      <c r="D22" s="8">
        <v>9.512040411</v>
      </c>
      <c r="E22" s="8">
        <v>0.5261603907</v>
      </c>
      <c r="F22" s="8">
        <v>15.80585581</v>
      </c>
      <c r="G22" s="8">
        <v>10.55815732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10" t="s">
        <v>60</v>
      </c>
      <c r="B23" s="8">
        <v>0.7279817012</v>
      </c>
      <c r="C23" s="8">
        <v>11.58764659</v>
      </c>
      <c r="D23" s="8">
        <v>7.657645026</v>
      </c>
      <c r="E23" s="8">
        <v>0.7328741682</v>
      </c>
      <c r="F23" s="8">
        <v>12.65223037</v>
      </c>
      <c r="G23" s="8">
        <v>8.427603214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11"/>
      <c r="D30" s="11"/>
      <c r="E30" s="11"/>
      <c r="F30" s="11"/>
      <c r="G30" s="11"/>
      <c r="H30" s="11"/>
      <c r="I30" s="11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11"/>
      <c r="D31" s="11"/>
      <c r="E31" s="11"/>
      <c r="F31" s="11"/>
      <c r="G31" s="11"/>
      <c r="H31" s="11"/>
      <c r="I31" s="11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11"/>
      <c r="D32" s="11"/>
      <c r="E32" s="11"/>
      <c r="F32" s="11"/>
      <c r="G32" s="11"/>
      <c r="H32" s="11"/>
      <c r="I32" s="11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</sheetData>
  <mergeCells count="4">
    <mergeCell ref="B2:D2"/>
    <mergeCell ref="E2:G2"/>
    <mergeCell ref="B15:D15"/>
    <mergeCell ref="E15:G1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